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8326" codeName="{00CF4601-37BD-836D-55AB-7E336CB4BC7A}"/>
  <workbookPr codeName="DieseArbeitsmappe"/>
  <mc:AlternateContent xmlns:mc="http://schemas.openxmlformats.org/markup-compatibility/2006">
    <mc:Choice Requires="x15">
      <x15ac:absPath xmlns:x15ac="http://schemas.microsoft.com/office/spreadsheetml/2010/11/ac" url="E:\"/>
    </mc:Choice>
  </mc:AlternateContent>
  <bookViews>
    <workbookView xWindow="0" yWindow="0" windowWidth="5970" windowHeight="5580" tabRatio="500" activeTab="1" xr2:uid="{00000000-000D-0000-FFFF-FFFF00000000}"/>
  </bookViews>
  <sheets>
    <sheet name="raw" sheetId="1" r:id="rId1"/>
    <sheet name="golden" sheetId="3" r:id="rId2"/>
  </sheets>
  <functionGroups builtInGroupCount="18"/>
  <calcPr calcId="171027" concurrentCalc="0"/>
  <extLst>
    <ext xmlns:x14="http://schemas.microsoft.com/office/spreadsheetml/2009/9/main" uri="{79F54976-1DA5-4618-B147-4CDE4B953A38}">
      <x14:workbookPr defaultImageDpi="32767"/>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U2" i="3" l="1"/>
  <c r="D2" i="3"/>
  <c r="G260" i="3"/>
  <c r="H260" i="3"/>
  <c r="I260" i="3"/>
  <c r="R245" i="3"/>
  <c r="G280" i="3"/>
  <c r="H280" i="3"/>
  <c r="I280" i="3"/>
  <c r="R265" i="3"/>
  <c r="G300" i="3"/>
  <c r="H300" i="3"/>
  <c r="I300" i="3"/>
  <c r="R285" i="3"/>
  <c r="G320" i="3"/>
  <c r="H320" i="3"/>
  <c r="I320" i="3"/>
  <c r="R305" i="3"/>
  <c r="G340" i="3"/>
  <c r="H340" i="3"/>
  <c r="I340" i="3"/>
  <c r="R325" i="3"/>
  <c r="G360" i="3"/>
  <c r="H360" i="3"/>
  <c r="I360" i="3"/>
  <c r="R345" i="3"/>
  <c r="G400" i="3"/>
  <c r="H400" i="3"/>
  <c r="I400" i="3"/>
  <c r="R385" i="3"/>
  <c r="G420" i="3"/>
  <c r="H420" i="3"/>
  <c r="I420" i="3"/>
  <c r="R405" i="3"/>
  <c r="G460" i="3"/>
  <c r="H460" i="3"/>
  <c r="I460" i="3"/>
  <c r="R445" i="3"/>
  <c r="G480" i="3"/>
  <c r="H480" i="3"/>
  <c r="I480" i="3"/>
  <c r="R465" i="3"/>
  <c r="G500" i="3"/>
  <c r="H500" i="3"/>
  <c r="I500" i="3"/>
  <c r="R485" i="3"/>
  <c r="G520" i="3"/>
  <c r="H520" i="3"/>
  <c r="I520" i="3"/>
  <c r="R505" i="3"/>
  <c r="G540" i="3"/>
  <c r="H540" i="3"/>
  <c r="I540" i="3"/>
  <c r="R525" i="3"/>
  <c r="G560" i="3"/>
  <c r="H560" i="3"/>
  <c r="I560" i="3"/>
  <c r="R545" i="3"/>
  <c r="G580" i="3"/>
  <c r="H580" i="3"/>
  <c r="I580" i="3"/>
  <c r="R565" i="3"/>
  <c r="G600" i="3"/>
  <c r="H600" i="3"/>
  <c r="I600" i="3"/>
  <c r="R585" i="3"/>
  <c r="G620" i="3"/>
  <c r="H620" i="3"/>
  <c r="I620" i="3"/>
  <c r="R605" i="3"/>
  <c r="G640" i="3"/>
  <c r="H640" i="3"/>
  <c r="I640" i="3"/>
  <c r="R625" i="3"/>
  <c r="G660" i="3"/>
  <c r="H660" i="3"/>
  <c r="I660" i="3"/>
  <c r="R645" i="3"/>
  <c r="G680" i="3"/>
  <c r="H680" i="3"/>
  <c r="I680" i="3"/>
  <c r="R665" i="3"/>
  <c r="G700" i="3"/>
  <c r="H700" i="3"/>
  <c r="I700" i="3"/>
  <c r="R685" i="3"/>
  <c r="G740" i="3"/>
  <c r="H740" i="3"/>
  <c r="I740" i="3"/>
  <c r="R725" i="3"/>
  <c r="G720" i="3"/>
  <c r="H720" i="3"/>
  <c r="I720" i="3"/>
  <c r="R705" i="3"/>
  <c r="G760" i="3"/>
  <c r="H760" i="3"/>
  <c r="I760" i="3"/>
  <c r="R745" i="3"/>
  <c r="G780" i="3"/>
  <c r="H780" i="3"/>
  <c r="I780" i="3"/>
  <c r="R765" i="3"/>
  <c r="G800" i="3"/>
  <c r="H800" i="3"/>
  <c r="I800" i="3"/>
  <c r="R785" i="3"/>
  <c r="G820" i="3"/>
  <c r="H820" i="3"/>
  <c r="I820" i="3"/>
  <c r="R805" i="3"/>
  <c r="G840" i="3"/>
  <c r="H840" i="3"/>
  <c r="I840" i="3"/>
  <c r="R825" i="3"/>
  <c r="G860" i="3"/>
  <c r="H860" i="3"/>
  <c r="I860" i="3"/>
  <c r="R845" i="3"/>
  <c r="G880" i="3"/>
  <c r="H880" i="3"/>
  <c r="I880" i="3"/>
  <c r="R865" i="3"/>
  <c r="G900" i="3"/>
  <c r="H900" i="3"/>
  <c r="I900" i="3"/>
  <c r="R885" i="3"/>
  <c r="G920" i="3"/>
  <c r="H920" i="3"/>
  <c r="I920" i="3"/>
  <c r="R905" i="3"/>
  <c r="G940" i="3"/>
  <c r="H940" i="3"/>
  <c r="I940" i="3"/>
  <c r="R925" i="3"/>
  <c r="G960" i="3"/>
  <c r="H960" i="3"/>
  <c r="I960" i="3"/>
  <c r="R945" i="3"/>
  <c r="G980" i="3"/>
  <c r="H980" i="3"/>
  <c r="I980" i="3"/>
  <c r="R965" i="3"/>
  <c r="G1040" i="3"/>
  <c r="H1040" i="3"/>
  <c r="I1040" i="3"/>
  <c r="R1025" i="3"/>
  <c r="G1060" i="3"/>
  <c r="H1060" i="3"/>
  <c r="I1060" i="3"/>
  <c r="R1045" i="3"/>
  <c r="G1080" i="3"/>
  <c r="H1080" i="3"/>
  <c r="I1080" i="3"/>
  <c r="R1065" i="3"/>
  <c r="G1100" i="3"/>
  <c r="H1100" i="3"/>
  <c r="I1100" i="3"/>
  <c r="R1085" i="3"/>
  <c r="G1120" i="3"/>
  <c r="H1120" i="3"/>
  <c r="I1120" i="3"/>
  <c r="R1105" i="3"/>
  <c r="G1140" i="3"/>
  <c r="H1140" i="3"/>
  <c r="I1140" i="3"/>
  <c r="R1125" i="3"/>
  <c r="G1160" i="3"/>
  <c r="H1160" i="3"/>
  <c r="I1160" i="3"/>
  <c r="R1145" i="3"/>
  <c r="G1180" i="3"/>
  <c r="H1180" i="3"/>
  <c r="I1180" i="3"/>
  <c r="R1165" i="3"/>
  <c r="G1200" i="3"/>
  <c r="H1200" i="3"/>
  <c r="I1200" i="3"/>
  <c r="R1185" i="3"/>
  <c r="G1220" i="3"/>
  <c r="H1220" i="3"/>
  <c r="I1220" i="3"/>
  <c r="R1205" i="3"/>
  <c r="G1240" i="3"/>
  <c r="H1240" i="3"/>
  <c r="I1240" i="3"/>
  <c r="R1225" i="3"/>
  <c r="G1260" i="3"/>
  <c r="H1260" i="3"/>
  <c r="I1260" i="3"/>
  <c r="R1245" i="3"/>
  <c r="G1280" i="3"/>
  <c r="H1280" i="3"/>
  <c r="I1280" i="3"/>
  <c r="R1265" i="3"/>
  <c r="G1300" i="3"/>
  <c r="H1300" i="3"/>
  <c r="I1300" i="3"/>
  <c r="R1285" i="3"/>
  <c r="G1320" i="3"/>
  <c r="H1320" i="3"/>
  <c r="I1320" i="3"/>
  <c r="R1305" i="3"/>
  <c r="G1340" i="3"/>
  <c r="H1340" i="3"/>
  <c r="I1340" i="3"/>
  <c r="R1325" i="3"/>
  <c r="G1360" i="3"/>
  <c r="H1360" i="3"/>
  <c r="I1360" i="3"/>
  <c r="R1345" i="3"/>
  <c r="G1380" i="3"/>
  <c r="H1380" i="3"/>
  <c r="I1380" i="3"/>
  <c r="R1365" i="3"/>
  <c r="G1400" i="3"/>
  <c r="H1400" i="3"/>
  <c r="I1400" i="3"/>
  <c r="R1385" i="3"/>
  <c r="G1420" i="3"/>
  <c r="H1420" i="3"/>
  <c r="I1420" i="3"/>
  <c r="R1405" i="3"/>
  <c r="G1440" i="3"/>
  <c r="H1440" i="3"/>
  <c r="I1440" i="3"/>
  <c r="R1425" i="3"/>
  <c r="G1460" i="3"/>
  <c r="H1460" i="3"/>
  <c r="I1460" i="3"/>
  <c r="R1445" i="3"/>
  <c r="G1480" i="3"/>
  <c r="H1480" i="3"/>
  <c r="I1480" i="3"/>
  <c r="R1465" i="3"/>
  <c r="G1500" i="3"/>
  <c r="H1500" i="3"/>
  <c r="I1500" i="3"/>
  <c r="R1485" i="3"/>
  <c r="G1520" i="3"/>
  <c r="H1520" i="3"/>
  <c r="I1520" i="3"/>
  <c r="R1505" i="3"/>
  <c r="G1540" i="3"/>
  <c r="H1540" i="3"/>
  <c r="I1540" i="3"/>
  <c r="R1525" i="3"/>
  <c r="G1560" i="3"/>
  <c r="H1560" i="3"/>
  <c r="I1560" i="3"/>
  <c r="R1545" i="3"/>
  <c r="G1580" i="3"/>
  <c r="H1580" i="3"/>
  <c r="I1580" i="3"/>
  <c r="R1565" i="3"/>
  <c r="G1600" i="3"/>
  <c r="H1600" i="3"/>
  <c r="I1600" i="3"/>
  <c r="R1585" i="3"/>
  <c r="G1620" i="3"/>
  <c r="H1620" i="3"/>
  <c r="I1620" i="3"/>
  <c r="R1605" i="3"/>
  <c r="G1640" i="3"/>
  <c r="H1640" i="3"/>
  <c r="I1640" i="3"/>
  <c r="R1625" i="3"/>
  <c r="G1660" i="3"/>
  <c r="H1660" i="3"/>
  <c r="I1660" i="3"/>
  <c r="R1645" i="3"/>
  <c r="G1680" i="3"/>
  <c r="H1680" i="3"/>
  <c r="I1680" i="3"/>
  <c r="R1665" i="3"/>
  <c r="G1700" i="3"/>
  <c r="H1700" i="3"/>
  <c r="I1700" i="3"/>
  <c r="R1685" i="3"/>
  <c r="G1720" i="3"/>
  <c r="H1720" i="3"/>
  <c r="I1720" i="3"/>
  <c r="R1705" i="3"/>
  <c r="G1740" i="3"/>
  <c r="H1740" i="3"/>
  <c r="I1740" i="3"/>
  <c r="R1725" i="3"/>
  <c r="G1780" i="3"/>
  <c r="H1780" i="3"/>
  <c r="I1780" i="3"/>
  <c r="R1765" i="3"/>
  <c r="G1760" i="3"/>
  <c r="H1760" i="3"/>
  <c r="I1760" i="3"/>
  <c r="R1745" i="3"/>
  <c r="G1800" i="3"/>
  <c r="H1800" i="3"/>
  <c r="I1800" i="3"/>
  <c r="R1785" i="3"/>
  <c r="G1880" i="3"/>
  <c r="H1880" i="3"/>
  <c r="I1880" i="3"/>
  <c r="R1865" i="3"/>
  <c r="G1940" i="3"/>
  <c r="H1940" i="3"/>
  <c r="I1940" i="3"/>
  <c r="R1925" i="3"/>
  <c r="G1960" i="3"/>
  <c r="H1960" i="3"/>
  <c r="I1960" i="3"/>
  <c r="R1945" i="3"/>
  <c r="G2000" i="3"/>
  <c r="H2000" i="3"/>
  <c r="I2000" i="3"/>
  <c r="R1985" i="3"/>
  <c r="G220" i="3"/>
  <c r="H220" i="3"/>
  <c r="I220" i="3"/>
  <c r="R205" i="3"/>
  <c r="G200" i="3"/>
  <c r="H200" i="3"/>
  <c r="I200" i="3"/>
  <c r="R185" i="3"/>
  <c r="G180" i="3"/>
  <c r="H180" i="3"/>
  <c r="I180" i="3"/>
  <c r="R165" i="3"/>
  <c r="G160" i="3"/>
  <c r="H160" i="3"/>
  <c r="I160" i="3"/>
  <c r="R145" i="3"/>
  <c r="G120" i="3"/>
  <c r="H120" i="3"/>
  <c r="I120" i="3"/>
  <c r="R105" i="3"/>
  <c r="I2002" i="3"/>
  <c r="I2001" i="3"/>
  <c r="I1999" i="3"/>
  <c r="I5" i="3"/>
  <c r="I6" i="3"/>
  <c r="I7" i="3"/>
  <c r="I8" i="3"/>
  <c r="I9" i="3"/>
  <c r="I10" i="3"/>
  <c r="I11" i="3"/>
  <c r="I12" i="3"/>
  <c r="I13" i="3"/>
  <c r="I14" i="3"/>
  <c r="I15" i="3"/>
  <c r="I16" i="3"/>
  <c r="I17" i="3"/>
  <c r="I18" i="3"/>
  <c r="I19" i="3"/>
  <c r="I20" i="3"/>
  <c r="I21" i="3"/>
  <c r="I22" i="3"/>
  <c r="I25" i="3"/>
  <c r="I26" i="3"/>
  <c r="I27" i="3"/>
  <c r="I28" i="3"/>
  <c r="I29" i="3"/>
  <c r="I30" i="3"/>
  <c r="I31" i="3"/>
  <c r="I32" i="3"/>
  <c r="I33" i="3"/>
  <c r="I34" i="3"/>
  <c r="I35" i="3"/>
  <c r="I36" i="3"/>
  <c r="I37" i="3"/>
  <c r="I38" i="3"/>
  <c r="I39" i="3"/>
  <c r="I41" i="3"/>
  <c r="I42" i="3"/>
  <c r="I45" i="3"/>
  <c r="I46" i="3"/>
  <c r="I47" i="3"/>
  <c r="I48" i="3"/>
  <c r="I49" i="3"/>
  <c r="I50" i="3"/>
  <c r="I51" i="3"/>
  <c r="I52" i="3"/>
  <c r="I53" i="3"/>
  <c r="I54" i="3"/>
  <c r="I55" i="3"/>
  <c r="I56" i="3"/>
  <c r="I57" i="3"/>
  <c r="I58" i="3"/>
  <c r="I59" i="3"/>
  <c r="I60" i="3"/>
  <c r="I61" i="3"/>
  <c r="I62" i="3"/>
  <c r="I65" i="3"/>
  <c r="I66" i="3"/>
  <c r="I67" i="3"/>
  <c r="I68" i="3"/>
  <c r="I69" i="3"/>
  <c r="I70" i="3"/>
  <c r="I71" i="3"/>
  <c r="I72" i="3"/>
  <c r="I73" i="3"/>
  <c r="I74" i="3"/>
  <c r="I75" i="3"/>
  <c r="I76" i="3"/>
  <c r="I77" i="3"/>
  <c r="I78" i="3"/>
  <c r="I79" i="3"/>
  <c r="I80" i="3"/>
  <c r="I81" i="3"/>
  <c r="I82" i="3"/>
  <c r="I85" i="3"/>
  <c r="I86" i="3"/>
  <c r="I87" i="3"/>
  <c r="I88" i="3"/>
  <c r="I89" i="3"/>
  <c r="I90" i="3"/>
  <c r="I91" i="3"/>
  <c r="I92" i="3"/>
  <c r="I93" i="3"/>
  <c r="I94" i="3"/>
  <c r="I95" i="3"/>
  <c r="I96" i="3"/>
  <c r="I97" i="3"/>
  <c r="I98" i="3"/>
  <c r="I99" i="3"/>
  <c r="I100" i="3"/>
  <c r="I101" i="3"/>
  <c r="I102" i="3"/>
  <c r="I105" i="3"/>
  <c r="I106" i="3"/>
  <c r="I107" i="3"/>
  <c r="I108" i="3"/>
  <c r="I109" i="3"/>
  <c r="I110" i="3"/>
  <c r="I111" i="3"/>
  <c r="I112" i="3"/>
  <c r="I113" i="3"/>
  <c r="I114" i="3"/>
  <c r="I115" i="3"/>
  <c r="I116" i="3"/>
  <c r="I117" i="3"/>
  <c r="I118" i="3"/>
  <c r="I119" i="3"/>
  <c r="I121" i="3"/>
  <c r="I122" i="3"/>
  <c r="I125" i="3"/>
  <c r="I126" i="3"/>
  <c r="I127" i="3"/>
  <c r="I128" i="3"/>
  <c r="I129" i="3"/>
  <c r="I130" i="3"/>
  <c r="I131" i="3"/>
  <c r="I132" i="3"/>
  <c r="I133" i="3"/>
  <c r="I134" i="3"/>
  <c r="I135" i="3"/>
  <c r="I136" i="3"/>
  <c r="I137" i="3"/>
  <c r="I138" i="3"/>
  <c r="I139" i="3"/>
  <c r="I140" i="3"/>
  <c r="I141" i="3"/>
  <c r="I142" i="3"/>
  <c r="I145" i="3"/>
  <c r="I146" i="3"/>
  <c r="I147" i="3"/>
  <c r="I148" i="3"/>
  <c r="I149" i="3"/>
  <c r="I150" i="3"/>
  <c r="I151" i="3"/>
  <c r="I152" i="3"/>
  <c r="I153" i="3"/>
  <c r="I154" i="3"/>
  <c r="I155" i="3"/>
  <c r="I156" i="3"/>
  <c r="I157" i="3"/>
  <c r="I158" i="3"/>
  <c r="I159" i="3"/>
  <c r="I161" i="3"/>
  <c r="I162" i="3"/>
  <c r="I165" i="3"/>
  <c r="I166" i="3"/>
  <c r="I167" i="3"/>
  <c r="I168" i="3"/>
  <c r="I169" i="3"/>
  <c r="I170" i="3"/>
  <c r="I171" i="3"/>
  <c r="I172" i="3"/>
  <c r="I173" i="3"/>
  <c r="I174" i="3"/>
  <c r="I175" i="3"/>
  <c r="I176" i="3"/>
  <c r="I177" i="3"/>
  <c r="I178" i="3"/>
  <c r="I179" i="3"/>
  <c r="I181" i="3"/>
  <c r="I182" i="3"/>
  <c r="I185" i="3"/>
  <c r="I186" i="3"/>
  <c r="I187" i="3"/>
  <c r="I188" i="3"/>
  <c r="I190" i="3"/>
  <c r="I191" i="3"/>
  <c r="I192" i="3"/>
  <c r="I193" i="3"/>
  <c r="I194" i="3"/>
  <c r="I195" i="3"/>
  <c r="I196" i="3"/>
  <c r="I197" i="3"/>
  <c r="I198" i="3"/>
  <c r="I199" i="3"/>
  <c r="I201" i="3"/>
  <c r="I202" i="3"/>
  <c r="I205" i="3"/>
  <c r="I206" i="3"/>
  <c r="I207" i="3"/>
  <c r="I208" i="3"/>
  <c r="I209" i="3"/>
  <c r="I210" i="3"/>
  <c r="I211" i="3"/>
  <c r="I212" i="3"/>
  <c r="I213" i="3"/>
  <c r="I214" i="3"/>
  <c r="I215" i="3"/>
  <c r="I216" i="3"/>
  <c r="I217" i="3"/>
  <c r="I218" i="3"/>
  <c r="I219" i="3"/>
  <c r="I221" i="3"/>
  <c r="I222" i="3"/>
  <c r="I225" i="3"/>
  <c r="I226" i="3"/>
  <c r="I227" i="3"/>
  <c r="I228" i="3"/>
  <c r="I229" i="3"/>
  <c r="I230" i="3"/>
  <c r="I231" i="3"/>
  <c r="I233" i="3"/>
  <c r="I234" i="3"/>
  <c r="I235" i="3"/>
  <c r="I236" i="3"/>
  <c r="I237" i="3"/>
  <c r="I238" i="3"/>
  <c r="I239" i="3"/>
  <c r="I240" i="3"/>
  <c r="I241" i="3"/>
  <c r="I242" i="3"/>
  <c r="I245" i="3"/>
  <c r="I246" i="3"/>
  <c r="I247" i="3"/>
  <c r="I248" i="3"/>
  <c r="I249" i="3"/>
  <c r="I250" i="3"/>
  <c r="I251" i="3"/>
  <c r="I252" i="3"/>
  <c r="I253" i="3"/>
  <c r="I254" i="3"/>
  <c r="I255" i="3"/>
  <c r="I256" i="3"/>
  <c r="I257" i="3"/>
  <c r="I258" i="3"/>
  <c r="I259" i="3"/>
  <c r="I261" i="3"/>
  <c r="I262" i="3"/>
  <c r="I265" i="3"/>
  <c r="I266" i="3"/>
  <c r="I267" i="3"/>
  <c r="I268" i="3"/>
  <c r="I269" i="3"/>
  <c r="I270" i="3"/>
  <c r="I271" i="3"/>
  <c r="I272" i="3"/>
  <c r="I273" i="3"/>
  <c r="I274" i="3"/>
  <c r="I275" i="3"/>
  <c r="I276" i="3"/>
  <c r="I277" i="3"/>
  <c r="I278" i="3"/>
  <c r="I279" i="3"/>
  <c r="I281" i="3"/>
  <c r="I282" i="3"/>
  <c r="I285" i="3"/>
  <c r="I286" i="3"/>
  <c r="I287" i="3"/>
  <c r="I288" i="3"/>
  <c r="I289" i="3"/>
  <c r="I290" i="3"/>
  <c r="I291" i="3"/>
  <c r="I292" i="3"/>
  <c r="I293" i="3"/>
  <c r="I294" i="3"/>
  <c r="I295" i="3"/>
  <c r="I296" i="3"/>
  <c r="I297" i="3"/>
  <c r="I298" i="3"/>
  <c r="I299" i="3"/>
  <c r="I301" i="3"/>
  <c r="I302" i="3"/>
  <c r="I305" i="3"/>
  <c r="I306" i="3"/>
  <c r="I307" i="3"/>
  <c r="I308" i="3"/>
  <c r="I309" i="3"/>
  <c r="I310" i="3"/>
  <c r="I311" i="3"/>
  <c r="I312" i="3"/>
  <c r="I313" i="3"/>
  <c r="I314" i="3"/>
  <c r="I315" i="3"/>
  <c r="I316" i="3"/>
  <c r="I317" i="3"/>
  <c r="I318" i="3"/>
  <c r="I319" i="3"/>
  <c r="I321" i="3"/>
  <c r="I322" i="3"/>
  <c r="I325" i="3"/>
  <c r="I326" i="3"/>
  <c r="I327" i="3"/>
  <c r="I328" i="3"/>
  <c r="I329" i="3"/>
  <c r="I330" i="3"/>
  <c r="I331" i="3"/>
  <c r="I332" i="3"/>
  <c r="I333" i="3"/>
  <c r="I334" i="3"/>
  <c r="I335" i="3"/>
  <c r="I336" i="3"/>
  <c r="I337" i="3"/>
  <c r="I338" i="3"/>
  <c r="I339" i="3"/>
  <c r="I341" i="3"/>
  <c r="I342" i="3"/>
  <c r="I345" i="3"/>
  <c r="I346" i="3"/>
  <c r="I347" i="3"/>
  <c r="I348" i="3"/>
  <c r="I349" i="3"/>
  <c r="I350" i="3"/>
  <c r="I351" i="3"/>
  <c r="I352" i="3"/>
  <c r="I353" i="3"/>
  <c r="I354" i="3"/>
  <c r="I355" i="3"/>
  <c r="I356" i="3"/>
  <c r="I357" i="3"/>
  <c r="I359" i="3"/>
  <c r="I361" i="3"/>
  <c r="I362" i="3"/>
  <c r="I365" i="3"/>
  <c r="I366" i="3"/>
  <c r="I367" i="3"/>
  <c r="I368" i="3"/>
  <c r="I369" i="3"/>
  <c r="I370" i="3"/>
  <c r="I371" i="3"/>
  <c r="I372" i="3"/>
  <c r="I373" i="3"/>
  <c r="I374" i="3"/>
  <c r="I375" i="3"/>
  <c r="I376" i="3"/>
  <c r="I377" i="3"/>
  <c r="I378" i="3"/>
  <c r="I379" i="3"/>
  <c r="I380" i="3"/>
  <c r="I381" i="3"/>
  <c r="I382" i="3"/>
  <c r="I385" i="3"/>
  <c r="I386" i="3"/>
  <c r="I387" i="3"/>
  <c r="I388" i="3"/>
  <c r="I389" i="3"/>
  <c r="I390" i="3"/>
  <c r="I391" i="3"/>
  <c r="I392" i="3"/>
  <c r="I393" i="3"/>
  <c r="I394" i="3"/>
  <c r="I395" i="3"/>
  <c r="I396" i="3"/>
  <c r="I397" i="3"/>
  <c r="I398" i="3"/>
  <c r="I399" i="3"/>
  <c r="I401" i="3"/>
  <c r="I402" i="3"/>
  <c r="I405" i="3"/>
  <c r="I406" i="3"/>
  <c r="I407" i="3"/>
  <c r="I408" i="3"/>
  <c r="I409" i="3"/>
  <c r="I410" i="3"/>
  <c r="I411" i="3"/>
  <c r="I412" i="3"/>
  <c r="I413" i="3"/>
  <c r="I414" i="3"/>
  <c r="I415" i="3"/>
  <c r="I416" i="3"/>
  <c r="I417" i="3"/>
  <c r="I418" i="3"/>
  <c r="I419" i="3"/>
  <c r="I421" i="3"/>
  <c r="I422" i="3"/>
  <c r="I425" i="3"/>
  <c r="I426" i="3"/>
  <c r="I427" i="3"/>
  <c r="I428" i="3"/>
  <c r="I429" i="3"/>
  <c r="I430" i="3"/>
  <c r="I431" i="3"/>
  <c r="I432" i="3"/>
  <c r="I433" i="3"/>
  <c r="I434" i="3"/>
  <c r="I435" i="3"/>
  <c r="I436" i="3"/>
  <c r="I437" i="3"/>
  <c r="I438" i="3"/>
  <c r="I439" i="3"/>
  <c r="I440" i="3"/>
  <c r="I441" i="3"/>
  <c r="I442" i="3"/>
  <c r="I445" i="3"/>
  <c r="I446" i="3"/>
  <c r="I447" i="3"/>
  <c r="I448" i="3"/>
  <c r="I449" i="3"/>
  <c r="I450" i="3"/>
  <c r="I451" i="3"/>
  <c r="I452" i="3"/>
  <c r="I453" i="3"/>
  <c r="I454" i="3"/>
  <c r="I455" i="3"/>
  <c r="I456" i="3"/>
  <c r="I457" i="3"/>
  <c r="I458" i="3"/>
  <c r="I459" i="3"/>
  <c r="I461" i="3"/>
  <c r="I462" i="3"/>
  <c r="I465" i="3"/>
  <c r="I466" i="3"/>
  <c r="I467" i="3"/>
  <c r="I468" i="3"/>
  <c r="I469" i="3"/>
  <c r="I470" i="3"/>
  <c r="I471" i="3"/>
  <c r="I472" i="3"/>
  <c r="I473" i="3"/>
  <c r="I474" i="3"/>
  <c r="I475" i="3"/>
  <c r="I476" i="3"/>
  <c r="I477" i="3"/>
  <c r="I478" i="3"/>
  <c r="I479" i="3"/>
  <c r="I481" i="3"/>
  <c r="I482" i="3"/>
  <c r="I485" i="3"/>
  <c r="I486" i="3"/>
  <c r="I487" i="3"/>
  <c r="I488" i="3"/>
  <c r="I489" i="3"/>
  <c r="I490" i="3"/>
  <c r="I491" i="3"/>
  <c r="I492" i="3"/>
  <c r="I493" i="3"/>
  <c r="I494" i="3"/>
  <c r="I495" i="3"/>
  <c r="I496" i="3"/>
  <c r="I497" i="3"/>
  <c r="I498" i="3"/>
  <c r="I499" i="3"/>
  <c r="I501" i="3"/>
  <c r="I502" i="3"/>
  <c r="I505" i="3"/>
  <c r="I506" i="3"/>
  <c r="I507" i="3"/>
  <c r="I508" i="3"/>
  <c r="I509" i="3"/>
  <c r="I510" i="3"/>
  <c r="I511" i="3"/>
  <c r="I512" i="3"/>
  <c r="I513" i="3"/>
  <c r="I514" i="3"/>
  <c r="I515" i="3"/>
  <c r="I516" i="3"/>
  <c r="I517" i="3"/>
  <c r="I518" i="3"/>
  <c r="I519" i="3"/>
  <c r="I521" i="3"/>
  <c r="I522" i="3"/>
  <c r="I525" i="3"/>
  <c r="I526" i="3"/>
  <c r="I527" i="3"/>
  <c r="I528" i="3"/>
  <c r="I529" i="3"/>
  <c r="I530" i="3"/>
  <c r="I531" i="3"/>
  <c r="I532" i="3"/>
  <c r="I533" i="3"/>
  <c r="I534" i="3"/>
  <c r="I535" i="3"/>
  <c r="I536" i="3"/>
  <c r="I537" i="3"/>
  <c r="I538" i="3"/>
  <c r="I539" i="3"/>
  <c r="I541" i="3"/>
  <c r="I542" i="3"/>
  <c r="I545" i="3"/>
  <c r="I546" i="3"/>
  <c r="I547" i="3"/>
  <c r="I548" i="3"/>
  <c r="I549" i="3"/>
  <c r="I550" i="3"/>
  <c r="I551" i="3"/>
  <c r="I552" i="3"/>
  <c r="I553" i="3"/>
  <c r="I554" i="3"/>
  <c r="I555" i="3"/>
  <c r="I556" i="3"/>
  <c r="I557" i="3"/>
  <c r="I558" i="3"/>
  <c r="I559" i="3"/>
  <c r="I561" i="3"/>
  <c r="I562" i="3"/>
  <c r="I565" i="3"/>
  <c r="I566" i="3"/>
  <c r="I567" i="3"/>
  <c r="I568" i="3"/>
  <c r="I569" i="3"/>
  <c r="I570" i="3"/>
  <c r="I571" i="3"/>
  <c r="I572" i="3"/>
  <c r="I573" i="3"/>
  <c r="I574" i="3"/>
  <c r="I575" i="3"/>
  <c r="I576" i="3"/>
  <c r="I577" i="3"/>
  <c r="I578" i="3"/>
  <c r="I579" i="3"/>
  <c r="I581" i="3"/>
  <c r="I582" i="3"/>
  <c r="I585" i="3"/>
  <c r="I586" i="3"/>
  <c r="I587" i="3"/>
  <c r="I588" i="3"/>
  <c r="I589" i="3"/>
  <c r="I590" i="3"/>
  <c r="I591" i="3"/>
  <c r="I592" i="3"/>
  <c r="I593" i="3"/>
  <c r="I594" i="3"/>
  <c r="I595" i="3"/>
  <c r="I596" i="3"/>
  <c r="I597" i="3"/>
  <c r="I598" i="3"/>
  <c r="I599" i="3"/>
  <c r="I601" i="3"/>
  <c r="I602" i="3"/>
  <c r="I605" i="3"/>
  <c r="I606" i="3"/>
  <c r="I607" i="3"/>
  <c r="I608" i="3"/>
  <c r="I609" i="3"/>
  <c r="I610" i="3"/>
  <c r="I611" i="3"/>
  <c r="I612" i="3"/>
  <c r="I613" i="3"/>
  <c r="I614" i="3"/>
  <c r="I615" i="3"/>
  <c r="I616" i="3"/>
  <c r="I617" i="3"/>
  <c r="I618" i="3"/>
  <c r="I619" i="3"/>
  <c r="I621" i="3"/>
  <c r="I622" i="3"/>
  <c r="I625" i="3"/>
  <c r="I626" i="3"/>
  <c r="I627" i="3"/>
  <c r="I628" i="3"/>
  <c r="I629" i="3"/>
  <c r="I630" i="3"/>
  <c r="I631" i="3"/>
  <c r="I632" i="3"/>
  <c r="I633" i="3"/>
  <c r="I634" i="3"/>
  <c r="I635" i="3"/>
  <c r="I636" i="3"/>
  <c r="I637" i="3"/>
  <c r="I638" i="3"/>
  <c r="I639" i="3"/>
  <c r="I641" i="3"/>
  <c r="I642" i="3"/>
  <c r="I645" i="3"/>
  <c r="I646" i="3"/>
  <c r="I647" i="3"/>
  <c r="I648" i="3"/>
  <c r="I649" i="3"/>
  <c r="I650" i="3"/>
  <c r="I651" i="3"/>
  <c r="I652" i="3"/>
  <c r="I653" i="3"/>
  <c r="I654" i="3"/>
  <c r="I655" i="3"/>
  <c r="I656" i="3"/>
  <c r="I657" i="3"/>
  <c r="I658" i="3"/>
  <c r="I659" i="3"/>
  <c r="I661" i="3"/>
  <c r="I662" i="3"/>
  <c r="I665" i="3"/>
  <c r="I666" i="3"/>
  <c r="I667" i="3"/>
  <c r="I668" i="3"/>
  <c r="I669" i="3"/>
  <c r="I670" i="3"/>
  <c r="I671" i="3"/>
  <c r="I672" i="3"/>
  <c r="I673" i="3"/>
  <c r="I674" i="3"/>
  <c r="I675" i="3"/>
  <c r="I676" i="3"/>
  <c r="I677" i="3"/>
  <c r="I678" i="3"/>
  <c r="I679" i="3"/>
  <c r="I681" i="3"/>
  <c r="I682" i="3"/>
  <c r="I685" i="3"/>
  <c r="I686" i="3"/>
  <c r="I687" i="3"/>
  <c r="I688" i="3"/>
  <c r="I689" i="3"/>
  <c r="I690" i="3"/>
  <c r="I691" i="3"/>
  <c r="I692" i="3"/>
  <c r="I693" i="3"/>
  <c r="I694" i="3"/>
  <c r="I695" i="3"/>
  <c r="I696" i="3"/>
  <c r="I697" i="3"/>
  <c r="I698" i="3"/>
  <c r="I699" i="3"/>
  <c r="I701" i="3"/>
  <c r="I702" i="3"/>
  <c r="I705" i="3"/>
  <c r="I706" i="3"/>
  <c r="I707" i="3"/>
  <c r="I708" i="3"/>
  <c r="I709" i="3"/>
  <c r="I710" i="3"/>
  <c r="I711" i="3"/>
  <c r="I712" i="3"/>
  <c r="I713" i="3"/>
  <c r="I714" i="3"/>
  <c r="I715" i="3"/>
  <c r="I716" i="3"/>
  <c r="I717" i="3"/>
  <c r="I718" i="3"/>
  <c r="I719" i="3"/>
  <c r="I721" i="3"/>
  <c r="I722" i="3"/>
  <c r="I725" i="3"/>
  <c r="I726" i="3"/>
  <c r="I727" i="3"/>
  <c r="I728" i="3"/>
  <c r="I729" i="3"/>
  <c r="I730" i="3"/>
  <c r="I731" i="3"/>
  <c r="I732" i="3"/>
  <c r="I733" i="3"/>
  <c r="I734" i="3"/>
  <c r="I735" i="3"/>
  <c r="I736" i="3"/>
  <c r="I737" i="3"/>
  <c r="I738" i="3"/>
  <c r="I739" i="3"/>
  <c r="I741" i="3"/>
  <c r="I742" i="3"/>
  <c r="I745" i="3"/>
  <c r="I746" i="3"/>
  <c r="I747" i="3"/>
  <c r="I748" i="3"/>
  <c r="I749" i="3"/>
  <c r="I750" i="3"/>
  <c r="I751" i="3"/>
  <c r="I752" i="3"/>
  <c r="I753" i="3"/>
  <c r="I754" i="3"/>
  <c r="I755" i="3"/>
  <c r="I756" i="3"/>
  <c r="I757" i="3"/>
  <c r="I758" i="3"/>
  <c r="I759" i="3"/>
  <c r="I761" i="3"/>
  <c r="I762" i="3"/>
  <c r="I765" i="3"/>
  <c r="I766" i="3"/>
  <c r="I767" i="3"/>
  <c r="I768" i="3"/>
  <c r="I769" i="3"/>
  <c r="I770" i="3"/>
  <c r="I771" i="3"/>
  <c r="I772" i="3"/>
  <c r="I773" i="3"/>
  <c r="I774" i="3"/>
  <c r="I775" i="3"/>
  <c r="I776" i="3"/>
  <c r="I777" i="3"/>
  <c r="I778" i="3"/>
  <c r="I779" i="3"/>
  <c r="I781" i="3"/>
  <c r="I782" i="3"/>
  <c r="I785" i="3"/>
  <c r="I786" i="3"/>
  <c r="I787" i="3"/>
  <c r="I788" i="3"/>
  <c r="I789" i="3"/>
  <c r="I790" i="3"/>
  <c r="I791" i="3"/>
  <c r="I792" i="3"/>
  <c r="I793" i="3"/>
  <c r="I794" i="3"/>
  <c r="I795" i="3"/>
  <c r="I796" i="3"/>
  <c r="I797" i="3"/>
  <c r="I798" i="3"/>
  <c r="I799" i="3"/>
  <c r="I801" i="3"/>
  <c r="I802" i="3"/>
  <c r="I805" i="3"/>
  <c r="I806" i="3"/>
  <c r="I807" i="3"/>
  <c r="I808" i="3"/>
  <c r="I809" i="3"/>
  <c r="I810" i="3"/>
  <c r="I811" i="3"/>
  <c r="I812" i="3"/>
  <c r="I813" i="3"/>
  <c r="I814" i="3"/>
  <c r="I815" i="3"/>
  <c r="I816" i="3"/>
  <c r="I817" i="3"/>
  <c r="I818" i="3"/>
  <c r="I819" i="3"/>
  <c r="I821" i="3"/>
  <c r="I822" i="3"/>
  <c r="I825" i="3"/>
  <c r="I826" i="3"/>
  <c r="I827" i="3"/>
  <c r="I828" i="3"/>
  <c r="I829" i="3"/>
  <c r="I830" i="3"/>
  <c r="I831" i="3"/>
  <c r="I832" i="3"/>
  <c r="I833" i="3"/>
  <c r="I834" i="3"/>
  <c r="I835" i="3"/>
  <c r="I836" i="3"/>
  <c r="I837" i="3"/>
  <c r="I838" i="3"/>
  <c r="I839" i="3"/>
  <c r="I841" i="3"/>
  <c r="I842" i="3"/>
  <c r="I845" i="3"/>
  <c r="I846" i="3"/>
  <c r="I847" i="3"/>
  <c r="I848" i="3"/>
  <c r="I849" i="3"/>
  <c r="I850" i="3"/>
  <c r="I851" i="3"/>
  <c r="I852" i="3"/>
  <c r="I853" i="3"/>
  <c r="I854" i="3"/>
  <c r="I855" i="3"/>
  <c r="I856" i="3"/>
  <c r="I857" i="3"/>
  <c r="I858" i="3"/>
  <c r="I859" i="3"/>
  <c r="I861" i="3"/>
  <c r="I862" i="3"/>
  <c r="I865" i="3"/>
  <c r="I866" i="3"/>
  <c r="I867" i="3"/>
  <c r="I868" i="3"/>
  <c r="I869" i="3"/>
  <c r="I870" i="3"/>
  <c r="I871" i="3"/>
  <c r="I872" i="3"/>
  <c r="I873" i="3"/>
  <c r="I874" i="3"/>
  <c r="I875" i="3"/>
  <c r="I876" i="3"/>
  <c r="I877" i="3"/>
  <c r="I878" i="3"/>
  <c r="I879" i="3"/>
  <c r="I881" i="3"/>
  <c r="I882" i="3"/>
  <c r="I885" i="3"/>
  <c r="I886" i="3"/>
  <c r="I887" i="3"/>
  <c r="I888" i="3"/>
  <c r="I889" i="3"/>
  <c r="I890" i="3"/>
  <c r="I891" i="3"/>
  <c r="I892" i="3"/>
  <c r="I893" i="3"/>
  <c r="I894" i="3"/>
  <c r="I895" i="3"/>
  <c r="I896" i="3"/>
  <c r="I897" i="3"/>
  <c r="I898" i="3"/>
  <c r="I899" i="3"/>
  <c r="I901" i="3"/>
  <c r="I902" i="3"/>
  <c r="I905" i="3"/>
  <c r="I906" i="3"/>
  <c r="I907" i="3"/>
  <c r="I908" i="3"/>
  <c r="I909" i="3"/>
  <c r="I910" i="3"/>
  <c r="I911" i="3"/>
  <c r="I912" i="3"/>
  <c r="I913" i="3"/>
  <c r="I914" i="3"/>
  <c r="I915" i="3"/>
  <c r="I916" i="3"/>
  <c r="I917" i="3"/>
  <c r="I918" i="3"/>
  <c r="I919" i="3"/>
  <c r="I921" i="3"/>
  <c r="I922" i="3"/>
  <c r="I925" i="3"/>
  <c r="I926" i="3"/>
  <c r="I927" i="3"/>
  <c r="I928" i="3"/>
  <c r="I929" i="3"/>
  <c r="I930" i="3"/>
  <c r="I931" i="3"/>
  <c r="I932" i="3"/>
  <c r="I933" i="3"/>
  <c r="I934" i="3"/>
  <c r="I935" i="3"/>
  <c r="I936" i="3"/>
  <c r="I937" i="3"/>
  <c r="I938" i="3"/>
  <c r="I939" i="3"/>
  <c r="I941" i="3"/>
  <c r="I942" i="3"/>
  <c r="I945" i="3"/>
  <c r="I946" i="3"/>
  <c r="I947" i="3"/>
  <c r="I948" i="3"/>
  <c r="I949" i="3"/>
  <c r="I950" i="3"/>
  <c r="I951" i="3"/>
  <c r="I952" i="3"/>
  <c r="I953" i="3"/>
  <c r="I954" i="3"/>
  <c r="I955" i="3"/>
  <c r="I956" i="3"/>
  <c r="I957" i="3"/>
  <c r="I958" i="3"/>
  <c r="I959" i="3"/>
  <c r="I961" i="3"/>
  <c r="I962" i="3"/>
  <c r="I965" i="3"/>
  <c r="I966" i="3"/>
  <c r="I967" i="3"/>
  <c r="I968" i="3"/>
  <c r="I969" i="3"/>
  <c r="I970" i="3"/>
  <c r="I971" i="3"/>
  <c r="I972" i="3"/>
  <c r="I973" i="3"/>
  <c r="I974" i="3"/>
  <c r="I975" i="3"/>
  <c r="I976" i="3"/>
  <c r="I977" i="3"/>
  <c r="I978" i="3"/>
  <c r="I979" i="3"/>
  <c r="I981" i="3"/>
  <c r="I982" i="3"/>
  <c r="I985" i="3"/>
  <c r="I986" i="3"/>
  <c r="I987" i="3"/>
  <c r="I988" i="3"/>
  <c r="I989" i="3"/>
  <c r="I990" i="3"/>
  <c r="I991" i="3"/>
  <c r="I992" i="3"/>
  <c r="I993" i="3"/>
  <c r="I994" i="3"/>
  <c r="I995" i="3"/>
  <c r="I996" i="3"/>
  <c r="I997" i="3"/>
  <c r="I998" i="3"/>
  <c r="I999" i="3"/>
  <c r="I1000" i="3"/>
  <c r="I1001" i="3"/>
  <c r="I1002" i="3"/>
  <c r="I1005" i="3"/>
  <c r="I1006" i="3"/>
  <c r="I1007" i="3"/>
  <c r="I1008" i="3"/>
  <c r="I1009" i="3"/>
  <c r="I1010" i="3"/>
  <c r="I1011" i="3"/>
  <c r="I1012" i="3"/>
  <c r="I1013" i="3"/>
  <c r="I1014" i="3"/>
  <c r="I1015" i="3"/>
  <c r="I1016" i="3"/>
  <c r="I1017" i="3"/>
  <c r="I1018" i="3"/>
  <c r="I1019" i="3"/>
  <c r="I1020" i="3"/>
  <c r="I1021" i="3"/>
  <c r="I1022" i="3"/>
  <c r="I1025" i="3"/>
  <c r="I1026" i="3"/>
  <c r="I1027" i="3"/>
  <c r="I1028" i="3"/>
  <c r="I1029" i="3"/>
  <c r="I1030" i="3"/>
  <c r="I1031" i="3"/>
  <c r="I1032" i="3"/>
  <c r="I1033" i="3"/>
  <c r="I1034" i="3"/>
  <c r="I1035" i="3"/>
  <c r="I1036" i="3"/>
  <c r="I1037" i="3"/>
  <c r="I1038" i="3"/>
  <c r="I1039" i="3"/>
  <c r="I1041" i="3"/>
  <c r="I1042" i="3"/>
  <c r="I1045" i="3"/>
  <c r="I1046" i="3"/>
  <c r="I1047" i="3"/>
  <c r="I1048" i="3"/>
  <c r="I1049" i="3"/>
  <c r="I1050" i="3"/>
  <c r="I1051" i="3"/>
  <c r="I1052" i="3"/>
  <c r="I1053" i="3"/>
  <c r="I1054" i="3"/>
  <c r="I1055" i="3"/>
  <c r="I1056" i="3"/>
  <c r="I1057" i="3"/>
  <c r="I1058" i="3"/>
  <c r="I1059" i="3"/>
  <c r="I1061" i="3"/>
  <c r="I1062" i="3"/>
  <c r="I1065" i="3"/>
  <c r="I1066" i="3"/>
  <c r="I1067" i="3"/>
  <c r="I1068" i="3"/>
  <c r="I1069" i="3"/>
  <c r="I1070" i="3"/>
  <c r="I1071" i="3"/>
  <c r="I1072" i="3"/>
  <c r="I1073" i="3"/>
  <c r="I1074" i="3"/>
  <c r="I1075" i="3"/>
  <c r="I1076" i="3"/>
  <c r="I1077" i="3"/>
  <c r="I1078" i="3"/>
  <c r="I1079" i="3"/>
  <c r="I1081" i="3"/>
  <c r="I1082" i="3"/>
  <c r="I1085" i="3"/>
  <c r="I1086" i="3"/>
  <c r="I1087" i="3"/>
  <c r="I1088" i="3"/>
  <c r="I1089" i="3"/>
  <c r="I1090" i="3"/>
  <c r="I1091" i="3"/>
  <c r="I1092" i="3"/>
  <c r="I1093" i="3"/>
  <c r="I1094" i="3"/>
  <c r="I1095" i="3"/>
  <c r="I1096" i="3"/>
  <c r="I1097" i="3"/>
  <c r="I1098" i="3"/>
  <c r="I1099" i="3"/>
  <c r="I1101" i="3"/>
  <c r="I1102" i="3"/>
  <c r="I1105" i="3"/>
  <c r="I1106" i="3"/>
  <c r="I1107" i="3"/>
  <c r="I1108" i="3"/>
  <c r="I1109" i="3"/>
  <c r="I1110" i="3"/>
  <c r="I1111" i="3"/>
  <c r="I1112" i="3"/>
  <c r="I1113" i="3"/>
  <c r="I1114" i="3"/>
  <c r="I1115" i="3"/>
  <c r="I1116" i="3"/>
  <c r="I1117" i="3"/>
  <c r="I1118" i="3"/>
  <c r="I1119" i="3"/>
  <c r="I1121" i="3"/>
  <c r="I1122" i="3"/>
  <c r="I1125" i="3"/>
  <c r="I1126" i="3"/>
  <c r="I1127" i="3"/>
  <c r="I1128" i="3"/>
  <c r="I1129" i="3"/>
  <c r="I1130" i="3"/>
  <c r="I1131" i="3"/>
  <c r="I1132" i="3"/>
  <c r="I1133" i="3"/>
  <c r="I1134" i="3"/>
  <c r="I1135" i="3"/>
  <c r="I1136" i="3"/>
  <c r="I1137" i="3"/>
  <c r="I1138" i="3"/>
  <c r="I1139" i="3"/>
  <c r="I1141" i="3"/>
  <c r="I1142" i="3"/>
  <c r="I1145" i="3"/>
  <c r="I1146" i="3"/>
  <c r="I1147" i="3"/>
  <c r="I1148" i="3"/>
  <c r="I1149" i="3"/>
  <c r="I1150" i="3"/>
  <c r="I1151" i="3"/>
  <c r="I1152" i="3"/>
  <c r="I1153" i="3"/>
  <c r="I1154" i="3"/>
  <c r="I1155" i="3"/>
  <c r="I1156" i="3"/>
  <c r="I1157" i="3"/>
  <c r="I1158" i="3"/>
  <c r="I1159" i="3"/>
  <c r="I1161" i="3"/>
  <c r="I1162" i="3"/>
  <c r="I1165" i="3"/>
  <c r="I1166" i="3"/>
  <c r="I1167" i="3"/>
  <c r="I1168" i="3"/>
  <c r="I1169" i="3"/>
  <c r="I1170" i="3"/>
  <c r="I1171" i="3"/>
  <c r="I1172" i="3"/>
  <c r="I1173" i="3"/>
  <c r="I1174" i="3"/>
  <c r="I1175" i="3"/>
  <c r="I1176" i="3"/>
  <c r="I1177" i="3"/>
  <c r="I1178" i="3"/>
  <c r="I1179" i="3"/>
  <c r="I1181" i="3"/>
  <c r="I1182" i="3"/>
  <c r="I1185" i="3"/>
  <c r="I1186" i="3"/>
  <c r="I1187" i="3"/>
  <c r="I1188" i="3"/>
  <c r="I1189" i="3"/>
  <c r="I1190" i="3"/>
  <c r="I1191" i="3"/>
  <c r="I1192" i="3"/>
  <c r="I1193" i="3"/>
  <c r="I1194" i="3"/>
  <c r="I1195" i="3"/>
  <c r="I1196" i="3"/>
  <c r="I1197" i="3"/>
  <c r="I1198" i="3"/>
  <c r="I1199" i="3"/>
  <c r="I1201" i="3"/>
  <c r="I1202" i="3"/>
  <c r="I1205" i="3"/>
  <c r="I1206" i="3"/>
  <c r="I1207" i="3"/>
  <c r="I1208" i="3"/>
  <c r="I1209" i="3"/>
  <c r="I1210" i="3"/>
  <c r="I1211" i="3"/>
  <c r="I1212" i="3"/>
  <c r="I1213" i="3"/>
  <c r="I1214" i="3"/>
  <c r="I1215" i="3"/>
  <c r="I1216" i="3"/>
  <c r="I1217" i="3"/>
  <c r="I1218" i="3"/>
  <c r="I1219" i="3"/>
  <c r="I1221" i="3"/>
  <c r="I1222" i="3"/>
  <c r="I1225" i="3"/>
  <c r="I1226" i="3"/>
  <c r="I1227" i="3"/>
  <c r="I1228" i="3"/>
  <c r="I1229" i="3"/>
  <c r="I1230" i="3"/>
  <c r="I1231" i="3"/>
  <c r="I1232" i="3"/>
  <c r="I1233" i="3"/>
  <c r="I1234" i="3"/>
  <c r="I1235" i="3"/>
  <c r="I1236" i="3"/>
  <c r="I1237" i="3"/>
  <c r="I1238" i="3"/>
  <c r="I1239" i="3"/>
  <c r="I1241" i="3"/>
  <c r="I1242" i="3"/>
  <c r="I1245" i="3"/>
  <c r="I1246" i="3"/>
  <c r="I1247" i="3"/>
  <c r="I1248" i="3"/>
  <c r="I1249" i="3"/>
  <c r="I1250" i="3"/>
  <c r="I1251" i="3"/>
  <c r="I1252" i="3"/>
  <c r="I1253" i="3"/>
  <c r="I1254" i="3"/>
  <c r="I1255" i="3"/>
  <c r="I1256" i="3"/>
  <c r="I1257" i="3"/>
  <c r="I1258" i="3"/>
  <c r="I1259" i="3"/>
  <c r="I1261" i="3"/>
  <c r="I1262" i="3"/>
  <c r="I1265" i="3"/>
  <c r="I1266" i="3"/>
  <c r="I1267" i="3"/>
  <c r="I1268" i="3"/>
  <c r="I1269" i="3"/>
  <c r="I1270" i="3"/>
  <c r="I1271" i="3"/>
  <c r="I1272" i="3"/>
  <c r="I1273" i="3"/>
  <c r="I1274" i="3"/>
  <c r="I1275" i="3"/>
  <c r="I1276" i="3"/>
  <c r="I1277" i="3"/>
  <c r="I1278" i="3"/>
  <c r="I1279" i="3"/>
  <c r="I1281" i="3"/>
  <c r="I1282" i="3"/>
  <c r="I1285" i="3"/>
  <c r="I1286" i="3"/>
  <c r="I1287" i="3"/>
  <c r="I1288" i="3"/>
  <c r="I1289" i="3"/>
  <c r="I1290" i="3"/>
  <c r="I1291" i="3"/>
  <c r="I1292" i="3"/>
  <c r="I1293" i="3"/>
  <c r="I1294" i="3"/>
  <c r="I1295" i="3"/>
  <c r="I1296" i="3"/>
  <c r="I1297" i="3"/>
  <c r="I1298" i="3"/>
  <c r="I1299" i="3"/>
  <c r="I1301" i="3"/>
  <c r="I1302" i="3"/>
  <c r="I1305" i="3"/>
  <c r="I1306" i="3"/>
  <c r="I1307" i="3"/>
  <c r="I1308" i="3"/>
  <c r="I1309" i="3"/>
  <c r="I1310" i="3"/>
  <c r="I1311" i="3"/>
  <c r="I1312" i="3"/>
  <c r="I1313" i="3"/>
  <c r="I1314" i="3"/>
  <c r="I1315" i="3"/>
  <c r="I1316" i="3"/>
  <c r="I1317" i="3"/>
  <c r="I1318" i="3"/>
  <c r="I1319" i="3"/>
  <c r="I1321" i="3"/>
  <c r="I1322" i="3"/>
  <c r="I1325" i="3"/>
  <c r="I1326" i="3"/>
  <c r="I1327" i="3"/>
  <c r="I1328" i="3"/>
  <c r="I1329" i="3"/>
  <c r="I1330" i="3"/>
  <c r="I1331" i="3"/>
  <c r="I1332" i="3"/>
  <c r="I1333" i="3"/>
  <c r="I1334" i="3"/>
  <c r="I1335" i="3"/>
  <c r="I1336" i="3"/>
  <c r="I1337" i="3"/>
  <c r="I1338" i="3"/>
  <c r="I1339" i="3"/>
  <c r="I1341" i="3"/>
  <c r="I1342" i="3"/>
  <c r="I1345" i="3"/>
  <c r="I1346" i="3"/>
  <c r="I1347" i="3"/>
  <c r="I1348" i="3"/>
  <c r="I1349" i="3"/>
  <c r="I1350" i="3"/>
  <c r="I1351" i="3"/>
  <c r="I1352" i="3"/>
  <c r="I1353" i="3"/>
  <c r="I1354" i="3"/>
  <c r="I1355" i="3"/>
  <c r="I1356" i="3"/>
  <c r="I1357" i="3"/>
  <c r="I1358" i="3"/>
  <c r="I1359" i="3"/>
  <c r="I1361" i="3"/>
  <c r="I1362" i="3"/>
  <c r="I1365" i="3"/>
  <c r="I1366" i="3"/>
  <c r="I1367" i="3"/>
  <c r="I1368" i="3"/>
  <c r="I1369" i="3"/>
  <c r="I1370" i="3"/>
  <c r="I1371" i="3"/>
  <c r="I1372" i="3"/>
  <c r="I1373" i="3"/>
  <c r="I1374" i="3"/>
  <c r="I1375" i="3"/>
  <c r="I1376" i="3"/>
  <c r="I1377" i="3"/>
  <c r="I1378" i="3"/>
  <c r="I1379" i="3"/>
  <c r="I1381" i="3"/>
  <c r="I1382" i="3"/>
  <c r="I1385" i="3"/>
  <c r="I1386" i="3"/>
  <c r="I1387" i="3"/>
  <c r="I1388" i="3"/>
  <c r="I1389" i="3"/>
  <c r="I1390" i="3"/>
  <c r="I1391" i="3"/>
  <c r="I1392" i="3"/>
  <c r="I1393" i="3"/>
  <c r="I1394" i="3"/>
  <c r="I1395" i="3"/>
  <c r="I1396" i="3"/>
  <c r="I1397" i="3"/>
  <c r="I1398" i="3"/>
  <c r="I1399" i="3"/>
  <c r="I1401" i="3"/>
  <c r="I1402" i="3"/>
  <c r="I1405" i="3"/>
  <c r="I1406" i="3"/>
  <c r="I1407" i="3"/>
  <c r="I1408" i="3"/>
  <c r="I1409" i="3"/>
  <c r="I1410" i="3"/>
  <c r="I1411" i="3"/>
  <c r="I1412" i="3"/>
  <c r="I1413" i="3"/>
  <c r="I1414" i="3"/>
  <c r="I1415" i="3"/>
  <c r="I1416" i="3"/>
  <c r="I1417" i="3"/>
  <c r="I1418" i="3"/>
  <c r="I1419" i="3"/>
  <c r="I1421" i="3"/>
  <c r="I1422" i="3"/>
  <c r="I1425" i="3"/>
  <c r="I1426" i="3"/>
  <c r="I1427" i="3"/>
  <c r="I1428" i="3"/>
  <c r="I1429" i="3"/>
  <c r="I1430" i="3"/>
  <c r="I1431" i="3"/>
  <c r="I1432" i="3"/>
  <c r="I1433" i="3"/>
  <c r="I1434" i="3"/>
  <c r="I1435" i="3"/>
  <c r="I1436" i="3"/>
  <c r="I1437" i="3"/>
  <c r="I1438" i="3"/>
  <c r="I1439" i="3"/>
  <c r="I1441" i="3"/>
  <c r="I1442" i="3"/>
  <c r="I1445" i="3"/>
  <c r="I1446" i="3"/>
  <c r="I1447" i="3"/>
  <c r="I1448" i="3"/>
  <c r="I1449" i="3"/>
  <c r="I1450" i="3"/>
  <c r="I1451" i="3"/>
  <c r="I1452" i="3"/>
  <c r="I1453" i="3"/>
  <c r="I1454" i="3"/>
  <c r="I1455" i="3"/>
  <c r="I1456" i="3"/>
  <c r="I1457" i="3"/>
  <c r="I1458" i="3"/>
  <c r="I1459" i="3"/>
  <c r="I1461" i="3"/>
  <c r="I1462" i="3"/>
  <c r="I1465" i="3"/>
  <c r="I1466" i="3"/>
  <c r="I1467" i="3"/>
  <c r="I1468" i="3"/>
  <c r="I1469" i="3"/>
  <c r="I1470" i="3"/>
  <c r="I1471" i="3"/>
  <c r="I1472" i="3"/>
  <c r="I1473" i="3"/>
  <c r="I1474" i="3"/>
  <c r="I1475" i="3"/>
  <c r="I1476" i="3"/>
  <c r="I1477" i="3"/>
  <c r="I1478" i="3"/>
  <c r="I1479" i="3"/>
  <c r="I1481" i="3"/>
  <c r="I1482" i="3"/>
  <c r="I1485" i="3"/>
  <c r="I1486" i="3"/>
  <c r="I1487" i="3"/>
  <c r="I1488" i="3"/>
  <c r="I1489" i="3"/>
  <c r="I1490" i="3"/>
  <c r="I1491" i="3"/>
  <c r="I1492" i="3"/>
  <c r="I1493" i="3"/>
  <c r="I1494" i="3"/>
  <c r="I1495" i="3"/>
  <c r="I1496" i="3"/>
  <c r="I1497" i="3"/>
  <c r="I1498" i="3"/>
  <c r="I1499" i="3"/>
  <c r="I1501" i="3"/>
  <c r="I1502" i="3"/>
  <c r="I1505" i="3"/>
  <c r="I1506" i="3"/>
  <c r="I1507" i="3"/>
  <c r="I1508" i="3"/>
  <c r="I1509" i="3"/>
  <c r="I1510" i="3"/>
  <c r="I1511" i="3"/>
  <c r="I1512" i="3"/>
  <c r="I1513" i="3"/>
  <c r="I1514" i="3"/>
  <c r="I1515" i="3"/>
  <c r="I1516" i="3"/>
  <c r="I1517" i="3"/>
  <c r="I1518" i="3"/>
  <c r="I1519" i="3"/>
  <c r="I1521" i="3"/>
  <c r="I1522" i="3"/>
  <c r="I1525" i="3"/>
  <c r="I1526" i="3"/>
  <c r="I1527" i="3"/>
  <c r="I1528" i="3"/>
  <c r="I1529" i="3"/>
  <c r="I1530" i="3"/>
  <c r="I1531" i="3"/>
  <c r="I1532" i="3"/>
  <c r="I1533" i="3"/>
  <c r="I1534" i="3"/>
  <c r="I1535" i="3"/>
  <c r="I1536" i="3"/>
  <c r="I1537" i="3"/>
  <c r="I1538" i="3"/>
  <c r="I1539" i="3"/>
  <c r="I1541" i="3"/>
  <c r="I1542" i="3"/>
  <c r="I1545" i="3"/>
  <c r="I1546" i="3"/>
  <c r="I1547" i="3"/>
  <c r="I1548" i="3"/>
  <c r="I1549" i="3"/>
  <c r="I1550" i="3"/>
  <c r="I1551" i="3"/>
  <c r="I1552" i="3"/>
  <c r="I1553" i="3"/>
  <c r="I1554" i="3"/>
  <c r="I1555" i="3"/>
  <c r="I1556" i="3"/>
  <c r="I1557" i="3"/>
  <c r="I1558" i="3"/>
  <c r="I1559" i="3"/>
  <c r="I1561" i="3"/>
  <c r="I1562" i="3"/>
  <c r="I1565" i="3"/>
  <c r="I1566" i="3"/>
  <c r="I1567" i="3"/>
  <c r="I1568" i="3"/>
  <c r="I1569" i="3"/>
  <c r="I1570" i="3"/>
  <c r="I1571" i="3"/>
  <c r="I1574" i="3"/>
  <c r="I1575" i="3"/>
  <c r="I1576" i="3"/>
  <c r="I1577" i="3"/>
  <c r="I1578" i="3"/>
  <c r="I1579" i="3"/>
  <c r="I1581" i="3"/>
  <c r="I1582" i="3"/>
  <c r="I1585" i="3"/>
  <c r="I1586" i="3"/>
  <c r="I1587" i="3"/>
  <c r="I1588" i="3"/>
  <c r="I1589" i="3"/>
  <c r="I1590" i="3"/>
  <c r="I1591" i="3"/>
  <c r="I1592" i="3"/>
  <c r="I1593" i="3"/>
  <c r="I1594" i="3"/>
  <c r="I1595" i="3"/>
  <c r="I1596" i="3"/>
  <c r="I1597" i="3"/>
  <c r="I1598" i="3"/>
  <c r="I1599" i="3"/>
  <c r="I1601" i="3"/>
  <c r="I1602" i="3"/>
  <c r="I1605" i="3"/>
  <c r="I1606" i="3"/>
  <c r="I1607" i="3"/>
  <c r="I1608" i="3"/>
  <c r="I1609" i="3"/>
  <c r="I1610" i="3"/>
  <c r="I1611" i="3"/>
  <c r="I1612" i="3"/>
  <c r="I1613" i="3"/>
  <c r="I1614" i="3"/>
  <c r="I1615" i="3"/>
  <c r="I1616" i="3"/>
  <c r="I1617" i="3"/>
  <c r="I1618" i="3"/>
  <c r="I1619" i="3"/>
  <c r="I1621" i="3"/>
  <c r="I1622" i="3"/>
  <c r="I1625" i="3"/>
  <c r="I1626" i="3"/>
  <c r="I1627" i="3"/>
  <c r="I1628" i="3"/>
  <c r="I1629" i="3"/>
  <c r="I1630" i="3"/>
  <c r="I1631" i="3"/>
  <c r="I1632" i="3"/>
  <c r="I1633" i="3"/>
  <c r="I1634" i="3"/>
  <c r="I1635" i="3"/>
  <c r="I1636" i="3"/>
  <c r="I1637" i="3"/>
  <c r="I1638" i="3"/>
  <c r="I1639" i="3"/>
  <c r="I1641" i="3"/>
  <c r="I1642" i="3"/>
  <c r="I1645" i="3"/>
  <c r="I1646" i="3"/>
  <c r="I1647" i="3"/>
  <c r="I1648" i="3"/>
  <c r="I1649" i="3"/>
  <c r="I1650" i="3"/>
  <c r="I1651" i="3"/>
  <c r="I1652" i="3"/>
  <c r="I1653" i="3"/>
  <c r="I1654" i="3"/>
  <c r="I1655" i="3"/>
  <c r="I1656" i="3"/>
  <c r="I1657" i="3"/>
  <c r="I1658" i="3"/>
  <c r="I1659" i="3"/>
  <c r="I1661" i="3"/>
  <c r="I1662" i="3"/>
  <c r="I1665" i="3"/>
  <c r="I1666" i="3"/>
  <c r="I1667" i="3"/>
  <c r="I1668" i="3"/>
  <c r="I1669" i="3"/>
  <c r="I1670" i="3"/>
  <c r="I1671" i="3"/>
  <c r="I1672" i="3"/>
  <c r="I1673" i="3"/>
  <c r="I1674" i="3"/>
  <c r="I1675" i="3"/>
  <c r="I1676" i="3"/>
  <c r="I1677" i="3"/>
  <c r="I1678" i="3"/>
  <c r="I1679" i="3"/>
  <c r="I1681" i="3"/>
  <c r="I1682" i="3"/>
  <c r="I1685" i="3"/>
  <c r="I1686" i="3"/>
  <c r="I1687" i="3"/>
  <c r="I1688" i="3"/>
  <c r="I1689" i="3"/>
  <c r="I1690" i="3"/>
  <c r="I1691" i="3"/>
  <c r="I1692" i="3"/>
  <c r="I1693" i="3"/>
  <c r="I1694" i="3"/>
  <c r="I1695" i="3"/>
  <c r="I1696" i="3"/>
  <c r="I1697" i="3"/>
  <c r="I1698" i="3"/>
  <c r="I1699" i="3"/>
  <c r="I1701" i="3"/>
  <c r="I1702" i="3"/>
  <c r="I1705" i="3"/>
  <c r="I1706" i="3"/>
  <c r="I1707" i="3"/>
  <c r="I1708" i="3"/>
  <c r="I1709" i="3"/>
  <c r="I1710" i="3"/>
  <c r="I1711" i="3"/>
  <c r="I1712" i="3"/>
  <c r="I1713" i="3"/>
  <c r="I1714" i="3"/>
  <c r="I1715" i="3"/>
  <c r="I1716" i="3"/>
  <c r="I1717" i="3"/>
  <c r="I1721" i="3"/>
  <c r="I1722" i="3"/>
  <c r="I1725" i="3"/>
  <c r="I1726" i="3"/>
  <c r="I1727" i="3"/>
  <c r="I1728" i="3"/>
  <c r="I1729" i="3"/>
  <c r="I1730" i="3"/>
  <c r="I1731" i="3"/>
  <c r="I1732" i="3"/>
  <c r="I1733" i="3"/>
  <c r="I1734" i="3"/>
  <c r="I1735" i="3"/>
  <c r="I1736" i="3"/>
  <c r="I1737" i="3"/>
  <c r="I1738" i="3"/>
  <c r="I1739" i="3"/>
  <c r="I1741" i="3"/>
  <c r="I1742" i="3"/>
  <c r="I1745" i="3"/>
  <c r="I1746" i="3"/>
  <c r="I1747" i="3"/>
  <c r="I1748" i="3"/>
  <c r="I1749" i="3"/>
  <c r="I1750" i="3"/>
  <c r="I1751" i="3"/>
  <c r="I1752" i="3"/>
  <c r="I1753" i="3"/>
  <c r="I1754" i="3"/>
  <c r="I1755" i="3"/>
  <c r="I1756" i="3"/>
  <c r="I1757" i="3"/>
  <c r="I1758" i="3"/>
  <c r="I1759" i="3"/>
  <c r="I1761" i="3"/>
  <c r="I1762" i="3"/>
  <c r="I1765" i="3"/>
  <c r="I1766" i="3"/>
  <c r="I1767" i="3"/>
  <c r="I1768" i="3"/>
  <c r="I1769" i="3"/>
  <c r="I1770" i="3"/>
  <c r="I1771" i="3"/>
  <c r="I1772" i="3"/>
  <c r="I1773" i="3"/>
  <c r="I1774" i="3"/>
  <c r="I1775" i="3"/>
  <c r="I1776" i="3"/>
  <c r="I1777" i="3"/>
  <c r="I1778" i="3"/>
  <c r="I1779" i="3"/>
  <c r="I1781" i="3"/>
  <c r="I1782" i="3"/>
  <c r="I1785" i="3"/>
  <c r="I1786" i="3"/>
  <c r="I1787" i="3"/>
  <c r="I1788" i="3"/>
  <c r="I1789" i="3"/>
  <c r="I1790" i="3"/>
  <c r="I1791" i="3"/>
  <c r="I1792" i="3"/>
  <c r="I1793" i="3"/>
  <c r="I1794" i="3"/>
  <c r="I1795" i="3"/>
  <c r="I1796" i="3"/>
  <c r="I1797" i="3"/>
  <c r="I1798" i="3"/>
  <c r="I1799" i="3"/>
  <c r="I1801" i="3"/>
  <c r="I1802" i="3"/>
  <c r="I1805" i="3"/>
  <c r="I1806" i="3"/>
  <c r="I1807" i="3"/>
  <c r="I1808" i="3"/>
  <c r="I1809" i="3"/>
  <c r="I1810" i="3"/>
  <c r="I1811" i="3"/>
  <c r="I1812" i="3"/>
  <c r="I1813" i="3"/>
  <c r="I1814" i="3"/>
  <c r="I1815" i="3"/>
  <c r="I1816" i="3"/>
  <c r="I1817" i="3"/>
  <c r="I1818" i="3"/>
  <c r="I1819" i="3"/>
  <c r="I1820" i="3"/>
  <c r="I1821" i="3"/>
  <c r="I1822" i="3"/>
  <c r="I1825" i="3"/>
  <c r="I1826" i="3"/>
  <c r="I1827" i="3"/>
  <c r="I1828" i="3"/>
  <c r="I1829" i="3"/>
  <c r="I1830" i="3"/>
  <c r="I1831" i="3"/>
  <c r="I1832" i="3"/>
  <c r="I1833" i="3"/>
  <c r="I1834" i="3"/>
  <c r="I1835" i="3"/>
  <c r="I1836" i="3"/>
  <c r="I1837" i="3"/>
  <c r="I1838" i="3"/>
  <c r="I1839" i="3"/>
  <c r="I1840" i="3"/>
  <c r="I1841" i="3"/>
  <c r="I1842" i="3"/>
  <c r="I1845" i="3"/>
  <c r="I1846" i="3"/>
  <c r="I1847" i="3"/>
  <c r="I1848" i="3"/>
  <c r="I1849" i="3"/>
  <c r="I1850" i="3"/>
  <c r="I1851" i="3"/>
  <c r="I1852" i="3"/>
  <c r="I1853" i="3"/>
  <c r="I1854" i="3"/>
  <c r="I1855" i="3"/>
  <c r="I1856" i="3"/>
  <c r="I1857" i="3"/>
  <c r="I1858" i="3"/>
  <c r="I1859" i="3"/>
  <c r="I1860" i="3"/>
  <c r="I1861" i="3"/>
  <c r="I1862" i="3"/>
  <c r="I1865" i="3"/>
  <c r="I1866" i="3"/>
  <c r="I1867" i="3"/>
  <c r="I1868" i="3"/>
  <c r="I1869" i="3"/>
  <c r="I1870" i="3"/>
  <c r="I1871" i="3"/>
  <c r="I1872" i="3"/>
  <c r="I1873" i="3"/>
  <c r="I1874" i="3"/>
  <c r="I1875" i="3"/>
  <c r="I1876" i="3"/>
  <c r="I1877" i="3"/>
  <c r="I1878" i="3"/>
  <c r="I1879" i="3"/>
  <c r="I1881" i="3"/>
  <c r="I1882" i="3"/>
  <c r="I1885" i="3"/>
  <c r="I1886" i="3"/>
  <c r="I1887" i="3"/>
  <c r="I1888" i="3"/>
  <c r="I1889" i="3"/>
  <c r="I1890" i="3"/>
  <c r="I1891" i="3"/>
  <c r="I1892" i="3"/>
  <c r="I1893" i="3"/>
  <c r="I1894" i="3"/>
  <c r="I1895" i="3"/>
  <c r="I1896" i="3"/>
  <c r="I1897" i="3"/>
  <c r="I1898" i="3"/>
  <c r="I1899" i="3"/>
  <c r="I1900" i="3"/>
  <c r="I1901" i="3"/>
  <c r="I1902" i="3"/>
  <c r="I1905" i="3"/>
  <c r="I1906" i="3"/>
  <c r="I1907" i="3"/>
  <c r="I1908" i="3"/>
  <c r="I1909" i="3"/>
  <c r="I1910" i="3"/>
  <c r="I1911" i="3"/>
  <c r="I1912" i="3"/>
  <c r="I1913" i="3"/>
  <c r="I1914" i="3"/>
  <c r="I1915" i="3"/>
  <c r="I1916" i="3"/>
  <c r="I1917" i="3"/>
  <c r="I1918" i="3"/>
  <c r="I1919" i="3"/>
  <c r="I1920" i="3"/>
  <c r="I1921" i="3"/>
  <c r="I1922" i="3"/>
  <c r="I1925" i="3"/>
  <c r="I1926" i="3"/>
  <c r="I1927" i="3"/>
  <c r="I1928" i="3"/>
  <c r="I1929" i="3"/>
  <c r="I1930" i="3"/>
  <c r="I1931" i="3"/>
  <c r="I1932" i="3"/>
  <c r="I1933" i="3"/>
  <c r="I1934" i="3"/>
  <c r="I1935" i="3"/>
  <c r="I1936" i="3"/>
  <c r="I1937" i="3"/>
  <c r="I1938" i="3"/>
  <c r="I1939" i="3"/>
  <c r="I1941" i="3"/>
  <c r="I1942" i="3"/>
  <c r="I1945" i="3"/>
  <c r="I1946" i="3"/>
  <c r="I1947" i="3"/>
  <c r="I1948" i="3"/>
  <c r="I1949" i="3"/>
  <c r="I1950" i="3"/>
  <c r="I1951" i="3"/>
  <c r="I1952" i="3"/>
  <c r="I1953" i="3"/>
  <c r="I1954" i="3"/>
  <c r="I1955" i="3"/>
  <c r="I1956" i="3"/>
  <c r="I1957" i="3"/>
  <c r="I1958" i="3"/>
  <c r="I1959" i="3"/>
  <c r="I1961" i="3"/>
  <c r="I1962" i="3"/>
  <c r="I1965" i="3"/>
  <c r="I1966" i="3"/>
  <c r="I1967" i="3"/>
  <c r="I1968" i="3"/>
  <c r="I1969" i="3"/>
  <c r="I1970" i="3"/>
  <c r="I1971" i="3"/>
  <c r="I1972" i="3"/>
  <c r="I1973" i="3"/>
  <c r="I1974" i="3"/>
  <c r="I1975" i="3"/>
  <c r="I1976" i="3"/>
  <c r="I1977" i="3"/>
  <c r="I1978" i="3"/>
  <c r="I1979" i="3"/>
  <c r="I1980" i="3"/>
  <c r="I1981" i="3"/>
  <c r="I1982" i="3"/>
  <c r="I1985" i="3"/>
  <c r="I1986" i="3"/>
  <c r="I1987" i="3"/>
  <c r="I1988" i="3"/>
  <c r="I1989" i="3"/>
  <c r="I1990" i="3"/>
  <c r="I1991" i="3"/>
  <c r="I1992" i="3"/>
  <c r="I1993" i="3"/>
  <c r="I1994" i="3"/>
  <c r="I1995" i="3"/>
  <c r="I1996" i="3"/>
  <c r="I1997" i="3"/>
  <c r="I1998" i="3"/>
  <c r="I2" i="3"/>
  <c r="G25" i="3"/>
  <c r="H25" i="3"/>
  <c r="J25" i="3"/>
  <c r="G26" i="3"/>
  <c r="H26" i="3"/>
  <c r="J26" i="3"/>
  <c r="G27" i="3"/>
  <c r="H27" i="3"/>
  <c r="J27" i="3"/>
  <c r="G28" i="3"/>
  <c r="H28" i="3"/>
  <c r="J28" i="3"/>
  <c r="G29" i="3"/>
  <c r="H29" i="3"/>
  <c r="J29" i="3"/>
  <c r="G30" i="3"/>
  <c r="H30" i="3"/>
  <c r="J30" i="3"/>
  <c r="G31" i="3"/>
  <c r="H31" i="3"/>
  <c r="J31" i="3"/>
  <c r="G32" i="3"/>
  <c r="H32" i="3"/>
  <c r="J32" i="3"/>
  <c r="G33" i="3"/>
  <c r="H33" i="3"/>
  <c r="J33" i="3"/>
  <c r="G34" i="3"/>
  <c r="H34" i="3"/>
  <c r="J34" i="3"/>
  <c r="G35" i="3"/>
  <c r="H35" i="3"/>
  <c r="J35" i="3"/>
  <c r="G36" i="3"/>
  <c r="H36" i="3"/>
  <c r="J36" i="3"/>
  <c r="G37" i="3"/>
  <c r="H37" i="3"/>
  <c r="J37" i="3"/>
  <c r="G38" i="3"/>
  <c r="H38" i="3"/>
  <c r="J38" i="3"/>
  <c r="G39" i="3"/>
  <c r="H39" i="3"/>
  <c r="J39" i="3"/>
  <c r="G40" i="3"/>
  <c r="H40" i="3"/>
  <c r="J40" i="3"/>
  <c r="G41" i="3"/>
  <c r="H41" i="3"/>
  <c r="J41" i="3"/>
  <c r="G42" i="3"/>
  <c r="H42" i="3"/>
  <c r="G45" i="3"/>
  <c r="H45" i="3"/>
  <c r="J45" i="3"/>
  <c r="G46" i="3"/>
  <c r="H46" i="3"/>
  <c r="J46" i="3"/>
  <c r="G47" i="3"/>
  <c r="H47" i="3"/>
  <c r="J47" i="3"/>
  <c r="G48" i="3"/>
  <c r="H48" i="3"/>
  <c r="J48" i="3"/>
  <c r="G49" i="3"/>
  <c r="H49" i="3"/>
  <c r="J49" i="3"/>
  <c r="G50" i="3"/>
  <c r="H50" i="3"/>
  <c r="J50" i="3"/>
  <c r="G51" i="3"/>
  <c r="H51" i="3"/>
  <c r="J51" i="3"/>
  <c r="G52" i="3"/>
  <c r="H52" i="3"/>
  <c r="J52" i="3"/>
  <c r="G53" i="3"/>
  <c r="H53" i="3"/>
  <c r="J53" i="3"/>
  <c r="G54" i="3"/>
  <c r="H54" i="3"/>
  <c r="J54" i="3"/>
  <c r="G55" i="3"/>
  <c r="H55" i="3"/>
  <c r="J55" i="3"/>
  <c r="G56" i="3"/>
  <c r="H56" i="3"/>
  <c r="J56" i="3"/>
  <c r="G57" i="3"/>
  <c r="H57" i="3"/>
  <c r="J57" i="3"/>
  <c r="G58" i="3"/>
  <c r="H58" i="3"/>
  <c r="J58" i="3"/>
  <c r="G59" i="3"/>
  <c r="H59" i="3"/>
  <c r="J59" i="3"/>
  <c r="G60" i="3"/>
  <c r="H60" i="3"/>
  <c r="J60" i="3"/>
  <c r="G61" i="3"/>
  <c r="H61" i="3"/>
  <c r="J61" i="3"/>
  <c r="G62" i="3"/>
  <c r="H62" i="3"/>
  <c r="J62" i="3"/>
  <c r="G65" i="3"/>
  <c r="H65" i="3"/>
  <c r="J65" i="3"/>
  <c r="G66" i="3"/>
  <c r="H66" i="3"/>
  <c r="J66" i="3"/>
  <c r="G67" i="3"/>
  <c r="H67" i="3"/>
  <c r="J67" i="3"/>
  <c r="G68" i="3"/>
  <c r="H68" i="3"/>
  <c r="J68" i="3"/>
  <c r="G69" i="3"/>
  <c r="H69" i="3"/>
  <c r="J69" i="3"/>
  <c r="G70" i="3"/>
  <c r="H70" i="3"/>
  <c r="J70" i="3"/>
  <c r="G71" i="3"/>
  <c r="H71" i="3"/>
  <c r="J71" i="3"/>
  <c r="G72" i="3"/>
  <c r="H72" i="3"/>
  <c r="J72" i="3"/>
  <c r="G73" i="3"/>
  <c r="H73" i="3"/>
  <c r="J73" i="3"/>
  <c r="G74" i="3"/>
  <c r="H74" i="3"/>
  <c r="J74" i="3"/>
  <c r="G75" i="3"/>
  <c r="H75" i="3"/>
  <c r="J75" i="3"/>
  <c r="G76" i="3"/>
  <c r="H76" i="3"/>
  <c r="J76" i="3"/>
  <c r="G77" i="3"/>
  <c r="H77" i="3"/>
  <c r="J77" i="3"/>
  <c r="G78" i="3"/>
  <c r="H78" i="3"/>
  <c r="J78" i="3"/>
  <c r="G79" i="3"/>
  <c r="H79" i="3"/>
  <c r="J79" i="3"/>
  <c r="G80" i="3"/>
  <c r="H80" i="3"/>
  <c r="J80" i="3"/>
  <c r="G81" i="3"/>
  <c r="H81" i="3"/>
  <c r="J81" i="3"/>
  <c r="G82" i="3"/>
  <c r="H82" i="3"/>
  <c r="J82" i="3"/>
  <c r="G85" i="3"/>
  <c r="H85" i="3"/>
  <c r="J85" i="3"/>
  <c r="G86" i="3"/>
  <c r="H86" i="3"/>
  <c r="J86" i="3"/>
  <c r="G87" i="3"/>
  <c r="H87" i="3"/>
  <c r="J87" i="3"/>
  <c r="G88" i="3"/>
  <c r="H88" i="3"/>
  <c r="J88" i="3"/>
  <c r="G89" i="3"/>
  <c r="H89" i="3"/>
  <c r="J89" i="3"/>
  <c r="G90" i="3"/>
  <c r="H90" i="3"/>
  <c r="J90" i="3"/>
  <c r="G91" i="3"/>
  <c r="H91" i="3"/>
  <c r="J91" i="3"/>
  <c r="G92" i="3"/>
  <c r="H92" i="3"/>
  <c r="J92" i="3"/>
  <c r="G93" i="3"/>
  <c r="H93" i="3"/>
  <c r="J93" i="3"/>
  <c r="G94" i="3"/>
  <c r="H94" i="3"/>
  <c r="J94" i="3"/>
  <c r="G95" i="3"/>
  <c r="H95" i="3"/>
  <c r="J95" i="3"/>
  <c r="G96" i="3"/>
  <c r="H96" i="3"/>
  <c r="J96" i="3"/>
  <c r="G97" i="3"/>
  <c r="H97" i="3"/>
  <c r="J97" i="3"/>
  <c r="G98" i="3"/>
  <c r="H98" i="3"/>
  <c r="J98" i="3"/>
  <c r="G99" i="3"/>
  <c r="H99" i="3"/>
  <c r="J99" i="3"/>
  <c r="G100" i="3"/>
  <c r="H100" i="3"/>
  <c r="J100" i="3"/>
  <c r="G101" i="3"/>
  <c r="H101" i="3"/>
  <c r="J101" i="3"/>
  <c r="G102" i="3"/>
  <c r="H102" i="3"/>
  <c r="J102" i="3"/>
  <c r="G105" i="3"/>
  <c r="H105" i="3"/>
  <c r="J105" i="3"/>
  <c r="G106" i="3"/>
  <c r="H106" i="3"/>
  <c r="J106" i="3"/>
  <c r="G107" i="3"/>
  <c r="H107" i="3"/>
  <c r="J107" i="3"/>
  <c r="G108" i="3"/>
  <c r="H108" i="3"/>
  <c r="J108" i="3"/>
  <c r="G109" i="3"/>
  <c r="H109" i="3"/>
  <c r="J109" i="3"/>
  <c r="G110" i="3"/>
  <c r="H110" i="3"/>
  <c r="J110" i="3"/>
  <c r="G111" i="3"/>
  <c r="H111" i="3"/>
  <c r="J111" i="3"/>
  <c r="G112" i="3"/>
  <c r="H112" i="3"/>
  <c r="J112" i="3"/>
  <c r="G113" i="3"/>
  <c r="H113" i="3"/>
  <c r="J113" i="3"/>
  <c r="G114" i="3"/>
  <c r="H114" i="3"/>
  <c r="J114" i="3"/>
  <c r="G115" i="3"/>
  <c r="H115" i="3"/>
  <c r="J115" i="3"/>
  <c r="G116" i="3"/>
  <c r="H116" i="3"/>
  <c r="J116" i="3"/>
  <c r="G117" i="3"/>
  <c r="H117" i="3"/>
  <c r="J117" i="3"/>
  <c r="G118" i="3"/>
  <c r="H118" i="3"/>
  <c r="J118" i="3"/>
  <c r="G119" i="3"/>
  <c r="H119" i="3"/>
  <c r="J119" i="3"/>
  <c r="J120" i="3"/>
  <c r="G121" i="3"/>
  <c r="H121" i="3"/>
  <c r="J121" i="3"/>
  <c r="G122" i="3"/>
  <c r="H122" i="3"/>
  <c r="J122" i="3"/>
  <c r="G125" i="3"/>
  <c r="H125" i="3"/>
  <c r="J125" i="3"/>
  <c r="G126" i="3"/>
  <c r="H126" i="3"/>
  <c r="J126" i="3"/>
  <c r="G127" i="3"/>
  <c r="H127" i="3"/>
  <c r="J127" i="3"/>
  <c r="G128" i="3"/>
  <c r="H128" i="3"/>
  <c r="J128" i="3"/>
  <c r="G129" i="3"/>
  <c r="H129" i="3"/>
  <c r="J129" i="3"/>
  <c r="G130" i="3"/>
  <c r="H130" i="3"/>
  <c r="J130" i="3"/>
  <c r="G131" i="3"/>
  <c r="H131" i="3"/>
  <c r="J131" i="3"/>
  <c r="G132" i="3"/>
  <c r="H132" i="3"/>
  <c r="J132" i="3"/>
  <c r="G133" i="3"/>
  <c r="H133" i="3"/>
  <c r="J133" i="3"/>
  <c r="G134" i="3"/>
  <c r="H134" i="3"/>
  <c r="J134" i="3"/>
  <c r="G135" i="3"/>
  <c r="H135" i="3"/>
  <c r="J135" i="3"/>
  <c r="G136" i="3"/>
  <c r="H136" i="3"/>
  <c r="J136" i="3"/>
  <c r="G137" i="3"/>
  <c r="H137" i="3"/>
  <c r="J137" i="3"/>
  <c r="G138" i="3"/>
  <c r="H138" i="3"/>
  <c r="J138" i="3"/>
  <c r="G139" i="3"/>
  <c r="H139" i="3"/>
  <c r="J139" i="3"/>
  <c r="H140" i="3"/>
  <c r="J140" i="3"/>
  <c r="H141" i="3"/>
  <c r="J141" i="3"/>
  <c r="H142" i="3"/>
  <c r="J142" i="3"/>
  <c r="G145" i="3"/>
  <c r="H145" i="3"/>
  <c r="J145" i="3"/>
  <c r="G146" i="3"/>
  <c r="H146" i="3"/>
  <c r="J146" i="3"/>
  <c r="G147" i="3"/>
  <c r="H147" i="3"/>
  <c r="J147" i="3"/>
  <c r="G148" i="3"/>
  <c r="H148" i="3"/>
  <c r="J148" i="3"/>
  <c r="G149" i="3"/>
  <c r="H149" i="3"/>
  <c r="J149" i="3"/>
  <c r="G150" i="3"/>
  <c r="H150" i="3"/>
  <c r="J150" i="3"/>
  <c r="G151" i="3"/>
  <c r="H151" i="3"/>
  <c r="J151" i="3"/>
  <c r="G152" i="3"/>
  <c r="H152" i="3"/>
  <c r="J152" i="3"/>
  <c r="G153" i="3"/>
  <c r="H153" i="3"/>
  <c r="J153" i="3"/>
  <c r="G154" i="3"/>
  <c r="H154" i="3"/>
  <c r="J154" i="3"/>
  <c r="G155" i="3"/>
  <c r="H155" i="3"/>
  <c r="J155" i="3"/>
  <c r="G156" i="3"/>
  <c r="H156" i="3"/>
  <c r="J156" i="3"/>
  <c r="G157" i="3"/>
  <c r="H157" i="3"/>
  <c r="J157" i="3"/>
  <c r="G158" i="3"/>
  <c r="H158" i="3"/>
  <c r="J158" i="3"/>
  <c r="G159" i="3"/>
  <c r="H159" i="3"/>
  <c r="J159" i="3"/>
  <c r="J160" i="3"/>
  <c r="G161" i="3"/>
  <c r="H161" i="3"/>
  <c r="J161" i="3"/>
  <c r="G162" i="3"/>
  <c r="H162" i="3"/>
  <c r="J162" i="3"/>
  <c r="G165" i="3"/>
  <c r="H165" i="3"/>
  <c r="J165" i="3"/>
  <c r="G166" i="3"/>
  <c r="H166" i="3"/>
  <c r="J166" i="3"/>
  <c r="G167" i="3"/>
  <c r="H167" i="3"/>
  <c r="J167" i="3"/>
  <c r="G168" i="3"/>
  <c r="H168" i="3"/>
  <c r="J168" i="3"/>
  <c r="G169" i="3"/>
  <c r="H169" i="3"/>
  <c r="J169" i="3"/>
  <c r="G170" i="3"/>
  <c r="H170" i="3"/>
  <c r="J170" i="3"/>
  <c r="G171" i="3"/>
  <c r="H171" i="3"/>
  <c r="J171" i="3"/>
  <c r="G172" i="3"/>
  <c r="H172" i="3"/>
  <c r="J172" i="3"/>
  <c r="G173" i="3"/>
  <c r="H173" i="3"/>
  <c r="J173" i="3"/>
  <c r="G174" i="3"/>
  <c r="H174" i="3"/>
  <c r="J174" i="3"/>
  <c r="G175" i="3"/>
  <c r="H175" i="3"/>
  <c r="J175" i="3"/>
  <c r="G176" i="3"/>
  <c r="H176" i="3"/>
  <c r="J176" i="3"/>
  <c r="G177" i="3"/>
  <c r="H177" i="3"/>
  <c r="J177" i="3"/>
  <c r="G178" i="3"/>
  <c r="H178" i="3"/>
  <c r="J178" i="3"/>
  <c r="G179" i="3"/>
  <c r="H179" i="3"/>
  <c r="J179" i="3"/>
  <c r="J180" i="3"/>
  <c r="G181" i="3"/>
  <c r="H181" i="3"/>
  <c r="J181" i="3"/>
  <c r="G182" i="3"/>
  <c r="H182" i="3"/>
  <c r="J182" i="3"/>
  <c r="G185" i="3"/>
  <c r="H185" i="3"/>
  <c r="J185" i="3"/>
  <c r="G186" i="3"/>
  <c r="H186" i="3"/>
  <c r="J186" i="3"/>
  <c r="G187" i="3"/>
  <c r="H187" i="3"/>
  <c r="J187" i="3"/>
  <c r="G188" i="3"/>
  <c r="H188" i="3"/>
  <c r="J188" i="3"/>
  <c r="G190" i="3"/>
  <c r="H190" i="3"/>
  <c r="J190" i="3"/>
  <c r="G191" i="3"/>
  <c r="H191" i="3"/>
  <c r="J191" i="3"/>
  <c r="G192" i="3"/>
  <c r="H192" i="3"/>
  <c r="J192" i="3"/>
  <c r="G193" i="3"/>
  <c r="H193" i="3"/>
  <c r="J193" i="3"/>
  <c r="G194" i="3"/>
  <c r="H194" i="3"/>
  <c r="J194" i="3"/>
  <c r="G195" i="3"/>
  <c r="H195" i="3"/>
  <c r="J195" i="3"/>
  <c r="G196" i="3"/>
  <c r="H196" i="3"/>
  <c r="J196" i="3"/>
  <c r="G197" i="3"/>
  <c r="H197" i="3"/>
  <c r="J197" i="3"/>
  <c r="G198" i="3"/>
  <c r="H198" i="3"/>
  <c r="J198" i="3"/>
  <c r="G199" i="3"/>
  <c r="H199" i="3"/>
  <c r="J199" i="3"/>
  <c r="J200" i="3"/>
  <c r="G201" i="3"/>
  <c r="H201" i="3"/>
  <c r="J201" i="3"/>
  <c r="G202" i="3"/>
  <c r="H202" i="3"/>
  <c r="J202" i="3"/>
  <c r="G205" i="3"/>
  <c r="H205" i="3"/>
  <c r="J205" i="3"/>
  <c r="G206" i="3"/>
  <c r="H206" i="3"/>
  <c r="J206" i="3"/>
  <c r="G207" i="3"/>
  <c r="H207" i="3"/>
  <c r="J207" i="3"/>
  <c r="G208" i="3"/>
  <c r="H208" i="3"/>
  <c r="J208" i="3"/>
  <c r="G209" i="3"/>
  <c r="H209" i="3"/>
  <c r="J209" i="3"/>
  <c r="G210" i="3"/>
  <c r="H210" i="3"/>
  <c r="J210" i="3"/>
  <c r="G211" i="3"/>
  <c r="H211" i="3"/>
  <c r="J211" i="3"/>
  <c r="G212" i="3"/>
  <c r="H212" i="3"/>
  <c r="J212" i="3"/>
  <c r="G213" i="3"/>
  <c r="H213" i="3"/>
  <c r="J213" i="3"/>
  <c r="G214" i="3"/>
  <c r="H214" i="3"/>
  <c r="J214" i="3"/>
  <c r="G215" i="3"/>
  <c r="H215" i="3"/>
  <c r="J215" i="3"/>
  <c r="G216" i="3"/>
  <c r="H216" i="3"/>
  <c r="J216" i="3"/>
  <c r="G217" i="3"/>
  <c r="H217" i="3"/>
  <c r="J217" i="3"/>
  <c r="G218" i="3"/>
  <c r="H218" i="3"/>
  <c r="J218" i="3"/>
  <c r="G219" i="3"/>
  <c r="H219" i="3"/>
  <c r="J219" i="3"/>
  <c r="J220" i="3"/>
  <c r="G221" i="3"/>
  <c r="H221" i="3"/>
  <c r="J221" i="3"/>
  <c r="G222" i="3"/>
  <c r="H222" i="3"/>
  <c r="J222" i="3"/>
  <c r="G225" i="3"/>
  <c r="H225" i="3"/>
  <c r="J225" i="3"/>
  <c r="G226" i="3"/>
  <c r="H226" i="3"/>
  <c r="J226" i="3"/>
  <c r="G227" i="3"/>
  <c r="H227" i="3"/>
  <c r="J227" i="3"/>
  <c r="G228" i="3"/>
  <c r="H228" i="3"/>
  <c r="J228" i="3"/>
  <c r="G229" i="3"/>
  <c r="H229" i="3"/>
  <c r="J229" i="3"/>
  <c r="G230" i="3"/>
  <c r="H230" i="3"/>
  <c r="J230" i="3"/>
  <c r="G231" i="3"/>
  <c r="H231" i="3"/>
  <c r="J231" i="3"/>
  <c r="G233" i="3"/>
  <c r="H233" i="3"/>
  <c r="J233" i="3"/>
  <c r="G234" i="3"/>
  <c r="H234" i="3"/>
  <c r="J234" i="3"/>
  <c r="G235" i="3"/>
  <c r="H235" i="3"/>
  <c r="J235" i="3"/>
  <c r="G236" i="3"/>
  <c r="H236" i="3"/>
  <c r="J236" i="3"/>
  <c r="G237" i="3"/>
  <c r="H237" i="3"/>
  <c r="J237" i="3"/>
  <c r="G238" i="3"/>
  <c r="H238" i="3"/>
  <c r="J238" i="3"/>
  <c r="G239" i="3"/>
  <c r="H239" i="3"/>
  <c r="J239" i="3"/>
  <c r="G240" i="3"/>
  <c r="H240" i="3"/>
  <c r="J240" i="3"/>
  <c r="G241" i="3"/>
  <c r="H241" i="3"/>
  <c r="J241" i="3"/>
  <c r="G242" i="3"/>
  <c r="H242" i="3"/>
  <c r="J242" i="3"/>
  <c r="G245" i="3"/>
  <c r="H245" i="3"/>
  <c r="J245" i="3"/>
  <c r="G246" i="3"/>
  <c r="H246" i="3"/>
  <c r="J246" i="3"/>
  <c r="G247" i="3"/>
  <c r="H247" i="3"/>
  <c r="J247" i="3"/>
  <c r="G248" i="3"/>
  <c r="H248" i="3"/>
  <c r="J248" i="3"/>
  <c r="G249" i="3"/>
  <c r="H249" i="3"/>
  <c r="J249" i="3"/>
  <c r="G250" i="3"/>
  <c r="H250" i="3"/>
  <c r="J250" i="3"/>
  <c r="G251" i="3"/>
  <c r="H251" i="3"/>
  <c r="J251" i="3"/>
  <c r="G252" i="3"/>
  <c r="H252" i="3"/>
  <c r="J252" i="3"/>
  <c r="G253" i="3"/>
  <c r="H253" i="3"/>
  <c r="J253" i="3"/>
  <c r="G254" i="3"/>
  <c r="H254" i="3"/>
  <c r="J254" i="3"/>
  <c r="G255" i="3"/>
  <c r="H255" i="3"/>
  <c r="J255" i="3"/>
  <c r="G256" i="3"/>
  <c r="H256" i="3"/>
  <c r="J256" i="3"/>
  <c r="G257" i="3"/>
  <c r="H257" i="3"/>
  <c r="J257" i="3"/>
  <c r="G258" i="3"/>
  <c r="H258" i="3"/>
  <c r="J258" i="3"/>
  <c r="G259" i="3"/>
  <c r="H259" i="3"/>
  <c r="J259" i="3"/>
  <c r="J260" i="3"/>
  <c r="G261" i="3"/>
  <c r="H261" i="3"/>
  <c r="J261" i="3"/>
  <c r="G262" i="3"/>
  <c r="H262" i="3"/>
  <c r="J262" i="3"/>
  <c r="G265" i="3"/>
  <c r="H265" i="3"/>
  <c r="J265" i="3"/>
  <c r="G266" i="3"/>
  <c r="H266" i="3"/>
  <c r="J266" i="3"/>
  <c r="G267" i="3"/>
  <c r="H267" i="3"/>
  <c r="J267" i="3"/>
  <c r="G268" i="3"/>
  <c r="H268" i="3"/>
  <c r="J268" i="3"/>
  <c r="G269" i="3"/>
  <c r="H269" i="3"/>
  <c r="J269" i="3"/>
  <c r="G270" i="3"/>
  <c r="H270" i="3"/>
  <c r="J270" i="3"/>
  <c r="G271" i="3"/>
  <c r="H271" i="3"/>
  <c r="J271" i="3"/>
  <c r="G272" i="3"/>
  <c r="H272" i="3"/>
  <c r="J272" i="3"/>
  <c r="G273" i="3"/>
  <c r="H273" i="3"/>
  <c r="J273" i="3"/>
  <c r="G274" i="3"/>
  <c r="H274" i="3"/>
  <c r="J274" i="3"/>
  <c r="G275" i="3"/>
  <c r="H275" i="3"/>
  <c r="J275" i="3"/>
  <c r="G276" i="3"/>
  <c r="H276" i="3"/>
  <c r="J276" i="3"/>
  <c r="G277" i="3"/>
  <c r="H277" i="3"/>
  <c r="J277" i="3"/>
  <c r="G278" i="3"/>
  <c r="H278" i="3"/>
  <c r="J278" i="3"/>
  <c r="G279" i="3"/>
  <c r="H279" i="3"/>
  <c r="J279" i="3"/>
  <c r="J280" i="3"/>
  <c r="G281" i="3"/>
  <c r="H281" i="3"/>
  <c r="J281" i="3"/>
  <c r="G282" i="3"/>
  <c r="H282" i="3"/>
  <c r="J282" i="3"/>
  <c r="G285" i="3"/>
  <c r="H285" i="3"/>
  <c r="J285" i="3"/>
  <c r="G286" i="3"/>
  <c r="H286" i="3"/>
  <c r="J286" i="3"/>
  <c r="G287" i="3"/>
  <c r="H287" i="3"/>
  <c r="J287" i="3"/>
  <c r="G288" i="3"/>
  <c r="H288" i="3"/>
  <c r="J288" i="3"/>
  <c r="G289" i="3"/>
  <c r="H289" i="3"/>
  <c r="J289" i="3"/>
  <c r="G290" i="3"/>
  <c r="H290" i="3"/>
  <c r="J290" i="3"/>
  <c r="G291" i="3"/>
  <c r="H291" i="3"/>
  <c r="J291" i="3"/>
  <c r="G292" i="3"/>
  <c r="H292" i="3"/>
  <c r="J292" i="3"/>
  <c r="G293" i="3"/>
  <c r="H293" i="3"/>
  <c r="J293" i="3"/>
  <c r="G294" i="3"/>
  <c r="H294" i="3"/>
  <c r="J294" i="3"/>
  <c r="G295" i="3"/>
  <c r="H295" i="3"/>
  <c r="J295" i="3"/>
  <c r="G296" i="3"/>
  <c r="H296" i="3"/>
  <c r="J296" i="3"/>
  <c r="G297" i="3"/>
  <c r="H297" i="3"/>
  <c r="J297" i="3"/>
  <c r="G298" i="3"/>
  <c r="H298" i="3"/>
  <c r="J298" i="3"/>
  <c r="G299" i="3"/>
  <c r="H299" i="3"/>
  <c r="J299" i="3"/>
  <c r="J300" i="3"/>
  <c r="G301" i="3"/>
  <c r="H301" i="3"/>
  <c r="J301" i="3"/>
  <c r="G302" i="3"/>
  <c r="H302" i="3"/>
  <c r="J302" i="3"/>
  <c r="G305" i="3"/>
  <c r="H305" i="3"/>
  <c r="J305" i="3"/>
  <c r="G306" i="3"/>
  <c r="H306" i="3"/>
  <c r="J306" i="3"/>
  <c r="G307" i="3"/>
  <c r="H307" i="3"/>
  <c r="J307" i="3"/>
  <c r="G308" i="3"/>
  <c r="H308" i="3"/>
  <c r="J308" i="3"/>
  <c r="G309" i="3"/>
  <c r="H309" i="3"/>
  <c r="J309" i="3"/>
  <c r="G310" i="3"/>
  <c r="H310" i="3"/>
  <c r="J310" i="3"/>
  <c r="G311" i="3"/>
  <c r="H311" i="3"/>
  <c r="J311" i="3"/>
  <c r="G312" i="3"/>
  <c r="H312" i="3"/>
  <c r="J312" i="3"/>
  <c r="G313" i="3"/>
  <c r="H313" i="3"/>
  <c r="J313" i="3"/>
  <c r="G314" i="3"/>
  <c r="H314" i="3"/>
  <c r="J314" i="3"/>
  <c r="G315" i="3"/>
  <c r="H315" i="3"/>
  <c r="J315" i="3"/>
  <c r="G316" i="3"/>
  <c r="H316" i="3"/>
  <c r="J316" i="3"/>
  <c r="G317" i="3"/>
  <c r="H317" i="3"/>
  <c r="J317" i="3"/>
  <c r="G318" i="3"/>
  <c r="H318" i="3"/>
  <c r="J318" i="3"/>
  <c r="G319" i="3"/>
  <c r="H319" i="3"/>
  <c r="J319" i="3"/>
  <c r="J320" i="3"/>
  <c r="G321" i="3"/>
  <c r="H321" i="3"/>
  <c r="J321" i="3"/>
  <c r="G322" i="3"/>
  <c r="H322" i="3"/>
  <c r="J322" i="3"/>
  <c r="G325" i="3"/>
  <c r="H325" i="3"/>
  <c r="J325" i="3"/>
  <c r="G326" i="3"/>
  <c r="H326" i="3"/>
  <c r="J326" i="3"/>
  <c r="G327" i="3"/>
  <c r="H327" i="3"/>
  <c r="J327" i="3"/>
  <c r="G328" i="3"/>
  <c r="H328" i="3"/>
  <c r="J328" i="3"/>
  <c r="G329" i="3"/>
  <c r="H329" i="3"/>
  <c r="J329" i="3"/>
  <c r="G330" i="3"/>
  <c r="H330" i="3"/>
  <c r="J330" i="3"/>
  <c r="G331" i="3"/>
  <c r="H331" i="3"/>
  <c r="J331" i="3"/>
  <c r="G332" i="3"/>
  <c r="H332" i="3"/>
  <c r="G333" i="3"/>
  <c r="H333" i="3"/>
  <c r="J333" i="3"/>
  <c r="G334" i="3"/>
  <c r="H334" i="3"/>
  <c r="J334" i="3"/>
  <c r="G335" i="3"/>
  <c r="H335" i="3"/>
  <c r="J335" i="3"/>
  <c r="G336" i="3"/>
  <c r="H336" i="3"/>
  <c r="J336" i="3"/>
  <c r="G337" i="3"/>
  <c r="H337" i="3"/>
  <c r="J337" i="3"/>
  <c r="G338" i="3"/>
  <c r="H338" i="3"/>
  <c r="J338" i="3"/>
  <c r="G339" i="3"/>
  <c r="H339" i="3"/>
  <c r="J339" i="3"/>
  <c r="J340" i="3"/>
  <c r="G341" i="3"/>
  <c r="H341" i="3"/>
  <c r="J341" i="3"/>
  <c r="G342" i="3"/>
  <c r="H342" i="3"/>
  <c r="J342" i="3"/>
  <c r="G345" i="3"/>
  <c r="H345" i="3"/>
  <c r="J345" i="3"/>
  <c r="G346" i="3"/>
  <c r="H346" i="3"/>
  <c r="J346" i="3"/>
  <c r="G347" i="3"/>
  <c r="H347" i="3"/>
  <c r="J347" i="3"/>
  <c r="G348" i="3"/>
  <c r="H348" i="3"/>
  <c r="J348" i="3"/>
  <c r="G349" i="3"/>
  <c r="H349" i="3"/>
  <c r="J349" i="3"/>
  <c r="G350" i="3"/>
  <c r="H350" i="3"/>
  <c r="J350" i="3"/>
  <c r="G351" i="3"/>
  <c r="H351" i="3"/>
  <c r="J351" i="3"/>
  <c r="G352" i="3"/>
  <c r="H352" i="3"/>
  <c r="J352" i="3"/>
  <c r="G353" i="3"/>
  <c r="H353" i="3"/>
  <c r="J353" i="3"/>
  <c r="G354" i="3"/>
  <c r="H354" i="3"/>
  <c r="J354" i="3"/>
  <c r="G355" i="3"/>
  <c r="H355" i="3"/>
  <c r="J355" i="3"/>
  <c r="G356" i="3"/>
  <c r="H356" i="3"/>
  <c r="J356" i="3"/>
  <c r="G357" i="3"/>
  <c r="H357" i="3"/>
  <c r="J357" i="3"/>
  <c r="G359" i="3"/>
  <c r="H359" i="3"/>
  <c r="J359" i="3"/>
  <c r="J360" i="3"/>
  <c r="G361" i="3"/>
  <c r="H361" i="3"/>
  <c r="J361" i="3"/>
  <c r="G362" i="3"/>
  <c r="H362" i="3"/>
  <c r="J362" i="3"/>
  <c r="G365" i="3"/>
  <c r="H365" i="3"/>
  <c r="J365" i="3"/>
  <c r="G366" i="3"/>
  <c r="H366" i="3"/>
  <c r="J366" i="3"/>
  <c r="G367" i="3"/>
  <c r="H367" i="3"/>
  <c r="J367" i="3"/>
  <c r="G368" i="3"/>
  <c r="H368" i="3"/>
  <c r="J368" i="3"/>
  <c r="G369" i="3"/>
  <c r="H369" i="3"/>
  <c r="J369" i="3"/>
  <c r="G370" i="3"/>
  <c r="H370" i="3"/>
  <c r="J370" i="3"/>
  <c r="G371" i="3"/>
  <c r="H371" i="3"/>
  <c r="J371" i="3"/>
  <c r="G372" i="3"/>
  <c r="H372" i="3"/>
  <c r="J372" i="3"/>
  <c r="G373" i="3"/>
  <c r="H373" i="3"/>
  <c r="J373" i="3"/>
  <c r="G374" i="3"/>
  <c r="H374" i="3"/>
  <c r="J374" i="3"/>
  <c r="G375" i="3"/>
  <c r="H375" i="3"/>
  <c r="J375" i="3"/>
  <c r="G376" i="3"/>
  <c r="H376" i="3"/>
  <c r="J376" i="3"/>
  <c r="G377" i="3"/>
  <c r="H377" i="3"/>
  <c r="J377" i="3"/>
  <c r="G378" i="3"/>
  <c r="H378" i="3"/>
  <c r="J378" i="3"/>
  <c r="G379" i="3"/>
  <c r="H379" i="3"/>
  <c r="J379" i="3"/>
  <c r="G380" i="3"/>
  <c r="H380" i="3"/>
  <c r="J380" i="3"/>
  <c r="G381" i="3"/>
  <c r="H381" i="3"/>
  <c r="J381" i="3"/>
  <c r="G382" i="3"/>
  <c r="H382" i="3"/>
  <c r="J382" i="3"/>
  <c r="G385" i="3"/>
  <c r="H385" i="3"/>
  <c r="J385" i="3"/>
  <c r="G386" i="3"/>
  <c r="H386" i="3"/>
  <c r="J386" i="3"/>
  <c r="G387" i="3"/>
  <c r="H387" i="3"/>
  <c r="J387" i="3"/>
  <c r="G388" i="3"/>
  <c r="H388" i="3"/>
  <c r="J388" i="3"/>
  <c r="G389" i="3"/>
  <c r="H389" i="3"/>
  <c r="J389" i="3"/>
  <c r="G390" i="3"/>
  <c r="H390" i="3"/>
  <c r="J390" i="3"/>
  <c r="G391" i="3"/>
  <c r="H391" i="3"/>
  <c r="J391" i="3"/>
  <c r="G392" i="3"/>
  <c r="H392" i="3"/>
  <c r="J392" i="3"/>
  <c r="G393" i="3"/>
  <c r="H393" i="3"/>
  <c r="J393" i="3"/>
  <c r="G394" i="3"/>
  <c r="H394" i="3"/>
  <c r="J394" i="3"/>
  <c r="G395" i="3"/>
  <c r="H395" i="3"/>
  <c r="J395" i="3"/>
  <c r="G396" i="3"/>
  <c r="H396" i="3"/>
  <c r="J396" i="3"/>
  <c r="G397" i="3"/>
  <c r="H397" i="3"/>
  <c r="J397" i="3"/>
  <c r="G398" i="3"/>
  <c r="H398" i="3"/>
  <c r="J398" i="3"/>
  <c r="G399" i="3"/>
  <c r="H399" i="3"/>
  <c r="J399" i="3"/>
  <c r="J400" i="3"/>
  <c r="G401" i="3"/>
  <c r="H401" i="3"/>
  <c r="J401" i="3"/>
  <c r="G402" i="3"/>
  <c r="H402" i="3"/>
  <c r="J402" i="3"/>
  <c r="G405" i="3"/>
  <c r="H405" i="3"/>
  <c r="J405" i="3"/>
  <c r="G406" i="3"/>
  <c r="H406" i="3"/>
  <c r="J406" i="3"/>
  <c r="G407" i="3"/>
  <c r="H407" i="3"/>
  <c r="J407" i="3"/>
  <c r="G408" i="3"/>
  <c r="H408" i="3"/>
  <c r="J408" i="3"/>
  <c r="G409" i="3"/>
  <c r="H409" i="3"/>
  <c r="J409" i="3"/>
  <c r="G410" i="3"/>
  <c r="H410" i="3"/>
  <c r="J410" i="3"/>
  <c r="G411" i="3"/>
  <c r="H411" i="3"/>
  <c r="J411" i="3"/>
  <c r="G412" i="3"/>
  <c r="H412" i="3"/>
  <c r="J412" i="3"/>
  <c r="G413" i="3"/>
  <c r="H413" i="3"/>
  <c r="J413" i="3"/>
  <c r="G414" i="3"/>
  <c r="H414" i="3"/>
  <c r="J414" i="3"/>
  <c r="G415" i="3"/>
  <c r="H415" i="3"/>
  <c r="J415" i="3"/>
  <c r="G416" i="3"/>
  <c r="H416" i="3"/>
  <c r="J416" i="3"/>
  <c r="G417" i="3"/>
  <c r="H417" i="3"/>
  <c r="J417" i="3"/>
  <c r="G418" i="3"/>
  <c r="H418" i="3"/>
  <c r="J418" i="3"/>
  <c r="G419" i="3"/>
  <c r="H419" i="3"/>
  <c r="J419" i="3"/>
  <c r="J420" i="3"/>
  <c r="G421" i="3"/>
  <c r="H421" i="3"/>
  <c r="J421" i="3"/>
  <c r="G422" i="3"/>
  <c r="H422" i="3"/>
  <c r="J422" i="3"/>
  <c r="G425" i="3"/>
  <c r="H425" i="3"/>
  <c r="J425" i="3"/>
  <c r="G426" i="3"/>
  <c r="H426" i="3"/>
  <c r="J426" i="3"/>
  <c r="G427" i="3"/>
  <c r="H427" i="3"/>
  <c r="J427" i="3"/>
  <c r="G428" i="3"/>
  <c r="H428" i="3"/>
  <c r="J428" i="3"/>
  <c r="G429" i="3"/>
  <c r="H429" i="3"/>
  <c r="J429" i="3"/>
  <c r="G430" i="3"/>
  <c r="H430" i="3"/>
  <c r="J430" i="3"/>
  <c r="G431" i="3"/>
  <c r="H431" i="3"/>
  <c r="J431" i="3"/>
  <c r="G432" i="3"/>
  <c r="H432" i="3"/>
  <c r="J432" i="3"/>
  <c r="G433" i="3"/>
  <c r="H433" i="3"/>
  <c r="J433" i="3"/>
  <c r="G434" i="3"/>
  <c r="H434" i="3"/>
  <c r="J434" i="3"/>
  <c r="G435" i="3"/>
  <c r="H435" i="3"/>
  <c r="J435" i="3"/>
  <c r="G436" i="3"/>
  <c r="H436" i="3"/>
  <c r="J436" i="3"/>
  <c r="G437" i="3"/>
  <c r="H437" i="3"/>
  <c r="J437" i="3"/>
  <c r="G438" i="3"/>
  <c r="H438" i="3"/>
  <c r="J438" i="3"/>
  <c r="G439" i="3"/>
  <c r="H439" i="3"/>
  <c r="J439" i="3"/>
  <c r="G440" i="3"/>
  <c r="H440" i="3"/>
  <c r="J440" i="3"/>
  <c r="G441" i="3"/>
  <c r="H441" i="3"/>
  <c r="J441" i="3"/>
  <c r="G442" i="3"/>
  <c r="H442" i="3"/>
  <c r="J442" i="3"/>
  <c r="G445" i="3"/>
  <c r="H445" i="3"/>
  <c r="J445" i="3"/>
  <c r="G446" i="3"/>
  <c r="H446" i="3"/>
  <c r="J446" i="3"/>
  <c r="G447" i="3"/>
  <c r="H447" i="3"/>
  <c r="J447" i="3"/>
  <c r="G448" i="3"/>
  <c r="H448" i="3"/>
  <c r="J448" i="3"/>
  <c r="G449" i="3"/>
  <c r="H449" i="3"/>
  <c r="J449" i="3"/>
  <c r="G450" i="3"/>
  <c r="H450" i="3"/>
  <c r="J450" i="3"/>
  <c r="G451" i="3"/>
  <c r="H451" i="3"/>
  <c r="J451" i="3"/>
  <c r="G452" i="3"/>
  <c r="H452" i="3"/>
  <c r="J452" i="3"/>
  <c r="G453" i="3"/>
  <c r="H453" i="3"/>
  <c r="J453" i="3"/>
  <c r="G454" i="3"/>
  <c r="H454" i="3"/>
  <c r="J454" i="3"/>
  <c r="G455" i="3"/>
  <c r="H455" i="3"/>
  <c r="J455" i="3"/>
  <c r="G456" i="3"/>
  <c r="H456" i="3"/>
  <c r="J456" i="3"/>
  <c r="G457" i="3"/>
  <c r="H457" i="3"/>
  <c r="J457" i="3"/>
  <c r="G458" i="3"/>
  <c r="H458" i="3"/>
  <c r="J458" i="3"/>
  <c r="G459" i="3"/>
  <c r="H459" i="3"/>
  <c r="J459" i="3"/>
  <c r="J460" i="3"/>
  <c r="G461" i="3"/>
  <c r="H461" i="3"/>
  <c r="J461" i="3"/>
  <c r="G462" i="3"/>
  <c r="H462" i="3"/>
  <c r="J462" i="3"/>
  <c r="G465" i="3"/>
  <c r="H465" i="3"/>
  <c r="J465" i="3"/>
  <c r="G466" i="3"/>
  <c r="H466" i="3"/>
  <c r="J466" i="3"/>
  <c r="G467" i="3"/>
  <c r="H467" i="3"/>
  <c r="J467" i="3"/>
  <c r="G468" i="3"/>
  <c r="H468" i="3"/>
  <c r="J468" i="3"/>
  <c r="G469" i="3"/>
  <c r="H469" i="3"/>
  <c r="J469" i="3"/>
  <c r="G470" i="3"/>
  <c r="H470" i="3"/>
  <c r="J470" i="3"/>
  <c r="G471" i="3"/>
  <c r="H471" i="3"/>
  <c r="J471" i="3"/>
  <c r="G472" i="3"/>
  <c r="H472" i="3"/>
  <c r="J472" i="3"/>
  <c r="G473" i="3"/>
  <c r="H473" i="3"/>
  <c r="J473" i="3"/>
  <c r="G474" i="3"/>
  <c r="H474" i="3"/>
  <c r="J474" i="3"/>
  <c r="G475" i="3"/>
  <c r="H475" i="3"/>
  <c r="J475" i="3"/>
  <c r="G476" i="3"/>
  <c r="H476" i="3"/>
  <c r="J476" i="3"/>
  <c r="G477" i="3"/>
  <c r="H477" i="3"/>
  <c r="J477" i="3"/>
  <c r="G478" i="3"/>
  <c r="H478" i="3"/>
  <c r="J478" i="3"/>
  <c r="G479" i="3"/>
  <c r="H479" i="3"/>
  <c r="J479" i="3"/>
  <c r="J480" i="3"/>
  <c r="G481" i="3"/>
  <c r="H481" i="3"/>
  <c r="J481" i="3"/>
  <c r="G482" i="3"/>
  <c r="H482" i="3"/>
  <c r="J482" i="3"/>
  <c r="G485" i="3"/>
  <c r="H485" i="3"/>
  <c r="J485" i="3"/>
  <c r="G486" i="3"/>
  <c r="H486" i="3"/>
  <c r="J486" i="3"/>
  <c r="G487" i="3"/>
  <c r="H487" i="3"/>
  <c r="J487" i="3"/>
  <c r="G488" i="3"/>
  <c r="H488" i="3"/>
  <c r="J488" i="3"/>
  <c r="G489" i="3"/>
  <c r="H489" i="3"/>
  <c r="J489" i="3"/>
  <c r="G490" i="3"/>
  <c r="H490" i="3"/>
  <c r="J490" i="3"/>
  <c r="G491" i="3"/>
  <c r="H491" i="3"/>
  <c r="J491" i="3"/>
  <c r="G492" i="3"/>
  <c r="H492" i="3"/>
  <c r="J492" i="3"/>
  <c r="G493" i="3"/>
  <c r="H493" i="3"/>
  <c r="J493" i="3"/>
  <c r="G494" i="3"/>
  <c r="H494" i="3"/>
  <c r="J494" i="3"/>
  <c r="G495" i="3"/>
  <c r="H495" i="3"/>
  <c r="J495" i="3"/>
  <c r="G496" i="3"/>
  <c r="H496" i="3"/>
  <c r="J496" i="3"/>
  <c r="G497" i="3"/>
  <c r="H497" i="3"/>
  <c r="J497" i="3"/>
  <c r="G498" i="3"/>
  <c r="H498" i="3"/>
  <c r="J498" i="3"/>
  <c r="G499" i="3"/>
  <c r="H499" i="3"/>
  <c r="J499" i="3"/>
  <c r="J500" i="3"/>
  <c r="G501" i="3"/>
  <c r="H501" i="3"/>
  <c r="J501" i="3"/>
  <c r="G502" i="3"/>
  <c r="H502" i="3"/>
  <c r="J502" i="3"/>
  <c r="G505" i="3"/>
  <c r="H505" i="3"/>
  <c r="J505" i="3"/>
  <c r="G506" i="3"/>
  <c r="H506" i="3"/>
  <c r="J506" i="3"/>
  <c r="G507" i="3"/>
  <c r="H507" i="3"/>
  <c r="J507" i="3"/>
  <c r="G508" i="3"/>
  <c r="H508" i="3"/>
  <c r="J508" i="3"/>
  <c r="G509" i="3"/>
  <c r="H509" i="3"/>
  <c r="J509" i="3"/>
  <c r="G510" i="3"/>
  <c r="H510" i="3"/>
  <c r="J510" i="3"/>
  <c r="G511" i="3"/>
  <c r="H511" i="3"/>
  <c r="J511" i="3"/>
  <c r="G512" i="3"/>
  <c r="H512" i="3"/>
  <c r="J512" i="3"/>
  <c r="G513" i="3"/>
  <c r="H513" i="3"/>
  <c r="J513" i="3"/>
  <c r="G514" i="3"/>
  <c r="H514" i="3"/>
  <c r="J514" i="3"/>
  <c r="G515" i="3"/>
  <c r="H515" i="3"/>
  <c r="J515" i="3"/>
  <c r="G516" i="3"/>
  <c r="H516" i="3"/>
  <c r="J516" i="3"/>
  <c r="G517" i="3"/>
  <c r="H517" i="3"/>
  <c r="J517" i="3"/>
  <c r="G518" i="3"/>
  <c r="H518" i="3"/>
  <c r="J518" i="3"/>
  <c r="G519" i="3"/>
  <c r="H519" i="3"/>
  <c r="J519" i="3"/>
  <c r="J520" i="3"/>
  <c r="G521" i="3"/>
  <c r="H521" i="3"/>
  <c r="J521" i="3"/>
  <c r="G522" i="3"/>
  <c r="H522" i="3"/>
  <c r="J522" i="3"/>
  <c r="G525" i="3"/>
  <c r="H525" i="3"/>
  <c r="J525" i="3"/>
  <c r="G526" i="3"/>
  <c r="H526" i="3"/>
  <c r="J526" i="3"/>
  <c r="G527" i="3"/>
  <c r="H527" i="3"/>
  <c r="J527" i="3"/>
  <c r="G528" i="3"/>
  <c r="H528" i="3"/>
  <c r="J528" i="3"/>
  <c r="G529" i="3"/>
  <c r="H529" i="3"/>
  <c r="J529" i="3"/>
  <c r="G530" i="3"/>
  <c r="H530" i="3"/>
  <c r="J530" i="3"/>
  <c r="G531" i="3"/>
  <c r="H531" i="3"/>
  <c r="J531" i="3"/>
  <c r="G532" i="3"/>
  <c r="H532" i="3"/>
  <c r="J532" i="3"/>
  <c r="G533" i="3"/>
  <c r="H533" i="3"/>
  <c r="J533" i="3"/>
  <c r="G534" i="3"/>
  <c r="H534" i="3"/>
  <c r="J534" i="3"/>
  <c r="G535" i="3"/>
  <c r="H535" i="3"/>
  <c r="J535" i="3"/>
  <c r="G536" i="3"/>
  <c r="H536" i="3"/>
  <c r="J536" i="3"/>
  <c r="G537" i="3"/>
  <c r="H537" i="3"/>
  <c r="J537" i="3"/>
  <c r="G538" i="3"/>
  <c r="H538" i="3"/>
  <c r="J538" i="3"/>
  <c r="G539" i="3"/>
  <c r="H539" i="3"/>
  <c r="J539" i="3"/>
  <c r="J540" i="3"/>
  <c r="G541" i="3"/>
  <c r="H541" i="3"/>
  <c r="J541" i="3"/>
  <c r="G542" i="3"/>
  <c r="H542" i="3"/>
  <c r="J542" i="3"/>
  <c r="G545" i="3"/>
  <c r="H545" i="3"/>
  <c r="J545" i="3"/>
  <c r="G546" i="3"/>
  <c r="H546" i="3"/>
  <c r="J546" i="3"/>
  <c r="G547" i="3"/>
  <c r="H547" i="3"/>
  <c r="J547" i="3"/>
  <c r="G548" i="3"/>
  <c r="H548" i="3"/>
  <c r="J548" i="3"/>
  <c r="G549" i="3"/>
  <c r="H549" i="3"/>
  <c r="J549" i="3"/>
  <c r="G550" i="3"/>
  <c r="H550" i="3"/>
  <c r="J550" i="3"/>
  <c r="G551" i="3"/>
  <c r="H551" i="3"/>
  <c r="J551" i="3"/>
  <c r="G552" i="3"/>
  <c r="H552" i="3"/>
  <c r="J552" i="3"/>
  <c r="G553" i="3"/>
  <c r="H553" i="3"/>
  <c r="J553" i="3"/>
  <c r="G554" i="3"/>
  <c r="H554" i="3"/>
  <c r="J554" i="3"/>
  <c r="G555" i="3"/>
  <c r="H555" i="3"/>
  <c r="J555" i="3"/>
  <c r="G556" i="3"/>
  <c r="H556" i="3"/>
  <c r="J556" i="3"/>
  <c r="G557" i="3"/>
  <c r="H557" i="3"/>
  <c r="J557" i="3"/>
  <c r="G558" i="3"/>
  <c r="H558" i="3"/>
  <c r="J558" i="3"/>
  <c r="G559" i="3"/>
  <c r="H559" i="3"/>
  <c r="J559" i="3"/>
  <c r="J560" i="3"/>
  <c r="G561" i="3"/>
  <c r="H561" i="3"/>
  <c r="J561" i="3"/>
  <c r="G562" i="3"/>
  <c r="H562" i="3"/>
  <c r="J562" i="3"/>
  <c r="G565" i="3"/>
  <c r="H565" i="3"/>
  <c r="J565" i="3"/>
  <c r="G566" i="3"/>
  <c r="H566" i="3"/>
  <c r="J566" i="3"/>
  <c r="G567" i="3"/>
  <c r="H567" i="3"/>
  <c r="J567" i="3"/>
  <c r="G568" i="3"/>
  <c r="H568" i="3"/>
  <c r="J568" i="3"/>
  <c r="G569" i="3"/>
  <c r="H569" i="3"/>
  <c r="J569" i="3"/>
  <c r="G570" i="3"/>
  <c r="H570" i="3"/>
  <c r="J570" i="3"/>
  <c r="G571" i="3"/>
  <c r="H571" i="3"/>
  <c r="J571" i="3"/>
  <c r="G572" i="3"/>
  <c r="H572" i="3"/>
  <c r="J572" i="3"/>
  <c r="G573" i="3"/>
  <c r="H573" i="3"/>
  <c r="J573" i="3"/>
  <c r="G574" i="3"/>
  <c r="H574" i="3"/>
  <c r="J574" i="3"/>
  <c r="G575" i="3"/>
  <c r="H575" i="3"/>
  <c r="J575" i="3"/>
  <c r="G576" i="3"/>
  <c r="H576" i="3"/>
  <c r="J576" i="3"/>
  <c r="G577" i="3"/>
  <c r="H577" i="3"/>
  <c r="J577" i="3"/>
  <c r="G578" i="3"/>
  <c r="H578" i="3"/>
  <c r="J578" i="3"/>
  <c r="G579" i="3"/>
  <c r="H579" i="3"/>
  <c r="J579" i="3"/>
  <c r="J580" i="3"/>
  <c r="G581" i="3"/>
  <c r="H581" i="3"/>
  <c r="J581" i="3"/>
  <c r="G582" i="3"/>
  <c r="H582" i="3"/>
  <c r="J582" i="3"/>
  <c r="G585" i="3"/>
  <c r="H585" i="3"/>
  <c r="J585" i="3"/>
  <c r="G586" i="3"/>
  <c r="H586" i="3"/>
  <c r="J586" i="3"/>
  <c r="G587" i="3"/>
  <c r="H587" i="3"/>
  <c r="J587" i="3"/>
  <c r="G588" i="3"/>
  <c r="H588" i="3"/>
  <c r="J588" i="3"/>
  <c r="G589" i="3"/>
  <c r="H589" i="3"/>
  <c r="J589" i="3"/>
  <c r="G590" i="3"/>
  <c r="H590" i="3"/>
  <c r="J590" i="3"/>
  <c r="G591" i="3"/>
  <c r="H591" i="3"/>
  <c r="J591" i="3"/>
  <c r="G592" i="3"/>
  <c r="H592" i="3"/>
  <c r="J592" i="3"/>
  <c r="G593" i="3"/>
  <c r="H593" i="3"/>
  <c r="J593" i="3"/>
  <c r="G594" i="3"/>
  <c r="H594" i="3"/>
  <c r="J594" i="3"/>
  <c r="G595" i="3"/>
  <c r="H595" i="3"/>
  <c r="J595" i="3"/>
  <c r="G596" i="3"/>
  <c r="H596" i="3"/>
  <c r="J596" i="3"/>
  <c r="G597" i="3"/>
  <c r="H597" i="3"/>
  <c r="J597" i="3"/>
  <c r="G598" i="3"/>
  <c r="H598" i="3"/>
  <c r="J598" i="3"/>
  <c r="G599" i="3"/>
  <c r="H599" i="3"/>
  <c r="J599" i="3"/>
  <c r="J600" i="3"/>
  <c r="G601" i="3"/>
  <c r="H601" i="3"/>
  <c r="J601" i="3"/>
  <c r="G602" i="3"/>
  <c r="H602" i="3"/>
  <c r="J602" i="3"/>
  <c r="G605" i="3"/>
  <c r="H605" i="3"/>
  <c r="J605" i="3"/>
  <c r="G606" i="3"/>
  <c r="H606" i="3"/>
  <c r="J606" i="3"/>
  <c r="G607" i="3"/>
  <c r="H607" i="3"/>
  <c r="J607" i="3"/>
  <c r="G608" i="3"/>
  <c r="H608" i="3"/>
  <c r="J608" i="3"/>
  <c r="G609" i="3"/>
  <c r="H609" i="3"/>
  <c r="J609" i="3"/>
  <c r="G610" i="3"/>
  <c r="H610" i="3"/>
  <c r="J610" i="3"/>
  <c r="G611" i="3"/>
  <c r="H611" i="3"/>
  <c r="J611" i="3"/>
  <c r="G612" i="3"/>
  <c r="H612" i="3"/>
  <c r="J612" i="3"/>
  <c r="G613" i="3"/>
  <c r="H613" i="3"/>
  <c r="J613" i="3"/>
  <c r="G614" i="3"/>
  <c r="H614" i="3"/>
  <c r="J614" i="3"/>
  <c r="G615" i="3"/>
  <c r="H615" i="3"/>
  <c r="J615" i="3"/>
  <c r="G616" i="3"/>
  <c r="H616" i="3"/>
  <c r="J616" i="3"/>
  <c r="G617" i="3"/>
  <c r="H617" i="3"/>
  <c r="J617" i="3"/>
  <c r="G618" i="3"/>
  <c r="H618" i="3"/>
  <c r="J618" i="3"/>
  <c r="G619" i="3"/>
  <c r="H619" i="3"/>
  <c r="J619" i="3"/>
  <c r="J620" i="3"/>
  <c r="G621" i="3"/>
  <c r="H621" i="3"/>
  <c r="J621" i="3"/>
  <c r="G622" i="3"/>
  <c r="H622" i="3"/>
  <c r="J622" i="3"/>
  <c r="G625" i="3"/>
  <c r="H625" i="3"/>
  <c r="J625" i="3"/>
  <c r="G626" i="3"/>
  <c r="H626" i="3"/>
  <c r="J626" i="3"/>
  <c r="G627" i="3"/>
  <c r="H627" i="3"/>
  <c r="J627" i="3"/>
  <c r="G628" i="3"/>
  <c r="H628" i="3"/>
  <c r="J628" i="3"/>
  <c r="G629" i="3"/>
  <c r="H629" i="3"/>
  <c r="J629" i="3"/>
  <c r="G630" i="3"/>
  <c r="H630" i="3"/>
  <c r="J630" i="3"/>
  <c r="G631" i="3"/>
  <c r="H631" i="3"/>
  <c r="J631" i="3"/>
  <c r="G632" i="3"/>
  <c r="H632" i="3"/>
  <c r="J632" i="3"/>
  <c r="G633" i="3"/>
  <c r="H633" i="3"/>
  <c r="J633" i="3"/>
  <c r="G634" i="3"/>
  <c r="H634" i="3"/>
  <c r="J634" i="3"/>
  <c r="G635" i="3"/>
  <c r="H635" i="3"/>
  <c r="J635" i="3"/>
  <c r="G636" i="3"/>
  <c r="H636" i="3"/>
  <c r="J636" i="3"/>
  <c r="G637" i="3"/>
  <c r="H637" i="3"/>
  <c r="J637" i="3"/>
  <c r="G638" i="3"/>
  <c r="H638" i="3"/>
  <c r="J638" i="3"/>
  <c r="G639" i="3"/>
  <c r="H639" i="3"/>
  <c r="J639" i="3"/>
  <c r="J640" i="3"/>
  <c r="G641" i="3"/>
  <c r="H641" i="3"/>
  <c r="J641" i="3"/>
  <c r="G642" i="3"/>
  <c r="H642" i="3"/>
  <c r="J642" i="3"/>
  <c r="G645" i="3"/>
  <c r="H645" i="3"/>
  <c r="J645" i="3"/>
  <c r="G646" i="3"/>
  <c r="H646" i="3"/>
  <c r="J646" i="3"/>
  <c r="G647" i="3"/>
  <c r="H647" i="3"/>
  <c r="J647" i="3"/>
  <c r="G648" i="3"/>
  <c r="H648" i="3"/>
  <c r="J648" i="3"/>
  <c r="G649" i="3"/>
  <c r="H649" i="3"/>
  <c r="J649" i="3"/>
  <c r="G650" i="3"/>
  <c r="H650" i="3"/>
  <c r="J650" i="3"/>
  <c r="G651" i="3"/>
  <c r="H651" i="3"/>
  <c r="J651" i="3"/>
  <c r="G652" i="3"/>
  <c r="H652" i="3"/>
  <c r="J652" i="3"/>
  <c r="G653" i="3"/>
  <c r="H653" i="3"/>
  <c r="J653" i="3"/>
  <c r="G654" i="3"/>
  <c r="H654" i="3"/>
  <c r="J654" i="3"/>
  <c r="G655" i="3"/>
  <c r="H655" i="3"/>
  <c r="J655" i="3"/>
  <c r="G656" i="3"/>
  <c r="H656" i="3"/>
  <c r="J656" i="3"/>
  <c r="G657" i="3"/>
  <c r="H657" i="3"/>
  <c r="J657" i="3"/>
  <c r="G658" i="3"/>
  <c r="H658" i="3"/>
  <c r="J658" i="3"/>
  <c r="G659" i="3"/>
  <c r="H659" i="3"/>
  <c r="J659" i="3"/>
  <c r="J660" i="3"/>
  <c r="G661" i="3"/>
  <c r="H661" i="3"/>
  <c r="J661" i="3"/>
  <c r="G662" i="3"/>
  <c r="H662" i="3"/>
  <c r="J662" i="3"/>
  <c r="G665" i="3"/>
  <c r="H665" i="3"/>
  <c r="J665" i="3"/>
  <c r="G666" i="3"/>
  <c r="H666" i="3"/>
  <c r="J666" i="3"/>
  <c r="G667" i="3"/>
  <c r="H667" i="3"/>
  <c r="J667" i="3"/>
  <c r="G668" i="3"/>
  <c r="H668" i="3"/>
  <c r="J668" i="3"/>
  <c r="G669" i="3"/>
  <c r="H669" i="3"/>
  <c r="J669" i="3"/>
  <c r="G670" i="3"/>
  <c r="H670" i="3"/>
  <c r="J670" i="3"/>
  <c r="G671" i="3"/>
  <c r="H671" i="3"/>
  <c r="J671" i="3"/>
  <c r="G672" i="3"/>
  <c r="H672" i="3"/>
  <c r="J672" i="3"/>
  <c r="G673" i="3"/>
  <c r="H673" i="3"/>
  <c r="J673" i="3"/>
  <c r="G674" i="3"/>
  <c r="H674" i="3"/>
  <c r="J674" i="3"/>
  <c r="G675" i="3"/>
  <c r="H675" i="3"/>
  <c r="J675" i="3"/>
  <c r="G676" i="3"/>
  <c r="H676" i="3"/>
  <c r="J676" i="3"/>
  <c r="G677" i="3"/>
  <c r="H677" i="3"/>
  <c r="J677" i="3"/>
  <c r="G678" i="3"/>
  <c r="H678" i="3"/>
  <c r="J678" i="3"/>
  <c r="G679" i="3"/>
  <c r="H679" i="3"/>
  <c r="J679" i="3"/>
  <c r="J680" i="3"/>
  <c r="G681" i="3"/>
  <c r="H681" i="3"/>
  <c r="J681" i="3"/>
  <c r="G682" i="3"/>
  <c r="H682" i="3"/>
  <c r="J682" i="3"/>
  <c r="G685" i="3"/>
  <c r="H685" i="3"/>
  <c r="J685" i="3"/>
  <c r="G686" i="3"/>
  <c r="H686" i="3"/>
  <c r="J686" i="3"/>
  <c r="G687" i="3"/>
  <c r="H687" i="3"/>
  <c r="J687" i="3"/>
  <c r="G688" i="3"/>
  <c r="H688" i="3"/>
  <c r="J688" i="3"/>
  <c r="G689" i="3"/>
  <c r="H689" i="3"/>
  <c r="J689" i="3"/>
  <c r="G690" i="3"/>
  <c r="H690" i="3"/>
  <c r="J690" i="3"/>
  <c r="G691" i="3"/>
  <c r="H691" i="3"/>
  <c r="J691" i="3"/>
  <c r="G692" i="3"/>
  <c r="H692" i="3"/>
  <c r="J692" i="3"/>
  <c r="G693" i="3"/>
  <c r="H693" i="3"/>
  <c r="J693" i="3"/>
  <c r="G694" i="3"/>
  <c r="H694" i="3"/>
  <c r="J694" i="3"/>
  <c r="G695" i="3"/>
  <c r="H695" i="3"/>
  <c r="J695" i="3"/>
  <c r="G696" i="3"/>
  <c r="H696" i="3"/>
  <c r="J696" i="3"/>
  <c r="G697" i="3"/>
  <c r="H697" i="3"/>
  <c r="J697" i="3"/>
  <c r="G698" i="3"/>
  <c r="H698" i="3"/>
  <c r="J698" i="3"/>
  <c r="G699" i="3"/>
  <c r="H699" i="3"/>
  <c r="J699" i="3"/>
  <c r="J700" i="3"/>
  <c r="G701" i="3"/>
  <c r="H701" i="3"/>
  <c r="J701" i="3"/>
  <c r="G702" i="3"/>
  <c r="H702" i="3"/>
  <c r="J702" i="3"/>
  <c r="G705" i="3"/>
  <c r="H705" i="3"/>
  <c r="J705" i="3"/>
  <c r="G706" i="3"/>
  <c r="H706" i="3"/>
  <c r="J706" i="3"/>
  <c r="G707" i="3"/>
  <c r="H707" i="3"/>
  <c r="J707" i="3"/>
  <c r="G708" i="3"/>
  <c r="H708" i="3"/>
  <c r="J708" i="3"/>
  <c r="G709" i="3"/>
  <c r="H709" i="3"/>
  <c r="J709" i="3"/>
  <c r="G710" i="3"/>
  <c r="H710" i="3"/>
  <c r="J710" i="3"/>
  <c r="G711" i="3"/>
  <c r="H711" i="3"/>
  <c r="J711" i="3"/>
  <c r="G712" i="3"/>
  <c r="H712" i="3"/>
  <c r="J712" i="3"/>
  <c r="G713" i="3"/>
  <c r="H713" i="3"/>
  <c r="J713" i="3"/>
  <c r="G714" i="3"/>
  <c r="H714" i="3"/>
  <c r="J714" i="3"/>
  <c r="G715" i="3"/>
  <c r="H715" i="3"/>
  <c r="J715" i="3"/>
  <c r="G716" i="3"/>
  <c r="H716" i="3"/>
  <c r="J716" i="3"/>
  <c r="G717" i="3"/>
  <c r="H717" i="3"/>
  <c r="J717" i="3"/>
  <c r="G718" i="3"/>
  <c r="H718" i="3"/>
  <c r="J718" i="3"/>
  <c r="G719" i="3"/>
  <c r="H719" i="3"/>
  <c r="J719" i="3"/>
  <c r="J720" i="3"/>
  <c r="G721" i="3"/>
  <c r="H721" i="3"/>
  <c r="J721" i="3"/>
  <c r="G722" i="3"/>
  <c r="H722" i="3"/>
  <c r="J722" i="3"/>
  <c r="G725" i="3"/>
  <c r="H725" i="3"/>
  <c r="J725" i="3"/>
  <c r="G726" i="3"/>
  <c r="H726" i="3"/>
  <c r="J726" i="3"/>
  <c r="G727" i="3"/>
  <c r="H727" i="3"/>
  <c r="J727" i="3"/>
  <c r="G728" i="3"/>
  <c r="H728" i="3"/>
  <c r="J728" i="3"/>
  <c r="G729" i="3"/>
  <c r="H729" i="3"/>
  <c r="J729" i="3"/>
  <c r="G730" i="3"/>
  <c r="H730" i="3"/>
  <c r="J730" i="3"/>
  <c r="G731" i="3"/>
  <c r="H731" i="3"/>
  <c r="J731" i="3"/>
  <c r="G732" i="3"/>
  <c r="H732" i="3"/>
  <c r="J732" i="3"/>
  <c r="G733" i="3"/>
  <c r="H733" i="3"/>
  <c r="J733" i="3"/>
  <c r="G734" i="3"/>
  <c r="H734" i="3"/>
  <c r="J734" i="3"/>
  <c r="G735" i="3"/>
  <c r="H735" i="3"/>
  <c r="J735" i="3"/>
  <c r="G736" i="3"/>
  <c r="H736" i="3"/>
  <c r="J736" i="3"/>
  <c r="G737" i="3"/>
  <c r="H737" i="3"/>
  <c r="J737" i="3"/>
  <c r="G738" i="3"/>
  <c r="H738" i="3"/>
  <c r="J738" i="3"/>
  <c r="G739" i="3"/>
  <c r="H739" i="3"/>
  <c r="J739" i="3"/>
  <c r="J740" i="3"/>
  <c r="G741" i="3"/>
  <c r="H741" i="3"/>
  <c r="J741" i="3"/>
  <c r="G742" i="3"/>
  <c r="H742" i="3"/>
  <c r="J742" i="3"/>
  <c r="G745" i="3"/>
  <c r="H745" i="3"/>
  <c r="J745" i="3"/>
  <c r="G746" i="3"/>
  <c r="H746" i="3"/>
  <c r="J746" i="3"/>
  <c r="G747" i="3"/>
  <c r="H747" i="3"/>
  <c r="J747" i="3"/>
  <c r="G748" i="3"/>
  <c r="H748" i="3"/>
  <c r="J748" i="3"/>
  <c r="G749" i="3"/>
  <c r="H749" i="3"/>
  <c r="J749" i="3"/>
  <c r="G750" i="3"/>
  <c r="H750" i="3"/>
  <c r="J750" i="3"/>
  <c r="G751" i="3"/>
  <c r="H751" i="3"/>
  <c r="J751" i="3"/>
  <c r="G752" i="3"/>
  <c r="H752" i="3"/>
  <c r="J752" i="3"/>
  <c r="G753" i="3"/>
  <c r="H753" i="3"/>
  <c r="J753" i="3"/>
  <c r="G754" i="3"/>
  <c r="H754" i="3"/>
  <c r="J754" i="3"/>
  <c r="G755" i="3"/>
  <c r="H755" i="3"/>
  <c r="J755" i="3"/>
  <c r="G756" i="3"/>
  <c r="H756" i="3"/>
  <c r="J756" i="3"/>
  <c r="G757" i="3"/>
  <c r="H757" i="3"/>
  <c r="J757" i="3"/>
  <c r="G758" i="3"/>
  <c r="H758" i="3"/>
  <c r="J758" i="3"/>
  <c r="G759" i="3"/>
  <c r="H759" i="3"/>
  <c r="J759" i="3"/>
  <c r="J760" i="3"/>
  <c r="G761" i="3"/>
  <c r="H761" i="3"/>
  <c r="J761" i="3"/>
  <c r="G762" i="3"/>
  <c r="H762" i="3"/>
  <c r="J762" i="3"/>
  <c r="G765" i="3"/>
  <c r="H765" i="3"/>
  <c r="J765" i="3"/>
  <c r="G766" i="3"/>
  <c r="H766" i="3"/>
  <c r="J766" i="3"/>
  <c r="G767" i="3"/>
  <c r="H767" i="3"/>
  <c r="J767" i="3"/>
  <c r="G768" i="3"/>
  <c r="H768" i="3"/>
  <c r="J768" i="3"/>
  <c r="G769" i="3"/>
  <c r="H769" i="3"/>
  <c r="J769" i="3"/>
  <c r="G770" i="3"/>
  <c r="H770" i="3"/>
  <c r="J770" i="3"/>
  <c r="G771" i="3"/>
  <c r="H771" i="3"/>
  <c r="J771" i="3"/>
  <c r="G772" i="3"/>
  <c r="H772" i="3"/>
  <c r="J772" i="3"/>
  <c r="G773" i="3"/>
  <c r="H773" i="3"/>
  <c r="J773" i="3"/>
  <c r="G774" i="3"/>
  <c r="H774" i="3"/>
  <c r="J774" i="3"/>
  <c r="G775" i="3"/>
  <c r="H775" i="3"/>
  <c r="J775" i="3"/>
  <c r="G776" i="3"/>
  <c r="H776" i="3"/>
  <c r="J776" i="3"/>
  <c r="G777" i="3"/>
  <c r="H777" i="3"/>
  <c r="J777" i="3"/>
  <c r="G778" i="3"/>
  <c r="H778" i="3"/>
  <c r="J778" i="3"/>
  <c r="G779" i="3"/>
  <c r="H779" i="3"/>
  <c r="J779" i="3"/>
  <c r="J780" i="3"/>
  <c r="G781" i="3"/>
  <c r="H781" i="3"/>
  <c r="J781" i="3"/>
  <c r="G782" i="3"/>
  <c r="H782" i="3"/>
  <c r="J782" i="3"/>
  <c r="G785" i="3"/>
  <c r="H785" i="3"/>
  <c r="J785" i="3"/>
  <c r="G786" i="3"/>
  <c r="H786" i="3"/>
  <c r="J786" i="3"/>
  <c r="G787" i="3"/>
  <c r="H787" i="3"/>
  <c r="J787" i="3"/>
  <c r="G788" i="3"/>
  <c r="H788" i="3"/>
  <c r="J788" i="3"/>
  <c r="G789" i="3"/>
  <c r="H789" i="3"/>
  <c r="J789" i="3"/>
  <c r="G790" i="3"/>
  <c r="H790" i="3"/>
  <c r="J790" i="3"/>
  <c r="G791" i="3"/>
  <c r="H791" i="3"/>
  <c r="J791" i="3"/>
  <c r="G792" i="3"/>
  <c r="H792" i="3"/>
  <c r="J792" i="3"/>
  <c r="G793" i="3"/>
  <c r="H793" i="3"/>
  <c r="J793" i="3"/>
  <c r="G794" i="3"/>
  <c r="H794" i="3"/>
  <c r="J794" i="3"/>
  <c r="G795" i="3"/>
  <c r="H795" i="3"/>
  <c r="J795" i="3"/>
  <c r="G796" i="3"/>
  <c r="H796" i="3"/>
  <c r="J796" i="3"/>
  <c r="G797" i="3"/>
  <c r="H797" i="3"/>
  <c r="J797" i="3"/>
  <c r="G798" i="3"/>
  <c r="H798" i="3"/>
  <c r="J798" i="3"/>
  <c r="G799" i="3"/>
  <c r="H799" i="3"/>
  <c r="J799" i="3"/>
  <c r="J800" i="3"/>
  <c r="G801" i="3"/>
  <c r="H801" i="3"/>
  <c r="J801" i="3"/>
  <c r="G802" i="3"/>
  <c r="H802" i="3"/>
  <c r="J802" i="3"/>
  <c r="G805" i="3"/>
  <c r="H805" i="3"/>
  <c r="J805" i="3"/>
  <c r="G806" i="3"/>
  <c r="H806" i="3"/>
  <c r="J806" i="3"/>
  <c r="G807" i="3"/>
  <c r="H807" i="3"/>
  <c r="J807" i="3"/>
  <c r="G808" i="3"/>
  <c r="H808" i="3"/>
  <c r="J808" i="3"/>
  <c r="G809" i="3"/>
  <c r="H809" i="3"/>
  <c r="J809" i="3"/>
  <c r="G810" i="3"/>
  <c r="H810" i="3"/>
  <c r="J810" i="3"/>
  <c r="G811" i="3"/>
  <c r="H811" i="3"/>
  <c r="J811" i="3"/>
  <c r="G812" i="3"/>
  <c r="H812" i="3"/>
  <c r="J812" i="3"/>
  <c r="G813" i="3"/>
  <c r="H813" i="3"/>
  <c r="J813" i="3"/>
  <c r="G814" i="3"/>
  <c r="H814" i="3"/>
  <c r="J814" i="3"/>
  <c r="G815" i="3"/>
  <c r="H815" i="3"/>
  <c r="J815" i="3"/>
  <c r="G816" i="3"/>
  <c r="H816" i="3"/>
  <c r="J816" i="3"/>
  <c r="G817" i="3"/>
  <c r="H817" i="3"/>
  <c r="J817" i="3"/>
  <c r="G818" i="3"/>
  <c r="H818" i="3"/>
  <c r="J818" i="3"/>
  <c r="G819" i="3"/>
  <c r="H819" i="3"/>
  <c r="J819" i="3"/>
  <c r="J820" i="3"/>
  <c r="G821" i="3"/>
  <c r="H821" i="3"/>
  <c r="J821" i="3"/>
  <c r="G822" i="3"/>
  <c r="H822" i="3"/>
  <c r="J822" i="3"/>
  <c r="G825" i="3"/>
  <c r="H825" i="3"/>
  <c r="J825" i="3"/>
  <c r="G826" i="3"/>
  <c r="H826" i="3"/>
  <c r="J826" i="3"/>
  <c r="G827" i="3"/>
  <c r="H827" i="3"/>
  <c r="J827" i="3"/>
  <c r="G828" i="3"/>
  <c r="H828" i="3"/>
  <c r="J828" i="3"/>
  <c r="G829" i="3"/>
  <c r="H829" i="3"/>
  <c r="J829" i="3"/>
  <c r="G830" i="3"/>
  <c r="H830" i="3"/>
  <c r="J830" i="3"/>
  <c r="G831" i="3"/>
  <c r="H831" i="3"/>
  <c r="J831" i="3"/>
  <c r="G832" i="3"/>
  <c r="H832" i="3"/>
  <c r="J832" i="3"/>
  <c r="G833" i="3"/>
  <c r="H833" i="3"/>
  <c r="J833" i="3"/>
  <c r="G834" i="3"/>
  <c r="H834" i="3"/>
  <c r="J834" i="3"/>
  <c r="G835" i="3"/>
  <c r="H835" i="3"/>
  <c r="J835" i="3"/>
  <c r="G836" i="3"/>
  <c r="H836" i="3"/>
  <c r="J836" i="3"/>
  <c r="G837" i="3"/>
  <c r="H837" i="3"/>
  <c r="J837" i="3"/>
  <c r="G838" i="3"/>
  <c r="H838" i="3"/>
  <c r="J838" i="3"/>
  <c r="G839" i="3"/>
  <c r="H839" i="3"/>
  <c r="J839" i="3"/>
  <c r="J840" i="3"/>
  <c r="G841" i="3"/>
  <c r="H841" i="3"/>
  <c r="J841" i="3"/>
  <c r="G842" i="3"/>
  <c r="H842" i="3"/>
  <c r="J842" i="3"/>
  <c r="G845" i="3"/>
  <c r="H845" i="3"/>
  <c r="J845" i="3"/>
  <c r="G846" i="3"/>
  <c r="H846" i="3"/>
  <c r="J846" i="3"/>
  <c r="G847" i="3"/>
  <c r="H847" i="3"/>
  <c r="J847" i="3"/>
  <c r="G848" i="3"/>
  <c r="H848" i="3"/>
  <c r="J848" i="3"/>
  <c r="G849" i="3"/>
  <c r="H849" i="3"/>
  <c r="J849" i="3"/>
  <c r="G850" i="3"/>
  <c r="H850" i="3"/>
  <c r="J850" i="3"/>
  <c r="G851" i="3"/>
  <c r="H851" i="3"/>
  <c r="J851" i="3"/>
  <c r="G852" i="3"/>
  <c r="H852" i="3"/>
  <c r="J852" i="3"/>
  <c r="G853" i="3"/>
  <c r="H853" i="3"/>
  <c r="J853" i="3"/>
  <c r="G854" i="3"/>
  <c r="H854" i="3"/>
  <c r="J854" i="3"/>
  <c r="G855" i="3"/>
  <c r="H855" i="3"/>
  <c r="J855" i="3"/>
  <c r="G856" i="3"/>
  <c r="H856" i="3"/>
  <c r="J856" i="3"/>
  <c r="G857" i="3"/>
  <c r="H857" i="3"/>
  <c r="J857" i="3"/>
  <c r="G858" i="3"/>
  <c r="H858" i="3"/>
  <c r="J858" i="3"/>
  <c r="G859" i="3"/>
  <c r="H859" i="3"/>
  <c r="J859" i="3"/>
  <c r="J860" i="3"/>
  <c r="G861" i="3"/>
  <c r="H861" i="3"/>
  <c r="J861" i="3"/>
  <c r="G862" i="3"/>
  <c r="H862" i="3"/>
  <c r="J862" i="3"/>
  <c r="G865" i="3"/>
  <c r="H865" i="3"/>
  <c r="J865" i="3"/>
  <c r="G866" i="3"/>
  <c r="H866" i="3"/>
  <c r="J866" i="3"/>
  <c r="G867" i="3"/>
  <c r="H867" i="3"/>
  <c r="J867" i="3"/>
  <c r="G868" i="3"/>
  <c r="H868" i="3"/>
  <c r="J868" i="3"/>
  <c r="G869" i="3"/>
  <c r="H869" i="3"/>
  <c r="J869" i="3"/>
  <c r="G870" i="3"/>
  <c r="H870" i="3"/>
  <c r="J870" i="3"/>
  <c r="G871" i="3"/>
  <c r="H871" i="3"/>
  <c r="J871" i="3"/>
  <c r="G872" i="3"/>
  <c r="H872" i="3"/>
  <c r="J872" i="3"/>
  <c r="G873" i="3"/>
  <c r="H873" i="3"/>
  <c r="J873" i="3"/>
  <c r="G874" i="3"/>
  <c r="H874" i="3"/>
  <c r="J874" i="3"/>
  <c r="G875" i="3"/>
  <c r="H875" i="3"/>
  <c r="J875" i="3"/>
  <c r="G876" i="3"/>
  <c r="H876" i="3"/>
  <c r="J876" i="3"/>
  <c r="G877" i="3"/>
  <c r="H877" i="3"/>
  <c r="J877" i="3"/>
  <c r="G878" i="3"/>
  <c r="H878" i="3"/>
  <c r="J878" i="3"/>
  <c r="G879" i="3"/>
  <c r="H879" i="3"/>
  <c r="J879" i="3"/>
  <c r="J880" i="3"/>
  <c r="G881" i="3"/>
  <c r="H881" i="3"/>
  <c r="J881" i="3"/>
  <c r="G882" i="3"/>
  <c r="H882" i="3"/>
  <c r="J882" i="3"/>
  <c r="G885" i="3"/>
  <c r="H885" i="3"/>
  <c r="J885" i="3"/>
  <c r="G886" i="3"/>
  <c r="H886" i="3"/>
  <c r="J886" i="3"/>
  <c r="G887" i="3"/>
  <c r="H887" i="3"/>
  <c r="J887" i="3"/>
  <c r="G888" i="3"/>
  <c r="H888" i="3"/>
  <c r="J888" i="3"/>
  <c r="G889" i="3"/>
  <c r="H889" i="3"/>
  <c r="J889" i="3"/>
  <c r="G890" i="3"/>
  <c r="H890" i="3"/>
  <c r="J890" i="3"/>
  <c r="G891" i="3"/>
  <c r="H891" i="3"/>
  <c r="J891" i="3"/>
  <c r="G892" i="3"/>
  <c r="H892" i="3"/>
  <c r="J892" i="3"/>
  <c r="G893" i="3"/>
  <c r="H893" i="3"/>
  <c r="J893" i="3"/>
  <c r="G894" i="3"/>
  <c r="H894" i="3"/>
  <c r="J894" i="3"/>
  <c r="G895" i="3"/>
  <c r="H895" i="3"/>
  <c r="J895" i="3"/>
  <c r="G896" i="3"/>
  <c r="H896" i="3"/>
  <c r="J896" i="3"/>
  <c r="G897" i="3"/>
  <c r="H897" i="3"/>
  <c r="J897" i="3"/>
  <c r="G898" i="3"/>
  <c r="H898" i="3"/>
  <c r="J898" i="3"/>
  <c r="G899" i="3"/>
  <c r="H899" i="3"/>
  <c r="J899" i="3"/>
  <c r="J900" i="3"/>
  <c r="G901" i="3"/>
  <c r="H901" i="3"/>
  <c r="J901" i="3"/>
  <c r="G902" i="3"/>
  <c r="H902" i="3"/>
  <c r="J902" i="3"/>
  <c r="G905" i="3"/>
  <c r="H905" i="3"/>
  <c r="J905" i="3"/>
  <c r="G906" i="3"/>
  <c r="H906" i="3"/>
  <c r="J906" i="3"/>
  <c r="G907" i="3"/>
  <c r="H907" i="3"/>
  <c r="J907" i="3"/>
  <c r="G908" i="3"/>
  <c r="H908" i="3"/>
  <c r="J908" i="3"/>
  <c r="G909" i="3"/>
  <c r="H909" i="3"/>
  <c r="J909" i="3"/>
  <c r="G910" i="3"/>
  <c r="H910" i="3"/>
  <c r="J910" i="3"/>
  <c r="G911" i="3"/>
  <c r="H911" i="3"/>
  <c r="J911" i="3"/>
  <c r="G912" i="3"/>
  <c r="H912" i="3"/>
  <c r="J912" i="3"/>
  <c r="G913" i="3"/>
  <c r="H913" i="3"/>
  <c r="J913" i="3"/>
  <c r="G914" i="3"/>
  <c r="H914" i="3"/>
  <c r="J914" i="3"/>
  <c r="G915" i="3"/>
  <c r="H915" i="3"/>
  <c r="J915" i="3"/>
  <c r="G916" i="3"/>
  <c r="H916" i="3"/>
  <c r="J916" i="3"/>
  <c r="G917" i="3"/>
  <c r="H917" i="3"/>
  <c r="J917" i="3"/>
  <c r="G918" i="3"/>
  <c r="H918" i="3"/>
  <c r="J918" i="3"/>
  <c r="G919" i="3"/>
  <c r="H919" i="3"/>
  <c r="J919" i="3"/>
  <c r="J920" i="3"/>
  <c r="G921" i="3"/>
  <c r="H921" i="3"/>
  <c r="J921" i="3"/>
  <c r="G922" i="3"/>
  <c r="H922" i="3"/>
  <c r="J922" i="3"/>
  <c r="G925" i="3"/>
  <c r="H925" i="3"/>
  <c r="J925" i="3"/>
  <c r="G926" i="3"/>
  <c r="H926" i="3"/>
  <c r="J926" i="3"/>
  <c r="G927" i="3"/>
  <c r="H927" i="3"/>
  <c r="J927" i="3"/>
  <c r="G928" i="3"/>
  <c r="H928" i="3"/>
  <c r="J928" i="3"/>
  <c r="G929" i="3"/>
  <c r="H929" i="3"/>
  <c r="J929" i="3"/>
  <c r="G930" i="3"/>
  <c r="H930" i="3"/>
  <c r="J930" i="3"/>
  <c r="G931" i="3"/>
  <c r="H931" i="3"/>
  <c r="J931" i="3"/>
  <c r="G932" i="3"/>
  <c r="H932" i="3"/>
  <c r="J932" i="3"/>
  <c r="G933" i="3"/>
  <c r="H933" i="3"/>
  <c r="J933" i="3"/>
  <c r="G934" i="3"/>
  <c r="H934" i="3"/>
  <c r="J934" i="3"/>
  <c r="G935" i="3"/>
  <c r="H935" i="3"/>
  <c r="J935" i="3"/>
  <c r="G936" i="3"/>
  <c r="H936" i="3"/>
  <c r="J936" i="3"/>
  <c r="G937" i="3"/>
  <c r="H937" i="3"/>
  <c r="J937" i="3"/>
  <c r="G938" i="3"/>
  <c r="H938" i="3"/>
  <c r="J938" i="3"/>
  <c r="G939" i="3"/>
  <c r="H939" i="3"/>
  <c r="J939" i="3"/>
  <c r="J940" i="3"/>
  <c r="G941" i="3"/>
  <c r="H941" i="3"/>
  <c r="J941" i="3"/>
  <c r="G942" i="3"/>
  <c r="H942" i="3"/>
  <c r="J942" i="3"/>
  <c r="G945" i="3"/>
  <c r="H945" i="3"/>
  <c r="J945" i="3"/>
  <c r="G946" i="3"/>
  <c r="H946" i="3"/>
  <c r="J946" i="3"/>
  <c r="G947" i="3"/>
  <c r="H947" i="3"/>
  <c r="J947" i="3"/>
  <c r="G948" i="3"/>
  <c r="H948" i="3"/>
  <c r="J948" i="3"/>
  <c r="G949" i="3"/>
  <c r="H949" i="3"/>
  <c r="J949" i="3"/>
  <c r="G950" i="3"/>
  <c r="H950" i="3"/>
  <c r="J950" i="3"/>
  <c r="G951" i="3"/>
  <c r="H951" i="3"/>
  <c r="J951" i="3"/>
  <c r="G952" i="3"/>
  <c r="H952" i="3"/>
  <c r="J952" i="3"/>
  <c r="G953" i="3"/>
  <c r="H953" i="3"/>
  <c r="J953" i="3"/>
  <c r="G954" i="3"/>
  <c r="H954" i="3"/>
  <c r="J954" i="3"/>
  <c r="G955" i="3"/>
  <c r="H955" i="3"/>
  <c r="J955" i="3"/>
  <c r="G956" i="3"/>
  <c r="H956" i="3"/>
  <c r="J956" i="3"/>
  <c r="G957" i="3"/>
  <c r="H957" i="3"/>
  <c r="J957" i="3"/>
  <c r="G958" i="3"/>
  <c r="H958" i="3"/>
  <c r="J958" i="3"/>
  <c r="G959" i="3"/>
  <c r="H959" i="3"/>
  <c r="J959" i="3"/>
  <c r="J960" i="3"/>
  <c r="G961" i="3"/>
  <c r="H961" i="3"/>
  <c r="J961" i="3"/>
  <c r="G962" i="3"/>
  <c r="H962" i="3"/>
  <c r="J962" i="3"/>
  <c r="G965" i="3"/>
  <c r="H965" i="3"/>
  <c r="J965" i="3"/>
  <c r="G966" i="3"/>
  <c r="H966" i="3"/>
  <c r="J966" i="3"/>
  <c r="G967" i="3"/>
  <c r="H967" i="3"/>
  <c r="J967" i="3"/>
  <c r="G968" i="3"/>
  <c r="H968" i="3"/>
  <c r="J968" i="3"/>
  <c r="G969" i="3"/>
  <c r="H969" i="3"/>
  <c r="J969" i="3"/>
  <c r="G970" i="3"/>
  <c r="H970" i="3"/>
  <c r="J970" i="3"/>
  <c r="G971" i="3"/>
  <c r="H971" i="3"/>
  <c r="J971" i="3"/>
  <c r="G972" i="3"/>
  <c r="H972" i="3"/>
  <c r="J972" i="3"/>
  <c r="G973" i="3"/>
  <c r="H973" i="3"/>
  <c r="J973" i="3"/>
  <c r="G974" i="3"/>
  <c r="H974" i="3"/>
  <c r="J974" i="3"/>
  <c r="G975" i="3"/>
  <c r="H975" i="3"/>
  <c r="J975" i="3"/>
  <c r="G976" i="3"/>
  <c r="H976" i="3"/>
  <c r="J976" i="3"/>
  <c r="G977" i="3"/>
  <c r="H977" i="3"/>
  <c r="J977" i="3"/>
  <c r="G978" i="3"/>
  <c r="H978" i="3"/>
  <c r="J978" i="3"/>
  <c r="G979" i="3"/>
  <c r="H979" i="3"/>
  <c r="J979" i="3"/>
  <c r="J980" i="3"/>
  <c r="G981" i="3"/>
  <c r="H981" i="3"/>
  <c r="J981" i="3"/>
  <c r="G982" i="3"/>
  <c r="H982" i="3"/>
  <c r="J982" i="3"/>
  <c r="G985" i="3"/>
  <c r="H985" i="3"/>
  <c r="J985" i="3"/>
  <c r="G986" i="3"/>
  <c r="H986" i="3"/>
  <c r="J986" i="3"/>
  <c r="G987" i="3"/>
  <c r="H987" i="3"/>
  <c r="J987" i="3"/>
  <c r="G988" i="3"/>
  <c r="H988" i="3"/>
  <c r="J988" i="3"/>
  <c r="G989" i="3"/>
  <c r="H989" i="3"/>
  <c r="J989" i="3"/>
  <c r="G990" i="3"/>
  <c r="H990" i="3"/>
  <c r="J990" i="3"/>
  <c r="G991" i="3"/>
  <c r="H991" i="3"/>
  <c r="J991" i="3"/>
  <c r="G992" i="3"/>
  <c r="H992" i="3"/>
  <c r="J992" i="3"/>
  <c r="G993" i="3"/>
  <c r="H993" i="3"/>
  <c r="J993" i="3"/>
  <c r="G994" i="3"/>
  <c r="H994" i="3"/>
  <c r="J994" i="3"/>
  <c r="G995" i="3"/>
  <c r="H995" i="3"/>
  <c r="J995" i="3"/>
  <c r="G996" i="3"/>
  <c r="H996" i="3"/>
  <c r="J996" i="3"/>
  <c r="G997" i="3"/>
  <c r="H997" i="3"/>
  <c r="J997" i="3"/>
  <c r="G998" i="3"/>
  <c r="H998" i="3"/>
  <c r="J998" i="3"/>
  <c r="G999" i="3"/>
  <c r="H999" i="3"/>
  <c r="J999" i="3"/>
  <c r="G1000" i="3"/>
  <c r="H1000" i="3"/>
  <c r="J1000" i="3"/>
  <c r="G1001" i="3"/>
  <c r="H1001" i="3"/>
  <c r="J1001" i="3"/>
  <c r="G1002" i="3"/>
  <c r="H1002" i="3"/>
  <c r="J1002" i="3"/>
  <c r="G1005" i="3"/>
  <c r="H1005" i="3"/>
  <c r="J1005" i="3"/>
  <c r="G1006" i="3"/>
  <c r="H1006" i="3"/>
  <c r="J1006" i="3"/>
  <c r="G1007" i="3"/>
  <c r="H1007" i="3"/>
  <c r="J1007" i="3"/>
  <c r="G1008" i="3"/>
  <c r="H1008" i="3"/>
  <c r="J1008" i="3"/>
  <c r="G1009" i="3"/>
  <c r="H1009" i="3"/>
  <c r="J1009" i="3"/>
  <c r="G1010" i="3"/>
  <c r="H1010" i="3"/>
  <c r="J1010" i="3"/>
  <c r="G1011" i="3"/>
  <c r="H1011" i="3"/>
  <c r="J1011" i="3"/>
  <c r="G1012" i="3"/>
  <c r="H1012" i="3"/>
  <c r="J1012" i="3"/>
  <c r="G1013" i="3"/>
  <c r="H1013" i="3"/>
  <c r="J1013" i="3"/>
  <c r="G1014" i="3"/>
  <c r="H1014" i="3"/>
  <c r="J1014" i="3"/>
  <c r="G1015" i="3"/>
  <c r="H1015" i="3"/>
  <c r="J1015" i="3"/>
  <c r="G1016" i="3"/>
  <c r="H1016" i="3"/>
  <c r="J1016" i="3"/>
  <c r="G1017" i="3"/>
  <c r="H1017" i="3"/>
  <c r="J1017" i="3"/>
  <c r="G1018" i="3"/>
  <c r="H1018" i="3"/>
  <c r="J1018" i="3"/>
  <c r="G1019" i="3"/>
  <c r="H1019" i="3"/>
  <c r="J1019" i="3"/>
  <c r="G1020" i="3"/>
  <c r="H1020" i="3"/>
  <c r="J1020" i="3"/>
  <c r="G1021" i="3"/>
  <c r="H1021" i="3"/>
  <c r="J1021" i="3"/>
  <c r="G1022" i="3"/>
  <c r="H1022" i="3"/>
  <c r="J1022" i="3"/>
  <c r="G1025" i="3"/>
  <c r="H1025" i="3"/>
  <c r="J1025" i="3"/>
  <c r="G1026" i="3"/>
  <c r="H1026" i="3"/>
  <c r="J1026" i="3"/>
  <c r="G1027" i="3"/>
  <c r="H1027" i="3"/>
  <c r="J1027" i="3"/>
  <c r="G1028" i="3"/>
  <c r="H1028" i="3"/>
  <c r="J1028" i="3"/>
  <c r="G1029" i="3"/>
  <c r="H1029" i="3"/>
  <c r="J1029" i="3"/>
  <c r="G1030" i="3"/>
  <c r="H1030" i="3"/>
  <c r="J1030" i="3"/>
  <c r="G1031" i="3"/>
  <c r="H1031" i="3"/>
  <c r="J1031" i="3"/>
  <c r="G1032" i="3"/>
  <c r="H1032" i="3"/>
  <c r="J1032" i="3"/>
  <c r="G1033" i="3"/>
  <c r="H1033" i="3"/>
  <c r="J1033" i="3"/>
  <c r="G1034" i="3"/>
  <c r="H1034" i="3"/>
  <c r="J1034" i="3"/>
  <c r="G1035" i="3"/>
  <c r="H1035" i="3"/>
  <c r="J1035" i="3"/>
  <c r="G1036" i="3"/>
  <c r="H1036" i="3"/>
  <c r="J1036" i="3"/>
  <c r="G1037" i="3"/>
  <c r="H1037" i="3"/>
  <c r="J1037" i="3"/>
  <c r="G1038" i="3"/>
  <c r="H1038" i="3"/>
  <c r="J1038" i="3"/>
  <c r="G1039" i="3"/>
  <c r="H1039" i="3"/>
  <c r="J1039" i="3"/>
  <c r="J1040" i="3"/>
  <c r="G1041" i="3"/>
  <c r="H1041" i="3"/>
  <c r="J1041" i="3"/>
  <c r="G1042" i="3"/>
  <c r="H1042" i="3"/>
  <c r="J1042" i="3"/>
  <c r="G1045" i="3"/>
  <c r="H1045" i="3"/>
  <c r="J1045" i="3"/>
  <c r="G1046" i="3"/>
  <c r="H1046" i="3"/>
  <c r="J1046" i="3"/>
  <c r="G1047" i="3"/>
  <c r="H1047" i="3"/>
  <c r="J1047" i="3"/>
  <c r="G1048" i="3"/>
  <c r="H1048" i="3"/>
  <c r="J1048" i="3"/>
  <c r="G1049" i="3"/>
  <c r="H1049" i="3"/>
  <c r="J1049" i="3"/>
  <c r="G1050" i="3"/>
  <c r="H1050" i="3"/>
  <c r="J1050" i="3"/>
  <c r="G1051" i="3"/>
  <c r="H1051" i="3"/>
  <c r="J1051" i="3"/>
  <c r="G1052" i="3"/>
  <c r="H1052" i="3"/>
  <c r="J1052" i="3"/>
  <c r="G1053" i="3"/>
  <c r="H1053" i="3"/>
  <c r="J1053" i="3"/>
  <c r="G1054" i="3"/>
  <c r="H1054" i="3"/>
  <c r="J1054" i="3"/>
  <c r="G1055" i="3"/>
  <c r="H1055" i="3"/>
  <c r="J1055" i="3"/>
  <c r="G1056" i="3"/>
  <c r="H1056" i="3"/>
  <c r="J1056" i="3"/>
  <c r="G1057" i="3"/>
  <c r="H1057" i="3"/>
  <c r="J1057" i="3"/>
  <c r="G1058" i="3"/>
  <c r="H1058" i="3"/>
  <c r="J1058" i="3"/>
  <c r="G1059" i="3"/>
  <c r="H1059" i="3"/>
  <c r="J1059" i="3"/>
  <c r="J1060" i="3"/>
  <c r="G1061" i="3"/>
  <c r="H1061" i="3"/>
  <c r="J1061" i="3"/>
  <c r="G1062" i="3"/>
  <c r="H1062" i="3"/>
  <c r="J1062" i="3"/>
  <c r="G1065" i="3"/>
  <c r="H1065" i="3"/>
  <c r="J1065" i="3"/>
  <c r="G1066" i="3"/>
  <c r="H1066" i="3"/>
  <c r="J1066" i="3"/>
  <c r="G1067" i="3"/>
  <c r="H1067" i="3"/>
  <c r="J1067" i="3"/>
  <c r="G1068" i="3"/>
  <c r="H1068" i="3"/>
  <c r="J1068" i="3"/>
  <c r="G1069" i="3"/>
  <c r="H1069" i="3"/>
  <c r="J1069" i="3"/>
  <c r="G1070" i="3"/>
  <c r="H1070" i="3"/>
  <c r="J1070" i="3"/>
  <c r="G1071" i="3"/>
  <c r="H1071" i="3"/>
  <c r="J1071" i="3"/>
  <c r="G1072" i="3"/>
  <c r="H1072" i="3"/>
  <c r="J1072" i="3"/>
  <c r="G1073" i="3"/>
  <c r="H1073" i="3"/>
  <c r="J1073" i="3"/>
  <c r="G1074" i="3"/>
  <c r="H1074" i="3"/>
  <c r="J1074" i="3"/>
  <c r="G1075" i="3"/>
  <c r="H1075" i="3"/>
  <c r="J1075" i="3"/>
  <c r="G1076" i="3"/>
  <c r="H1076" i="3"/>
  <c r="J1076" i="3"/>
  <c r="G1077" i="3"/>
  <c r="H1077" i="3"/>
  <c r="J1077" i="3"/>
  <c r="G1078" i="3"/>
  <c r="H1078" i="3"/>
  <c r="J1078" i="3"/>
  <c r="G1079" i="3"/>
  <c r="H1079" i="3"/>
  <c r="J1079" i="3"/>
  <c r="J1080" i="3"/>
  <c r="G1081" i="3"/>
  <c r="H1081" i="3"/>
  <c r="J1081" i="3"/>
  <c r="G1082" i="3"/>
  <c r="H1082" i="3"/>
  <c r="J1082" i="3"/>
  <c r="G1085" i="3"/>
  <c r="H1085" i="3"/>
  <c r="J1085" i="3"/>
  <c r="G1086" i="3"/>
  <c r="H1086" i="3"/>
  <c r="J1086" i="3"/>
  <c r="G1087" i="3"/>
  <c r="H1087" i="3"/>
  <c r="J1087" i="3"/>
  <c r="G1088" i="3"/>
  <c r="H1088" i="3"/>
  <c r="J1088" i="3"/>
  <c r="G1089" i="3"/>
  <c r="H1089" i="3"/>
  <c r="J1089" i="3"/>
  <c r="G1090" i="3"/>
  <c r="H1090" i="3"/>
  <c r="J1090" i="3"/>
  <c r="G1091" i="3"/>
  <c r="H1091" i="3"/>
  <c r="J1091" i="3"/>
  <c r="G1092" i="3"/>
  <c r="H1092" i="3"/>
  <c r="J1092" i="3"/>
  <c r="G1093" i="3"/>
  <c r="H1093" i="3"/>
  <c r="J1093" i="3"/>
  <c r="G1094" i="3"/>
  <c r="H1094" i="3"/>
  <c r="J1094" i="3"/>
  <c r="G1095" i="3"/>
  <c r="H1095" i="3"/>
  <c r="J1095" i="3"/>
  <c r="G1096" i="3"/>
  <c r="H1096" i="3"/>
  <c r="J1096" i="3"/>
  <c r="G1097" i="3"/>
  <c r="H1097" i="3"/>
  <c r="J1097" i="3"/>
  <c r="G1098" i="3"/>
  <c r="H1098" i="3"/>
  <c r="J1098" i="3"/>
  <c r="G1099" i="3"/>
  <c r="H1099" i="3"/>
  <c r="J1099" i="3"/>
  <c r="J1100" i="3"/>
  <c r="G1101" i="3"/>
  <c r="H1101" i="3"/>
  <c r="J1101" i="3"/>
  <c r="G1102" i="3"/>
  <c r="H1102" i="3"/>
  <c r="J1102" i="3"/>
  <c r="G1105" i="3"/>
  <c r="H1105" i="3"/>
  <c r="J1105" i="3"/>
  <c r="G1106" i="3"/>
  <c r="H1106" i="3"/>
  <c r="J1106" i="3"/>
  <c r="G1107" i="3"/>
  <c r="H1107" i="3"/>
  <c r="J1107" i="3"/>
  <c r="G1108" i="3"/>
  <c r="H1108" i="3"/>
  <c r="J1108" i="3"/>
  <c r="G1109" i="3"/>
  <c r="H1109" i="3"/>
  <c r="J1109" i="3"/>
  <c r="G1110" i="3"/>
  <c r="H1110" i="3"/>
  <c r="J1110" i="3"/>
  <c r="G1111" i="3"/>
  <c r="H1111" i="3"/>
  <c r="J1111" i="3"/>
  <c r="G1112" i="3"/>
  <c r="H1112" i="3"/>
  <c r="J1112" i="3"/>
  <c r="G1113" i="3"/>
  <c r="H1113" i="3"/>
  <c r="J1113" i="3"/>
  <c r="G1114" i="3"/>
  <c r="H1114" i="3"/>
  <c r="J1114" i="3"/>
  <c r="G1115" i="3"/>
  <c r="H1115" i="3"/>
  <c r="J1115" i="3"/>
  <c r="G1116" i="3"/>
  <c r="H1116" i="3"/>
  <c r="J1116" i="3"/>
  <c r="G1117" i="3"/>
  <c r="H1117" i="3"/>
  <c r="J1117" i="3"/>
  <c r="G1118" i="3"/>
  <c r="H1118" i="3"/>
  <c r="J1118" i="3"/>
  <c r="G1119" i="3"/>
  <c r="H1119" i="3"/>
  <c r="J1119" i="3"/>
  <c r="J1120" i="3"/>
  <c r="G1121" i="3"/>
  <c r="H1121" i="3"/>
  <c r="J1121" i="3"/>
  <c r="G1122" i="3"/>
  <c r="H1122" i="3"/>
  <c r="J1122" i="3"/>
  <c r="G1125" i="3"/>
  <c r="H1125" i="3"/>
  <c r="J1125" i="3"/>
  <c r="G1126" i="3"/>
  <c r="H1126" i="3"/>
  <c r="J1126" i="3"/>
  <c r="G1127" i="3"/>
  <c r="H1127" i="3"/>
  <c r="J1127" i="3"/>
  <c r="G1128" i="3"/>
  <c r="H1128" i="3"/>
  <c r="J1128" i="3"/>
  <c r="G1129" i="3"/>
  <c r="H1129" i="3"/>
  <c r="J1129" i="3"/>
  <c r="G1130" i="3"/>
  <c r="H1130" i="3"/>
  <c r="J1130" i="3"/>
  <c r="G1131" i="3"/>
  <c r="H1131" i="3"/>
  <c r="J1131" i="3"/>
  <c r="G1132" i="3"/>
  <c r="H1132" i="3"/>
  <c r="J1132" i="3"/>
  <c r="G1133" i="3"/>
  <c r="H1133" i="3"/>
  <c r="J1133" i="3"/>
  <c r="G1134" i="3"/>
  <c r="H1134" i="3"/>
  <c r="J1134" i="3"/>
  <c r="G1135" i="3"/>
  <c r="H1135" i="3"/>
  <c r="J1135" i="3"/>
  <c r="G1136" i="3"/>
  <c r="H1136" i="3"/>
  <c r="J1136" i="3"/>
  <c r="G1137" i="3"/>
  <c r="H1137" i="3"/>
  <c r="J1137" i="3"/>
  <c r="G1138" i="3"/>
  <c r="H1138" i="3"/>
  <c r="J1138" i="3"/>
  <c r="G1139" i="3"/>
  <c r="H1139" i="3"/>
  <c r="J1139" i="3"/>
  <c r="J1140" i="3"/>
  <c r="G1141" i="3"/>
  <c r="H1141" i="3"/>
  <c r="J1141" i="3"/>
  <c r="G1142" i="3"/>
  <c r="H1142" i="3"/>
  <c r="J1142" i="3"/>
  <c r="G1145" i="3"/>
  <c r="H1145" i="3"/>
  <c r="J1145" i="3"/>
  <c r="G1146" i="3"/>
  <c r="H1146" i="3"/>
  <c r="J1146" i="3"/>
  <c r="G1147" i="3"/>
  <c r="H1147" i="3"/>
  <c r="J1147" i="3"/>
  <c r="G1148" i="3"/>
  <c r="H1148" i="3"/>
  <c r="J1148" i="3"/>
  <c r="G1149" i="3"/>
  <c r="H1149" i="3"/>
  <c r="J1149" i="3"/>
  <c r="G1150" i="3"/>
  <c r="H1150" i="3"/>
  <c r="J1150" i="3"/>
  <c r="G1151" i="3"/>
  <c r="H1151" i="3"/>
  <c r="J1151" i="3"/>
  <c r="G1152" i="3"/>
  <c r="H1152" i="3"/>
  <c r="J1152" i="3"/>
  <c r="G1153" i="3"/>
  <c r="H1153" i="3"/>
  <c r="J1153" i="3"/>
  <c r="G1154" i="3"/>
  <c r="H1154" i="3"/>
  <c r="J1154" i="3"/>
  <c r="G1155" i="3"/>
  <c r="H1155" i="3"/>
  <c r="J1155" i="3"/>
  <c r="G1156" i="3"/>
  <c r="H1156" i="3"/>
  <c r="J1156" i="3"/>
  <c r="G1157" i="3"/>
  <c r="H1157" i="3"/>
  <c r="J1157" i="3"/>
  <c r="G1158" i="3"/>
  <c r="H1158" i="3"/>
  <c r="J1158" i="3"/>
  <c r="G1159" i="3"/>
  <c r="H1159" i="3"/>
  <c r="J1159" i="3"/>
  <c r="J1160" i="3"/>
  <c r="G1161" i="3"/>
  <c r="H1161" i="3"/>
  <c r="J1161" i="3"/>
  <c r="G1162" i="3"/>
  <c r="H1162" i="3"/>
  <c r="J1162" i="3"/>
  <c r="G1165" i="3"/>
  <c r="H1165" i="3"/>
  <c r="J1165" i="3"/>
  <c r="G1166" i="3"/>
  <c r="H1166" i="3"/>
  <c r="J1166" i="3"/>
  <c r="G1167" i="3"/>
  <c r="H1167" i="3"/>
  <c r="J1167" i="3"/>
  <c r="G1168" i="3"/>
  <c r="H1168" i="3"/>
  <c r="J1168" i="3"/>
  <c r="G1169" i="3"/>
  <c r="H1169" i="3"/>
  <c r="J1169" i="3"/>
  <c r="G1170" i="3"/>
  <c r="H1170" i="3"/>
  <c r="J1170" i="3"/>
  <c r="G1171" i="3"/>
  <c r="H1171" i="3"/>
  <c r="J1171" i="3"/>
  <c r="G1172" i="3"/>
  <c r="H1172" i="3"/>
  <c r="J1172" i="3"/>
  <c r="G1173" i="3"/>
  <c r="H1173" i="3"/>
  <c r="J1173" i="3"/>
  <c r="G1174" i="3"/>
  <c r="H1174" i="3"/>
  <c r="J1174" i="3"/>
  <c r="G1175" i="3"/>
  <c r="H1175" i="3"/>
  <c r="J1175" i="3"/>
  <c r="G1176" i="3"/>
  <c r="H1176" i="3"/>
  <c r="J1176" i="3"/>
  <c r="G1177" i="3"/>
  <c r="H1177" i="3"/>
  <c r="J1177" i="3"/>
  <c r="G1178" i="3"/>
  <c r="H1178" i="3"/>
  <c r="J1178" i="3"/>
  <c r="G1179" i="3"/>
  <c r="H1179" i="3"/>
  <c r="J1179" i="3"/>
  <c r="J1180" i="3"/>
  <c r="G1181" i="3"/>
  <c r="H1181" i="3"/>
  <c r="J1181" i="3"/>
  <c r="G1182" i="3"/>
  <c r="H1182" i="3"/>
  <c r="J1182" i="3"/>
  <c r="G1185" i="3"/>
  <c r="H1185" i="3"/>
  <c r="J1185" i="3"/>
  <c r="G1186" i="3"/>
  <c r="H1186" i="3"/>
  <c r="J1186" i="3"/>
  <c r="G1187" i="3"/>
  <c r="H1187" i="3"/>
  <c r="J1187" i="3"/>
  <c r="G1188" i="3"/>
  <c r="H1188" i="3"/>
  <c r="J1188" i="3"/>
  <c r="G1189" i="3"/>
  <c r="H1189" i="3"/>
  <c r="J1189" i="3"/>
  <c r="G1190" i="3"/>
  <c r="H1190" i="3"/>
  <c r="J1190" i="3"/>
  <c r="G1191" i="3"/>
  <c r="H1191" i="3"/>
  <c r="J1191" i="3"/>
  <c r="G1192" i="3"/>
  <c r="H1192" i="3"/>
  <c r="J1192" i="3"/>
  <c r="G1193" i="3"/>
  <c r="H1193" i="3"/>
  <c r="J1193" i="3"/>
  <c r="G1194" i="3"/>
  <c r="H1194" i="3"/>
  <c r="J1194" i="3"/>
  <c r="G1195" i="3"/>
  <c r="H1195" i="3"/>
  <c r="J1195" i="3"/>
  <c r="G1196" i="3"/>
  <c r="H1196" i="3"/>
  <c r="J1196" i="3"/>
  <c r="G1197" i="3"/>
  <c r="H1197" i="3"/>
  <c r="J1197" i="3"/>
  <c r="G1198" i="3"/>
  <c r="H1198" i="3"/>
  <c r="J1198" i="3"/>
  <c r="G1199" i="3"/>
  <c r="H1199" i="3"/>
  <c r="J1199" i="3"/>
  <c r="J1200" i="3"/>
  <c r="G1201" i="3"/>
  <c r="H1201" i="3"/>
  <c r="J1201" i="3"/>
  <c r="G1202" i="3"/>
  <c r="H1202" i="3"/>
  <c r="J1202" i="3"/>
  <c r="G1205" i="3"/>
  <c r="H1205" i="3"/>
  <c r="J1205" i="3"/>
  <c r="G1206" i="3"/>
  <c r="H1206" i="3"/>
  <c r="J1206" i="3"/>
  <c r="G1207" i="3"/>
  <c r="H1207" i="3"/>
  <c r="J1207" i="3"/>
  <c r="G1208" i="3"/>
  <c r="H1208" i="3"/>
  <c r="J1208" i="3"/>
  <c r="G1209" i="3"/>
  <c r="H1209" i="3"/>
  <c r="J1209" i="3"/>
  <c r="G1210" i="3"/>
  <c r="H1210" i="3"/>
  <c r="J1210" i="3"/>
  <c r="G1211" i="3"/>
  <c r="H1211" i="3"/>
  <c r="J1211" i="3"/>
  <c r="G1212" i="3"/>
  <c r="H1212" i="3"/>
  <c r="J1212" i="3"/>
  <c r="G1213" i="3"/>
  <c r="H1213" i="3"/>
  <c r="J1213" i="3"/>
  <c r="G1214" i="3"/>
  <c r="H1214" i="3"/>
  <c r="J1214" i="3"/>
  <c r="G1215" i="3"/>
  <c r="H1215" i="3"/>
  <c r="J1215" i="3"/>
  <c r="G1216" i="3"/>
  <c r="H1216" i="3"/>
  <c r="J1216" i="3"/>
  <c r="G1217" i="3"/>
  <c r="H1217" i="3"/>
  <c r="J1217" i="3"/>
  <c r="G1218" i="3"/>
  <c r="H1218" i="3"/>
  <c r="J1218" i="3"/>
  <c r="G1219" i="3"/>
  <c r="H1219" i="3"/>
  <c r="J1219" i="3"/>
  <c r="J1220" i="3"/>
  <c r="G1221" i="3"/>
  <c r="H1221" i="3"/>
  <c r="J1221" i="3"/>
  <c r="G1222" i="3"/>
  <c r="H1222" i="3"/>
  <c r="J1222" i="3"/>
  <c r="G1225" i="3"/>
  <c r="H1225" i="3"/>
  <c r="J1225" i="3"/>
  <c r="G1226" i="3"/>
  <c r="H1226" i="3"/>
  <c r="J1226" i="3"/>
  <c r="G1227" i="3"/>
  <c r="H1227" i="3"/>
  <c r="J1227" i="3"/>
  <c r="G1228" i="3"/>
  <c r="H1228" i="3"/>
  <c r="J1228" i="3"/>
  <c r="G1229" i="3"/>
  <c r="H1229" i="3"/>
  <c r="J1229" i="3"/>
  <c r="G1230" i="3"/>
  <c r="H1230" i="3"/>
  <c r="J1230" i="3"/>
  <c r="G1231" i="3"/>
  <c r="H1231" i="3"/>
  <c r="J1231" i="3"/>
  <c r="G1232" i="3"/>
  <c r="H1232" i="3"/>
  <c r="J1232" i="3"/>
  <c r="G1233" i="3"/>
  <c r="H1233" i="3"/>
  <c r="J1233" i="3"/>
  <c r="G1234" i="3"/>
  <c r="H1234" i="3"/>
  <c r="J1234" i="3"/>
  <c r="G1235" i="3"/>
  <c r="H1235" i="3"/>
  <c r="J1235" i="3"/>
  <c r="G1236" i="3"/>
  <c r="H1236" i="3"/>
  <c r="J1236" i="3"/>
  <c r="G1237" i="3"/>
  <c r="H1237" i="3"/>
  <c r="J1237" i="3"/>
  <c r="G1238" i="3"/>
  <c r="H1238" i="3"/>
  <c r="J1238" i="3"/>
  <c r="G1239" i="3"/>
  <c r="H1239" i="3"/>
  <c r="J1239" i="3"/>
  <c r="J1240" i="3"/>
  <c r="G1241" i="3"/>
  <c r="H1241" i="3"/>
  <c r="J1241" i="3"/>
  <c r="G1242" i="3"/>
  <c r="H1242" i="3"/>
  <c r="J1242" i="3"/>
  <c r="G1245" i="3"/>
  <c r="H1245" i="3"/>
  <c r="J1245" i="3"/>
  <c r="G1246" i="3"/>
  <c r="H1246" i="3"/>
  <c r="J1246" i="3"/>
  <c r="G1247" i="3"/>
  <c r="H1247" i="3"/>
  <c r="J1247" i="3"/>
  <c r="G1248" i="3"/>
  <c r="H1248" i="3"/>
  <c r="J1248" i="3"/>
  <c r="G1249" i="3"/>
  <c r="H1249" i="3"/>
  <c r="J1249" i="3"/>
  <c r="G1250" i="3"/>
  <c r="H1250" i="3"/>
  <c r="J1250" i="3"/>
  <c r="G1251" i="3"/>
  <c r="H1251" i="3"/>
  <c r="J1251" i="3"/>
  <c r="G1252" i="3"/>
  <c r="H1252" i="3"/>
  <c r="J1252" i="3"/>
  <c r="G1253" i="3"/>
  <c r="H1253" i="3"/>
  <c r="J1253" i="3"/>
  <c r="G1254" i="3"/>
  <c r="H1254" i="3"/>
  <c r="J1254" i="3"/>
  <c r="G1255" i="3"/>
  <c r="H1255" i="3"/>
  <c r="J1255" i="3"/>
  <c r="G1256" i="3"/>
  <c r="H1256" i="3"/>
  <c r="J1256" i="3"/>
  <c r="G1257" i="3"/>
  <c r="H1257" i="3"/>
  <c r="J1257" i="3"/>
  <c r="G1258" i="3"/>
  <c r="H1258" i="3"/>
  <c r="J1258" i="3"/>
  <c r="G1259" i="3"/>
  <c r="H1259" i="3"/>
  <c r="J1259" i="3"/>
  <c r="J1260" i="3"/>
  <c r="G1261" i="3"/>
  <c r="H1261" i="3"/>
  <c r="J1261" i="3"/>
  <c r="G1262" i="3"/>
  <c r="H1262" i="3"/>
  <c r="J1262" i="3"/>
  <c r="G1265" i="3"/>
  <c r="H1265" i="3"/>
  <c r="J1265" i="3"/>
  <c r="G1266" i="3"/>
  <c r="H1266" i="3"/>
  <c r="J1266" i="3"/>
  <c r="G1267" i="3"/>
  <c r="H1267" i="3"/>
  <c r="J1267" i="3"/>
  <c r="G1268" i="3"/>
  <c r="H1268" i="3"/>
  <c r="J1268" i="3"/>
  <c r="G1269" i="3"/>
  <c r="H1269" i="3"/>
  <c r="J1269" i="3"/>
  <c r="G1270" i="3"/>
  <c r="H1270" i="3"/>
  <c r="J1270" i="3"/>
  <c r="G1271" i="3"/>
  <c r="H1271" i="3"/>
  <c r="J1271" i="3"/>
  <c r="G1272" i="3"/>
  <c r="H1272" i="3"/>
  <c r="J1272" i="3"/>
  <c r="G1273" i="3"/>
  <c r="H1273" i="3"/>
  <c r="J1273" i="3"/>
  <c r="G1274" i="3"/>
  <c r="H1274" i="3"/>
  <c r="J1274" i="3"/>
  <c r="G1275" i="3"/>
  <c r="H1275" i="3"/>
  <c r="J1275" i="3"/>
  <c r="G1276" i="3"/>
  <c r="H1276" i="3"/>
  <c r="J1276" i="3"/>
  <c r="G1277" i="3"/>
  <c r="H1277" i="3"/>
  <c r="J1277" i="3"/>
  <c r="G1278" i="3"/>
  <c r="H1278" i="3"/>
  <c r="J1278" i="3"/>
  <c r="G1279" i="3"/>
  <c r="H1279" i="3"/>
  <c r="J1279" i="3"/>
  <c r="J1280" i="3"/>
  <c r="G1281" i="3"/>
  <c r="H1281" i="3"/>
  <c r="J1281" i="3"/>
  <c r="G1282" i="3"/>
  <c r="H1282" i="3"/>
  <c r="J1282" i="3"/>
  <c r="G1285" i="3"/>
  <c r="H1285" i="3"/>
  <c r="J1285" i="3"/>
  <c r="G1286" i="3"/>
  <c r="H1286" i="3"/>
  <c r="J1286" i="3"/>
  <c r="G1287" i="3"/>
  <c r="H1287" i="3"/>
  <c r="J1287" i="3"/>
  <c r="G1288" i="3"/>
  <c r="H1288" i="3"/>
  <c r="J1288" i="3"/>
  <c r="G1289" i="3"/>
  <c r="H1289" i="3"/>
  <c r="J1289" i="3"/>
  <c r="G1290" i="3"/>
  <c r="H1290" i="3"/>
  <c r="J1290" i="3"/>
  <c r="G1291" i="3"/>
  <c r="H1291" i="3"/>
  <c r="J1291" i="3"/>
  <c r="G1292" i="3"/>
  <c r="H1292" i="3"/>
  <c r="J1292" i="3"/>
  <c r="G1293" i="3"/>
  <c r="H1293" i="3"/>
  <c r="J1293" i="3"/>
  <c r="G1294" i="3"/>
  <c r="H1294" i="3"/>
  <c r="J1294" i="3"/>
  <c r="G1295" i="3"/>
  <c r="H1295" i="3"/>
  <c r="J1295" i="3"/>
  <c r="G1296" i="3"/>
  <c r="H1296" i="3"/>
  <c r="J1296" i="3"/>
  <c r="G1297" i="3"/>
  <c r="H1297" i="3"/>
  <c r="J1297" i="3"/>
  <c r="G1298" i="3"/>
  <c r="H1298" i="3"/>
  <c r="J1298" i="3"/>
  <c r="G1299" i="3"/>
  <c r="H1299" i="3"/>
  <c r="J1299" i="3"/>
  <c r="J1300" i="3"/>
  <c r="G1301" i="3"/>
  <c r="H1301" i="3"/>
  <c r="J1301" i="3"/>
  <c r="G1302" i="3"/>
  <c r="H1302" i="3"/>
  <c r="J1302" i="3"/>
  <c r="G1305" i="3"/>
  <c r="H1305" i="3"/>
  <c r="J1305" i="3"/>
  <c r="G1306" i="3"/>
  <c r="H1306" i="3"/>
  <c r="J1306" i="3"/>
  <c r="G1307" i="3"/>
  <c r="H1307" i="3"/>
  <c r="J1307" i="3"/>
  <c r="G1308" i="3"/>
  <c r="H1308" i="3"/>
  <c r="J1308" i="3"/>
  <c r="G1309" i="3"/>
  <c r="H1309" i="3"/>
  <c r="J1309" i="3"/>
  <c r="G1310" i="3"/>
  <c r="H1310" i="3"/>
  <c r="J1310" i="3"/>
  <c r="G1311" i="3"/>
  <c r="H1311" i="3"/>
  <c r="J1311" i="3"/>
  <c r="G1312" i="3"/>
  <c r="H1312" i="3"/>
  <c r="J1312" i="3"/>
  <c r="G1313" i="3"/>
  <c r="H1313" i="3"/>
  <c r="J1313" i="3"/>
  <c r="G1314" i="3"/>
  <c r="H1314" i="3"/>
  <c r="J1314" i="3"/>
  <c r="G1315" i="3"/>
  <c r="H1315" i="3"/>
  <c r="J1315" i="3"/>
  <c r="G1316" i="3"/>
  <c r="H1316" i="3"/>
  <c r="J1316" i="3"/>
  <c r="G1317" i="3"/>
  <c r="H1317" i="3"/>
  <c r="J1317" i="3"/>
  <c r="G1318" i="3"/>
  <c r="H1318" i="3"/>
  <c r="J1318" i="3"/>
  <c r="G1319" i="3"/>
  <c r="H1319" i="3"/>
  <c r="J1319" i="3"/>
  <c r="J1320" i="3"/>
  <c r="G1321" i="3"/>
  <c r="H1321" i="3"/>
  <c r="J1321" i="3"/>
  <c r="G1322" i="3"/>
  <c r="H1322" i="3"/>
  <c r="J1322" i="3"/>
  <c r="G1325" i="3"/>
  <c r="H1325" i="3"/>
  <c r="J1325" i="3"/>
  <c r="G1326" i="3"/>
  <c r="H1326" i="3"/>
  <c r="J1326" i="3"/>
  <c r="G1327" i="3"/>
  <c r="H1327" i="3"/>
  <c r="J1327" i="3"/>
  <c r="G1328" i="3"/>
  <c r="H1328" i="3"/>
  <c r="J1328" i="3"/>
  <c r="G1329" i="3"/>
  <c r="H1329" i="3"/>
  <c r="J1329" i="3"/>
  <c r="G1330" i="3"/>
  <c r="H1330" i="3"/>
  <c r="J1330" i="3"/>
  <c r="G1331" i="3"/>
  <c r="H1331" i="3"/>
  <c r="J1331" i="3"/>
  <c r="G1332" i="3"/>
  <c r="H1332" i="3"/>
  <c r="J1332" i="3"/>
  <c r="G1333" i="3"/>
  <c r="H1333" i="3"/>
  <c r="J1333" i="3"/>
  <c r="G1334" i="3"/>
  <c r="H1334" i="3"/>
  <c r="J1334" i="3"/>
  <c r="G1335" i="3"/>
  <c r="H1335" i="3"/>
  <c r="J1335" i="3"/>
  <c r="G1336" i="3"/>
  <c r="H1336" i="3"/>
  <c r="J1336" i="3"/>
  <c r="G1337" i="3"/>
  <c r="H1337" i="3"/>
  <c r="J1337" i="3"/>
  <c r="G1338" i="3"/>
  <c r="H1338" i="3"/>
  <c r="J1338" i="3"/>
  <c r="G1339" i="3"/>
  <c r="H1339" i="3"/>
  <c r="J1339" i="3"/>
  <c r="J1340" i="3"/>
  <c r="G1341" i="3"/>
  <c r="H1341" i="3"/>
  <c r="J1341" i="3"/>
  <c r="G1342" i="3"/>
  <c r="H1342" i="3"/>
  <c r="J1342" i="3"/>
  <c r="G1345" i="3"/>
  <c r="H1345" i="3"/>
  <c r="J1345" i="3"/>
  <c r="G1346" i="3"/>
  <c r="H1346" i="3"/>
  <c r="J1346" i="3"/>
  <c r="G1347" i="3"/>
  <c r="H1347" i="3"/>
  <c r="J1347" i="3"/>
  <c r="G1348" i="3"/>
  <c r="H1348" i="3"/>
  <c r="J1348" i="3"/>
  <c r="G1349" i="3"/>
  <c r="H1349" i="3"/>
  <c r="J1349" i="3"/>
  <c r="G1350" i="3"/>
  <c r="H1350" i="3"/>
  <c r="J1350" i="3"/>
  <c r="G1351" i="3"/>
  <c r="H1351" i="3"/>
  <c r="J1351" i="3"/>
  <c r="G1352" i="3"/>
  <c r="H1352" i="3"/>
  <c r="J1352" i="3"/>
  <c r="G1353" i="3"/>
  <c r="H1353" i="3"/>
  <c r="J1353" i="3"/>
  <c r="G1354" i="3"/>
  <c r="H1354" i="3"/>
  <c r="J1354" i="3"/>
  <c r="G1355" i="3"/>
  <c r="H1355" i="3"/>
  <c r="J1355" i="3"/>
  <c r="G1356" i="3"/>
  <c r="H1356" i="3"/>
  <c r="J1356" i="3"/>
  <c r="G1357" i="3"/>
  <c r="H1357" i="3"/>
  <c r="J1357" i="3"/>
  <c r="G1358" i="3"/>
  <c r="H1358" i="3"/>
  <c r="J1358" i="3"/>
  <c r="G1359" i="3"/>
  <c r="H1359" i="3"/>
  <c r="J1359" i="3"/>
  <c r="J1360" i="3"/>
  <c r="G1361" i="3"/>
  <c r="H1361" i="3"/>
  <c r="J1361" i="3"/>
  <c r="G1362" i="3"/>
  <c r="H1362" i="3"/>
  <c r="J1362" i="3"/>
  <c r="G1365" i="3"/>
  <c r="H1365" i="3"/>
  <c r="J1365" i="3"/>
  <c r="G1366" i="3"/>
  <c r="H1366" i="3"/>
  <c r="J1366" i="3"/>
  <c r="G1367" i="3"/>
  <c r="H1367" i="3"/>
  <c r="J1367" i="3"/>
  <c r="G1368" i="3"/>
  <c r="H1368" i="3"/>
  <c r="J1368" i="3"/>
  <c r="G1369" i="3"/>
  <c r="H1369" i="3"/>
  <c r="J1369" i="3"/>
  <c r="G1370" i="3"/>
  <c r="H1370" i="3"/>
  <c r="J1370" i="3"/>
  <c r="G1371" i="3"/>
  <c r="H1371" i="3"/>
  <c r="J1371" i="3"/>
  <c r="G1372" i="3"/>
  <c r="H1372" i="3"/>
  <c r="J1372" i="3"/>
  <c r="G1373" i="3"/>
  <c r="H1373" i="3"/>
  <c r="J1373" i="3"/>
  <c r="G1374" i="3"/>
  <c r="H1374" i="3"/>
  <c r="J1374" i="3"/>
  <c r="G1375" i="3"/>
  <c r="H1375" i="3"/>
  <c r="J1375" i="3"/>
  <c r="G1376" i="3"/>
  <c r="H1376" i="3"/>
  <c r="J1376" i="3"/>
  <c r="G1377" i="3"/>
  <c r="H1377" i="3"/>
  <c r="J1377" i="3"/>
  <c r="G1378" i="3"/>
  <c r="H1378" i="3"/>
  <c r="J1378" i="3"/>
  <c r="G1379" i="3"/>
  <c r="H1379" i="3"/>
  <c r="J1379" i="3"/>
  <c r="J1380" i="3"/>
  <c r="G1381" i="3"/>
  <c r="H1381" i="3"/>
  <c r="J1381" i="3"/>
  <c r="G1382" i="3"/>
  <c r="H1382" i="3"/>
  <c r="J1382" i="3"/>
  <c r="G1385" i="3"/>
  <c r="H1385" i="3"/>
  <c r="J1385" i="3"/>
  <c r="G1386" i="3"/>
  <c r="H1386" i="3"/>
  <c r="J1386" i="3"/>
  <c r="G1387" i="3"/>
  <c r="H1387" i="3"/>
  <c r="J1387" i="3"/>
  <c r="G1388" i="3"/>
  <c r="H1388" i="3"/>
  <c r="J1388" i="3"/>
  <c r="G1389" i="3"/>
  <c r="H1389" i="3"/>
  <c r="J1389" i="3"/>
  <c r="G1390" i="3"/>
  <c r="H1390" i="3"/>
  <c r="J1390" i="3"/>
  <c r="G1391" i="3"/>
  <c r="H1391" i="3"/>
  <c r="J1391" i="3"/>
  <c r="G1392" i="3"/>
  <c r="H1392" i="3"/>
  <c r="J1392" i="3"/>
  <c r="G1393" i="3"/>
  <c r="H1393" i="3"/>
  <c r="J1393" i="3"/>
  <c r="G1394" i="3"/>
  <c r="H1394" i="3"/>
  <c r="J1394" i="3"/>
  <c r="G1395" i="3"/>
  <c r="H1395" i="3"/>
  <c r="J1395" i="3"/>
  <c r="G1396" i="3"/>
  <c r="H1396" i="3"/>
  <c r="J1396" i="3"/>
  <c r="G1397" i="3"/>
  <c r="H1397" i="3"/>
  <c r="J1397" i="3"/>
  <c r="G1398" i="3"/>
  <c r="H1398" i="3"/>
  <c r="J1398" i="3"/>
  <c r="G1399" i="3"/>
  <c r="H1399" i="3"/>
  <c r="J1399" i="3"/>
  <c r="J1400" i="3"/>
  <c r="G1401" i="3"/>
  <c r="H1401" i="3"/>
  <c r="J1401" i="3"/>
  <c r="G1402" i="3"/>
  <c r="H1402" i="3"/>
  <c r="J1402" i="3"/>
  <c r="G1405" i="3"/>
  <c r="H1405" i="3"/>
  <c r="J1405" i="3"/>
  <c r="G1406" i="3"/>
  <c r="H1406" i="3"/>
  <c r="J1406" i="3"/>
  <c r="G1407" i="3"/>
  <c r="H1407" i="3"/>
  <c r="J1407" i="3"/>
  <c r="G1408" i="3"/>
  <c r="H1408" i="3"/>
  <c r="J1408" i="3"/>
  <c r="G1409" i="3"/>
  <c r="H1409" i="3"/>
  <c r="J1409" i="3"/>
  <c r="G1410" i="3"/>
  <c r="H1410" i="3"/>
  <c r="J1410" i="3"/>
  <c r="G1411" i="3"/>
  <c r="H1411" i="3"/>
  <c r="J1411" i="3"/>
  <c r="G1412" i="3"/>
  <c r="H1412" i="3"/>
  <c r="J1412" i="3"/>
  <c r="G1413" i="3"/>
  <c r="H1413" i="3"/>
  <c r="J1413" i="3"/>
  <c r="G1414" i="3"/>
  <c r="H1414" i="3"/>
  <c r="J1414" i="3"/>
  <c r="G1415" i="3"/>
  <c r="H1415" i="3"/>
  <c r="J1415" i="3"/>
  <c r="G1416" i="3"/>
  <c r="H1416" i="3"/>
  <c r="J1416" i="3"/>
  <c r="G1417" i="3"/>
  <c r="H1417" i="3"/>
  <c r="J1417" i="3"/>
  <c r="G1418" i="3"/>
  <c r="H1418" i="3"/>
  <c r="J1418" i="3"/>
  <c r="G1419" i="3"/>
  <c r="H1419" i="3"/>
  <c r="J1419" i="3"/>
  <c r="J1420" i="3"/>
  <c r="G1421" i="3"/>
  <c r="H1421" i="3"/>
  <c r="J1421" i="3"/>
  <c r="G1422" i="3"/>
  <c r="H1422" i="3"/>
  <c r="J1422" i="3"/>
  <c r="G1425" i="3"/>
  <c r="H1425" i="3"/>
  <c r="J1425" i="3"/>
  <c r="G1426" i="3"/>
  <c r="H1426" i="3"/>
  <c r="J1426" i="3"/>
  <c r="G1427" i="3"/>
  <c r="H1427" i="3"/>
  <c r="J1427" i="3"/>
  <c r="G1428" i="3"/>
  <c r="H1428" i="3"/>
  <c r="J1428" i="3"/>
  <c r="G1429" i="3"/>
  <c r="H1429" i="3"/>
  <c r="J1429" i="3"/>
  <c r="G1430" i="3"/>
  <c r="H1430" i="3"/>
  <c r="J1430" i="3"/>
  <c r="G1431" i="3"/>
  <c r="H1431" i="3"/>
  <c r="J1431" i="3"/>
  <c r="G1432" i="3"/>
  <c r="H1432" i="3"/>
  <c r="J1432" i="3"/>
  <c r="G1433" i="3"/>
  <c r="H1433" i="3"/>
  <c r="J1433" i="3"/>
  <c r="G1434" i="3"/>
  <c r="H1434" i="3"/>
  <c r="J1434" i="3"/>
  <c r="G1435" i="3"/>
  <c r="H1435" i="3"/>
  <c r="J1435" i="3"/>
  <c r="G1436" i="3"/>
  <c r="H1436" i="3"/>
  <c r="J1436" i="3"/>
  <c r="G1437" i="3"/>
  <c r="H1437" i="3"/>
  <c r="J1437" i="3"/>
  <c r="G1438" i="3"/>
  <c r="H1438" i="3"/>
  <c r="J1438" i="3"/>
  <c r="G1439" i="3"/>
  <c r="H1439" i="3"/>
  <c r="J1439" i="3"/>
  <c r="J1440" i="3"/>
  <c r="G1441" i="3"/>
  <c r="H1441" i="3"/>
  <c r="J1441" i="3"/>
  <c r="G1442" i="3"/>
  <c r="H1442" i="3"/>
  <c r="J1442" i="3"/>
  <c r="G1445" i="3"/>
  <c r="H1445" i="3"/>
  <c r="J1445" i="3"/>
  <c r="G1446" i="3"/>
  <c r="H1446" i="3"/>
  <c r="J1446" i="3"/>
  <c r="G1447" i="3"/>
  <c r="H1447" i="3"/>
  <c r="J1447" i="3"/>
  <c r="G1448" i="3"/>
  <c r="H1448" i="3"/>
  <c r="J1448" i="3"/>
  <c r="G1449" i="3"/>
  <c r="H1449" i="3"/>
  <c r="J1449" i="3"/>
  <c r="G1450" i="3"/>
  <c r="H1450" i="3"/>
  <c r="J1450" i="3"/>
  <c r="G1451" i="3"/>
  <c r="H1451" i="3"/>
  <c r="J1451" i="3"/>
  <c r="G1452" i="3"/>
  <c r="H1452" i="3"/>
  <c r="J1452" i="3"/>
  <c r="G1453" i="3"/>
  <c r="H1453" i="3"/>
  <c r="J1453" i="3"/>
  <c r="G1454" i="3"/>
  <c r="H1454" i="3"/>
  <c r="J1454" i="3"/>
  <c r="G1455" i="3"/>
  <c r="H1455" i="3"/>
  <c r="J1455" i="3"/>
  <c r="G1456" i="3"/>
  <c r="H1456" i="3"/>
  <c r="J1456" i="3"/>
  <c r="G1457" i="3"/>
  <c r="H1457" i="3"/>
  <c r="J1457" i="3"/>
  <c r="G1458" i="3"/>
  <c r="H1458" i="3"/>
  <c r="J1458" i="3"/>
  <c r="G1459" i="3"/>
  <c r="H1459" i="3"/>
  <c r="J1459" i="3"/>
  <c r="J1460" i="3"/>
  <c r="G1461" i="3"/>
  <c r="H1461" i="3"/>
  <c r="J1461" i="3"/>
  <c r="G1462" i="3"/>
  <c r="H1462" i="3"/>
  <c r="J1462" i="3"/>
  <c r="G1465" i="3"/>
  <c r="H1465" i="3"/>
  <c r="J1465" i="3"/>
  <c r="G1466" i="3"/>
  <c r="H1466" i="3"/>
  <c r="J1466" i="3"/>
  <c r="G1467" i="3"/>
  <c r="H1467" i="3"/>
  <c r="J1467" i="3"/>
  <c r="G1468" i="3"/>
  <c r="H1468" i="3"/>
  <c r="J1468" i="3"/>
  <c r="G1469" i="3"/>
  <c r="H1469" i="3"/>
  <c r="J1469" i="3"/>
  <c r="G1470" i="3"/>
  <c r="H1470" i="3"/>
  <c r="J1470" i="3"/>
  <c r="G1471" i="3"/>
  <c r="H1471" i="3"/>
  <c r="J1471" i="3"/>
  <c r="G1472" i="3"/>
  <c r="H1472" i="3"/>
  <c r="J1472" i="3"/>
  <c r="G1473" i="3"/>
  <c r="H1473" i="3"/>
  <c r="J1473" i="3"/>
  <c r="G1474" i="3"/>
  <c r="H1474" i="3"/>
  <c r="J1474" i="3"/>
  <c r="G1475" i="3"/>
  <c r="H1475" i="3"/>
  <c r="J1475" i="3"/>
  <c r="G1476" i="3"/>
  <c r="H1476" i="3"/>
  <c r="J1476" i="3"/>
  <c r="G1477" i="3"/>
  <c r="H1477" i="3"/>
  <c r="J1477" i="3"/>
  <c r="G1478" i="3"/>
  <c r="H1478" i="3"/>
  <c r="J1478" i="3"/>
  <c r="G1479" i="3"/>
  <c r="H1479" i="3"/>
  <c r="J1479" i="3"/>
  <c r="J1480" i="3"/>
  <c r="G1481" i="3"/>
  <c r="H1481" i="3"/>
  <c r="J1481" i="3"/>
  <c r="G1482" i="3"/>
  <c r="H1482" i="3"/>
  <c r="J1482" i="3"/>
  <c r="G1485" i="3"/>
  <c r="H1485" i="3"/>
  <c r="J1485" i="3"/>
  <c r="G1486" i="3"/>
  <c r="H1486" i="3"/>
  <c r="J1486" i="3"/>
  <c r="G1487" i="3"/>
  <c r="H1487" i="3"/>
  <c r="J1487" i="3"/>
  <c r="G1488" i="3"/>
  <c r="H1488" i="3"/>
  <c r="J1488" i="3"/>
  <c r="G1489" i="3"/>
  <c r="H1489" i="3"/>
  <c r="J1489" i="3"/>
  <c r="G1490" i="3"/>
  <c r="H1490" i="3"/>
  <c r="J1490" i="3"/>
  <c r="G1491" i="3"/>
  <c r="H1491" i="3"/>
  <c r="J1491" i="3"/>
  <c r="G1492" i="3"/>
  <c r="H1492" i="3"/>
  <c r="J1492" i="3"/>
  <c r="G1493" i="3"/>
  <c r="H1493" i="3"/>
  <c r="J1493" i="3"/>
  <c r="G1494" i="3"/>
  <c r="H1494" i="3"/>
  <c r="J1494" i="3"/>
  <c r="G1495" i="3"/>
  <c r="H1495" i="3"/>
  <c r="J1495" i="3"/>
  <c r="G1496" i="3"/>
  <c r="H1496" i="3"/>
  <c r="J1496" i="3"/>
  <c r="G1497" i="3"/>
  <c r="H1497" i="3"/>
  <c r="J1497" i="3"/>
  <c r="G1498" i="3"/>
  <c r="H1498" i="3"/>
  <c r="J1498" i="3"/>
  <c r="G1499" i="3"/>
  <c r="H1499" i="3"/>
  <c r="J1499" i="3"/>
  <c r="J1500" i="3"/>
  <c r="G1501" i="3"/>
  <c r="H1501" i="3"/>
  <c r="J1501" i="3"/>
  <c r="G1502" i="3"/>
  <c r="H1502" i="3"/>
  <c r="J1502" i="3"/>
  <c r="G1505" i="3"/>
  <c r="H1505" i="3"/>
  <c r="J1505" i="3"/>
  <c r="G1506" i="3"/>
  <c r="H1506" i="3"/>
  <c r="J1506" i="3"/>
  <c r="G1507" i="3"/>
  <c r="H1507" i="3"/>
  <c r="J1507" i="3"/>
  <c r="G1508" i="3"/>
  <c r="H1508" i="3"/>
  <c r="J1508" i="3"/>
  <c r="G1509" i="3"/>
  <c r="H1509" i="3"/>
  <c r="J1509" i="3"/>
  <c r="G1510" i="3"/>
  <c r="H1510" i="3"/>
  <c r="J1510" i="3"/>
  <c r="G1511" i="3"/>
  <c r="H1511" i="3"/>
  <c r="J1511" i="3"/>
  <c r="G1512" i="3"/>
  <c r="H1512" i="3"/>
  <c r="J1512" i="3"/>
  <c r="G1513" i="3"/>
  <c r="H1513" i="3"/>
  <c r="J1513" i="3"/>
  <c r="G1514" i="3"/>
  <c r="H1514" i="3"/>
  <c r="J1514" i="3"/>
  <c r="G1515" i="3"/>
  <c r="H1515" i="3"/>
  <c r="J1515" i="3"/>
  <c r="G1516" i="3"/>
  <c r="H1516" i="3"/>
  <c r="J1516" i="3"/>
  <c r="G1517" i="3"/>
  <c r="H1517" i="3"/>
  <c r="J1517" i="3"/>
  <c r="G1518" i="3"/>
  <c r="H1518" i="3"/>
  <c r="J1518" i="3"/>
  <c r="G1519" i="3"/>
  <c r="H1519" i="3"/>
  <c r="J1519" i="3"/>
  <c r="J1520" i="3"/>
  <c r="G1521" i="3"/>
  <c r="H1521" i="3"/>
  <c r="J1521" i="3"/>
  <c r="G1522" i="3"/>
  <c r="H1522" i="3"/>
  <c r="J1522" i="3"/>
  <c r="G1525" i="3"/>
  <c r="H1525" i="3"/>
  <c r="J1525" i="3"/>
  <c r="G1526" i="3"/>
  <c r="H1526" i="3"/>
  <c r="J1526" i="3"/>
  <c r="G1527" i="3"/>
  <c r="H1527" i="3"/>
  <c r="J1527" i="3"/>
  <c r="G1528" i="3"/>
  <c r="H1528" i="3"/>
  <c r="J1528" i="3"/>
  <c r="G1529" i="3"/>
  <c r="H1529" i="3"/>
  <c r="J1529" i="3"/>
  <c r="G1530" i="3"/>
  <c r="H1530" i="3"/>
  <c r="J1530" i="3"/>
  <c r="G1531" i="3"/>
  <c r="H1531" i="3"/>
  <c r="J1531" i="3"/>
  <c r="G1532" i="3"/>
  <c r="H1532" i="3"/>
  <c r="J1532" i="3"/>
  <c r="G1533" i="3"/>
  <c r="H1533" i="3"/>
  <c r="J1533" i="3"/>
  <c r="G1534" i="3"/>
  <c r="H1534" i="3"/>
  <c r="J1534" i="3"/>
  <c r="G1535" i="3"/>
  <c r="H1535" i="3"/>
  <c r="J1535" i="3"/>
  <c r="G1536" i="3"/>
  <c r="H1536" i="3"/>
  <c r="J1536" i="3"/>
  <c r="G1537" i="3"/>
  <c r="H1537" i="3"/>
  <c r="J1537" i="3"/>
  <c r="G1538" i="3"/>
  <c r="H1538" i="3"/>
  <c r="J1538" i="3"/>
  <c r="G1539" i="3"/>
  <c r="H1539" i="3"/>
  <c r="J1539" i="3"/>
  <c r="J1540" i="3"/>
  <c r="G1541" i="3"/>
  <c r="H1541" i="3"/>
  <c r="J1541" i="3"/>
  <c r="G1542" i="3"/>
  <c r="H1542" i="3"/>
  <c r="J1542" i="3"/>
  <c r="G1545" i="3"/>
  <c r="H1545" i="3"/>
  <c r="J1545" i="3"/>
  <c r="G1546" i="3"/>
  <c r="H1546" i="3"/>
  <c r="J1546" i="3"/>
  <c r="G1547" i="3"/>
  <c r="H1547" i="3"/>
  <c r="J1547" i="3"/>
  <c r="G1548" i="3"/>
  <c r="H1548" i="3"/>
  <c r="J1548" i="3"/>
  <c r="G1549" i="3"/>
  <c r="H1549" i="3"/>
  <c r="J1549" i="3"/>
  <c r="G1550" i="3"/>
  <c r="H1550" i="3"/>
  <c r="J1550" i="3"/>
  <c r="G1551" i="3"/>
  <c r="H1551" i="3"/>
  <c r="J1551" i="3"/>
  <c r="G1552" i="3"/>
  <c r="H1552" i="3"/>
  <c r="J1552" i="3"/>
  <c r="G1553" i="3"/>
  <c r="H1553" i="3"/>
  <c r="J1553" i="3"/>
  <c r="G1554" i="3"/>
  <c r="H1554" i="3"/>
  <c r="J1554" i="3"/>
  <c r="G1555" i="3"/>
  <c r="H1555" i="3"/>
  <c r="J1555" i="3"/>
  <c r="G1556" i="3"/>
  <c r="H1556" i="3"/>
  <c r="J1556" i="3"/>
  <c r="G1557" i="3"/>
  <c r="H1557" i="3"/>
  <c r="J1557" i="3"/>
  <c r="G1558" i="3"/>
  <c r="H1558" i="3"/>
  <c r="J1558" i="3"/>
  <c r="G1559" i="3"/>
  <c r="H1559" i="3"/>
  <c r="J1559" i="3"/>
  <c r="J1560" i="3"/>
  <c r="G1561" i="3"/>
  <c r="H1561" i="3"/>
  <c r="J1561" i="3"/>
  <c r="G1562" i="3"/>
  <c r="H1562" i="3"/>
  <c r="J1562" i="3"/>
  <c r="G1565" i="3"/>
  <c r="H1565" i="3"/>
  <c r="J1565" i="3"/>
  <c r="G1566" i="3"/>
  <c r="H1566" i="3"/>
  <c r="J1566" i="3"/>
  <c r="G1567" i="3"/>
  <c r="H1567" i="3"/>
  <c r="J1567" i="3"/>
  <c r="G1568" i="3"/>
  <c r="H1568" i="3"/>
  <c r="J1568" i="3"/>
  <c r="G1569" i="3"/>
  <c r="H1569" i="3"/>
  <c r="J1569" i="3"/>
  <c r="G1570" i="3"/>
  <c r="H1570" i="3"/>
  <c r="J1570" i="3"/>
  <c r="G1571" i="3"/>
  <c r="H1571" i="3"/>
  <c r="J1571" i="3"/>
  <c r="G1574" i="3"/>
  <c r="H1574" i="3"/>
  <c r="J1574" i="3"/>
  <c r="G1575" i="3"/>
  <c r="H1575" i="3"/>
  <c r="J1575" i="3"/>
  <c r="G1576" i="3"/>
  <c r="H1576" i="3"/>
  <c r="J1576" i="3"/>
  <c r="G1577" i="3"/>
  <c r="H1577" i="3"/>
  <c r="J1577" i="3"/>
  <c r="G1578" i="3"/>
  <c r="H1578" i="3"/>
  <c r="J1578" i="3"/>
  <c r="G1579" i="3"/>
  <c r="H1579" i="3"/>
  <c r="J1579" i="3"/>
  <c r="J1580" i="3"/>
  <c r="G1581" i="3"/>
  <c r="H1581" i="3"/>
  <c r="J1581" i="3"/>
  <c r="G1582" i="3"/>
  <c r="H1582" i="3"/>
  <c r="J1582" i="3"/>
  <c r="G1585" i="3"/>
  <c r="H1585" i="3"/>
  <c r="J1585" i="3"/>
  <c r="G1586" i="3"/>
  <c r="H1586" i="3"/>
  <c r="J1586" i="3"/>
  <c r="G1587" i="3"/>
  <c r="H1587" i="3"/>
  <c r="J1587" i="3"/>
  <c r="G1588" i="3"/>
  <c r="H1588" i="3"/>
  <c r="J1588" i="3"/>
  <c r="G1589" i="3"/>
  <c r="H1589" i="3"/>
  <c r="J1589" i="3"/>
  <c r="G1590" i="3"/>
  <c r="H1590" i="3"/>
  <c r="J1590" i="3"/>
  <c r="G1591" i="3"/>
  <c r="H1591" i="3"/>
  <c r="J1591" i="3"/>
  <c r="G1592" i="3"/>
  <c r="H1592" i="3"/>
  <c r="J1592" i="3"/>
  <c r="G1593" i="3"/>
  <c r="H1593" i="3"/>
  <c r="J1593" i="3"/>
  <c r="G1594" i="3"/>
  <c r="H1594" i="3"/>
  <c r="J1594" i="3"/>
  <c r="G1595" i="3"/>
  <c r="H1595" i="3"/>
  <c r="J1595" i="3"/>
  <c r="G1596" i="3"/>
  <c r="H1596" i="3"/>
  <c r="J1596" i="3"/>
  <c r="G1597" i="3"/>
  <c r="H1597" i="3"/>
  <c r="J1597" i="3"/>
  <c r="G1598" i="3"/>
  <c r="H1598" i="3"/>
  <c r="J1598" i="3"/>
  <c r="G1599" i="3"/>
  <c r="H1599" i="3"/>
  <c r="J1599" i="3"/>
  <c r="J1600" i="3"/>
  <c r="G1601" i="3"/>
  <c r="H1601" i="3"/>
  <c r="J1601" i="3"/>
  <c r="G1602" i="3"/>
  <c r="H1602" i="3"/>
  <c r="J1602" i="3"/>
  <c r="G1605" i="3"/>
  <c r="H1605" i="3"/>
  <c r="J1605" i="3"/>
  <c r="G1606" i="3"/>
  <c r="H1606" i="3"/>
  <c r="J1606" i="3"/>
  <c r="G1607" i="3"/>
  <c r="H1607" i="3"/>
  <c r="J1607" i="3"/>
  <c r="G1608" i="3"/>
  <c r="H1608" i="3"/>
  <c r="J1608" i="3"/>
  <c r="G1609" i="3"/>
  <c r="H1609" i="3"/>
  <c r="J1609" i="3"/>
  <c r="G1610" i="3"/>
  <c r="H1610" i="3"/>
  <c r="J1610" i="3"/>
  <c r="G1611" i="3"/>
  <c r="H1611" i="3"/>
  <c r="J1611" i="3"/>
  <c r="G1612" i="3"/>
  <c r="H1612" i="3"/>
  <c r="J1612" i="3"/>
  <c r="G1613" i="3"/>
  <c r="H1613" i="3"/>
  <c r="J1613" i="3"/>
  <c r="G1614" i="3"/>
  <c r="H1614" i="3"/>
  <c r="J1614" i="3"/>
  <c r="G1615" i="3"/>
  <c r="H1615" i="3"/>
  <c r="J1615" i="3"/>
  <c r="G1616" i="3"/>
  <c r="H1616" i="3"/>
  <c r="J1616" i="3"/>
  <c r="G1617" i="3"/>
  <c r="H1617" i="3"/>
  <c r="J1617" i="3"/>
  <c r="G1618" i="3"/>
  <c r="H1618" i="3"/>
  <c r="J1618" i="3"/>
  <c r="G1619" i="3"/>
  <c r="H1619" i="3"/>
  <c r="J1619" i="3"/>
  <c r="J1620" i="3"/>
  <c r="G1621" i="3"/>
  <c r="H1621" i="3"/>
  <c r="J1621" i="3"/>
  <c r="G1622" i="3"/>
  <c r="H1622" i="3"/>
  <c r="J1622" i="3"/>
  <c r="G1625" i="3"/>
  <c r="H1625" i="3"/>
  <c r="J1625" i="3"/>
  <c r="G1626" i="3"/>
  <c r="H1626" i="3"/>
  <c r="J1626" i="3"/>
  <c r="G1627" i="3"/>
  <c r="H1627" i="3"/>
  <c r="J1627" i="3"/>
  <c r="G1628" i="3"/>
  <c r="H1628" i="3"/>
  <c r="J1628" i="3"/>
  <c r="G1629" i="3"/>
  <c r="H1629" i="3"/>
  <c r="J1629" i="3"/>
  <c r="G1630" i="3"/>
  <c r="H1630" i="3"/>
  <c r="J1630" i="3"/>
  <c r="G1631" i="3"/>
  <c r="H1631" i="3"/>
  <c r="J1631" i="3"/>
  <c r="G1632" i="3"/>
  <c r="H1632" i="3"/>
  <c r="J1632" i="3"/>
  <c r="G1633" i="3"/>
  <c r="H1633" i="3"/>
  <c r="J1633" i="3"/>
  <c r="G1634" i="3"/>
  <c r="H1634" i="3"/>
  <c r="J1634" i="3"/>
  <c r="G1635" i="3"/>
  <c r="H1635" i="3"/>
  <c r="J1635" i="3"/>
  <c r="G1636" i="3"/>
  <c r="H1636" i="3"/>
  <c r="J1636" i="3"/>
  <c r="G1637" i="3"/>
  <c r="H1637" i="3"/>
  <c r="J1637" i="3"/>
  <c r="G1638" i="3"/>
  <c r="H1638" i="3"/>
  <c r="J1638" i="3"/>
  <c r="G1639" i="3"/>
  <c r="H1639" i="3"/>
  <c r="J1639" i="3"/>
  <c r="J1640" i="3"/>
  <c r="G1641" i="3"/>
  <c r="H1641" i="3"/>
  <c r="J1641" i="3"/>
  <c r="G1642" i="3"/>
  <c r="H1642" i="3"/>
  <c r="J1642" i="3"/>
  <c r="G1645" i="3"/>
  <c r="H1645" i="3"/>
  <c r="J1645" i="3"/>
  <c r="G1646" i="3"/>
  <c r="H1646" i="3"/>
  <c r="J1646" i="3"/>
  <c r="G1647" i="3"/>
  <c r="H1647" i="3"/>
  <c r="J1647" i="3"/>
  <c r="G1648" i="3"/>
  <c r="H1648" i="3"/>
  <c r="J1648" i="3"/>
  <c r="G1649" i="3"/>
  <c r="H1649" i="3"/>
  <c r="J1649" i="3"/>
  <c r="G1650" i="3"/>
  <c r="H1650" i="3"/>
  <c r="J1650" i="3"/>
  <c r="G1651" i="3"/>
  <c r="H1651" i="3"/>
  <c r="J1651" i="3"/>
  <c r="G1652" i="3"/>
  <c r="H1652" i="3"/>
  <c r="J1652" i="3"/>
  <c r="G1653" i="3"/>
  <c r="H1653" i="3"/>
  <c r="J1653" i="3"/>
  <c r="G1654" i="3"/>
  <c r="H1654" i="3"/>
  <c r="J1654" i="3"/>
  <c r="G1655" i="3"/>
  <c r="H1655" i="3"/>
  <c r="J1655" i="3"/>
  <c r="G1656" i="3"/>
  <c r="H1656" i="3"/>
  <c r="J1656" i="3"/>
  <c r="G1657" i="3"/>
  <c r="H1657" i="3"/>
  <c r="J1657" i="3"/>
  <c r="G1658" i="3"/>
  <c r="H1658" i="3"/>
  <c r="J1658" i="3"/>
  <c r="G1659" i="3"/>
  <c r="H1659" i="3"/>
  <c r="J1659" i="3"/>
  <c r="J1660" i="3"/>
  <c r="G1661" i="3"/>
  <c r="H1661" i="3"/>
  <c r="J1661" i="3"/>
  <c r="G1662" i="3"/>
  <c r="H1662" i="3"/>
  <c r="J1662" i="3"/>
  <c r="G1665" i="3"/>
  <c r="H1665" i="3"/>
  <c r="J1665" i="3"/>
  <c r="G1666" i="3"/>
  <c r="H1666" i="3"/>
  <c r="J1666" i="3"/>
  <c r="G1667" i="3"/>
  <c r="H1667" i="3"/>
  <c r="J1667" i="3"/>
  <c r="G1668" i="3"/>
  <c r="H1668" i="3"/>
  <c r="J1668" i="3"/>
  <c r="G1669" i="3"/>
  <c r="H1669" i="3"/>
  <c r="J1669" i="3"/>
  <c r="G1670" i="3"/>
  <c r="H1670" i="3"/>
  <c r="J1670" i="3"/>
  <c r="G1671" i="3"/>
  <c r="H1671" i="3"/>
  <c r="J1671" i="3"/>
  <c r="G1672" i="3"/>
  <c r="H1672" i="3"/>
  <c r="J1672" i="3"/>
  <c r="G1673" i="3"/>
  <c r="H1673" i="3"/>
  <c r="J1673" i="3"/>
  <c r="G1674" i="3"/>
  <c r="H1674" i="3"/>
  <c r="J1674" i="3"/>
  <c r="G1675" i="3"/>
  <c r="H1675" i="3"/>
  <c r="J1675" i="3"/>
  <c r="G1676" i="3"/>
  <c r="H1676" i="3"/>
  <c r="J1676" i="3"/>
  <c r="G1677" i="3"/>
  <c r="H1677" i="3"/>
  <c r="J1677" i="3"/>
  <c r="G1678" i="3"/>
  <c r="H1678" i="3"/>
  <c r="J1678" i="3"/>
  <c r="G1679" i="3"/>
  <c r="H1679" i="3"/>
  <c r="J1679" i="3"/>
  <c r="J1680" i="3"/>
  <c r="G1681" i="3"/>
  <c r="H1681" i="3"/>
  <c r="J1681" i="3"/>
  <c r="G1682" i="3"/>
  <c r="H1682" i="3"/>
  <c r="J1682" i="3"/>
  <c r="G1685" i="3"/>
  <c r="H1685" i="3"/>
  <c r="J1685" i="3"/>
  <c r="G1686" i="3"/>
  <c r="H1686" i="3"/>
  <c r="J1686" i="3"/>
  <c r="G1687" i="3"/>
  <c r="H1687" i="3"/>
  <c r="J1687" i="3"/>
  <c r="G1688" i="3"/>
  <c r="H1688" i="3"/>
  <c r="J1688" i="3"/>
  <c r="G1689" i="3"/>
  <c r="H1689" i="3"/>
  <c r="J1689" i="3"/>
  <c r="G1690" i="3"/>
  <c r="H1690" i="3"/>
  <c r="J1690" i="3"/>
  <c r="G1691" i="3"/>
  <c r="H1691" i="3"/>
  <c r="J1691" i="3"/>
  <c r="G1692" i="3"/>
  <c r="H1692" i="3"/>
  <c r="J1692" i="3"/>
  <c r="G1693" i="3"/>
  <c r="H1693" i="3"/>
  <c r="J1693" i="3"/>
  <c r="G1694" i="3"/>
  <c r="H1694" i="3"/>
  <c r="J1694" i="3"/>
  <c r="G1695" i="3"/>
  <c r="H1695" i="3"/>
  <c r="J1695" i="3"/>
  <c r="G1696" i="3"/>
  <c r="H1696" i="3"/>
  <c r="J1696" i="3"/>
  <c r="G1697" i="3"/>
  <c r="H1697" i="3"/>
  <c r="J1697" i="3"/>
  <c r="G1698" i="3"/>
  <c r="H1698" i="3"/>
  <c r="J1698" i="3"/>
  <c r="G1699" i="3"/>
  <c r="H1699" i="3"/>
  <c r="J1699" i="3"/>
  <c r="J1700" i="3"/>
  <c r="G1701" i="3"/>
  <c r="H1701" i="3"/>
  <c r="J1701" i="3"/>
  <c r="G1702" i="3"/>
  <c r="H1702" i="3"/>
  <c r="J1702" i="3"/>
  <c r="G1705" i="3"/>
  <c r="H1705" i="3"/>
  <c r="J1705" i="3"/>
  <c r="G1706" i="3"/>
  <c r="H1706" i="3"/>
  <c r="J1706" i="3"/>
  <c r="G1707" i="3"/>
  <c r="H1707" i="3"/>
  <c r="J1707" i="3"/>
  <c r="G1708" i="3"/>
  <c r="H1708" i="3"/>
  <c r="J1708" i="3"/>
  <c r="G1709" i="3"/>
  <c r="H1709" i="3"/>
  <c r="J1709" i="3"/>
  <c r="G1710" i="3"/>
  <c r="H1710" i="3"/>
  <c r="J1710" i="3"/>
  <c r="G1711" i="3"/>
  <c r="H1711" i="3"/>
  <c r="J1711" i="3"/>
  <c r="G1712" i="3"/>
  <c r="H1712" i="3"/>
  <c r="J1712" i="3"/>
  <c r="G1713" i="3"/>
  <c r="H1713" i="3"/>
  <c r="J1713" i="3"/>
  <c r="G1714" i="3"/>
  <c r="H1714" i="3"/>
  <c r="J1714" i="3"/>
  <c r="G1715" i="3"/>
  <c r="H1715" i="3"/>
  <c r="J1715" i="3"/>
  <c r="G1716" i="3"/>
  <c r="H1716" i="3"/>
  <c r="J1716" i="3"/>
  <c r="G1717" i="3"/>
  <c r="H1717" i="3"/>
  <c r="J1717" i="3"/>
  <c r="J1720" i="3"/>
  <c r="G1721" i="3"/>
  <c r="H1721" i="3"/>
  <c r="J1721" i="3"/>
  <c r="G1722" i="3"/>
  <c r="H1722" i="3"/>
  <c r="J1722" i="3"/>
  <c r="G1725" i="3"/>
  <c r="H1725" i="3"/>
  <c r="J1725" i="3"/>
  <c r="G1726" i="3"/>
  <c r="H1726" i="3"/>
  <c r="J1726" i="3"/>
  <c r="G1727" i="3"/>
  <c r="H1727" i="3"/>
  <c r="J1727" i="3"/>
  <c r="G1728" i="3"/>
  <c r="H1728" i="3"/>
  <c r="J1728" i="3"/>
  <c r="G1729" i="3"/>
  <c r="H1729" i="3"/>
  <c r="J1729" i="3"/>
  <c r="G1730" i="3"/>
  <c r="H1730" i="3"/>
  <c r="J1730" i="3"/>
  <c r="G1731" i="3"/>
  <c r="H1731" i="3"/>
  <c r="J1731" i="3"/>
  <c r="G1732" i="3"/>
  <c r="H1732" i="3"/>
  <c r="J1732" i="3"/>
  <c r="G1733" i="3"/>
  <c r="H1733" i="3"/>
  <c r="J1733" i="3"/>
  <c r="G1734" i="3"/>
  <c r="H1734" i="3"/>
  <c r="J1734" i="3"/>
  <c r="G1735" i="3"/>
  <c r="H1735" i="3"/>
  <c r="J1735" i="3"/>
  <c r="G1736" i="3"/>
  <c r="H1736" i="3"/>
  <c r="J1736" i="3"/>
  <c r="G1737" i="3"/>
  <c r="H1737" i="3"/>
  <c r="J1737" i="3"/>
  <c r="G1738" i="3"/>
  <c r="H1738" i="3"/>
  <c r="J1738" i="3"/>
  <c r="G1739" i="3"/>
  <c r="H1739" i="3"/>
  <c r="J1739" i="3"/>
  <c r="J1740" i="3"/>
  <c r="G1741" i="3"/>
  <c r="H1741" i="3"/>
  <c r="J1741" i="3"/>
  <c r="G1742" i="3"/>
  <c r="H1742" i="3"/>
  <c r="J1742" i="3"/>
  <c r="G1745" i="3"/>
  <c r="H1745" i="3"/>
  <c r="J1745" i="3"/>
  <c r="G1746" i="3"/>
  <c r="H1746" i="3"/>
  <c r="J1746" i="3"/>
  <c r="G1747" i="3"/>
  <c r="H1747" i="3"/>
  <c r="J1747" i="3"/>
  <c r="G1748" i="3"/>
  <c r="H1748" i="3"/>
  <c r="J1748" i="3"/>
  <c r="G1749" i="3"/>
  <c r="H1749" i="3"/>
  <c r="J1749" i="3"/>
  <c r="G1750" i="3"/>
  <c r="H1750" i="3"/>
  <c r="J1750" i="3"/>
  <c r="G1751" i="3"/>
  <c r="H1751" i="3"/>
  <c r="J1751" i="3"/>
  <c r="G1752" i="3"/>
  <c r="H1752" i="3"/>
  <c r="J1752" i="3"/>
  <c r="G1753" i="3"/>
  <c r="H1753" i="3"/>
  <c r="J1753" i="3"/>
  <c r="G1754" i="3"/>
  <c r="H1754" i="3"/>
  <c r="J1754" i="3"/>
  <c r="G1755" i="3"/>
  <c r="H1755" i="3"/>
  <c r="J1755" i="3"/>
  <c r="G1756" i="3"/>
  <c r="H1756" i="3"/>
  <c r="J1756" i="3"/>
  <c r="G1757" i="3"/>
  <c r="H1757" i="3"/>
  <c r="J1757" i="3"/>
  <c r="G1758" i="3"/>
  <c r="H1758" i="3"/>
  <c r="J1758" i="3"/>
  <c r="G1759" i="3"/>
  <c r="H1759" i="3"/>
  <c r="J1759" i="3"/>
  <c r="J1760" i="3"/>
  <c r="G1761" i="3"/>
  <c r="H1761" i="3"/>
  <c r="J1761" i="3"/>
  <c r="G1762" i="3"/>
  <c r="H1762" i="3"/>
  <c r="J1762" i="3"/>
  <c r="G1765" i="3"/>
  <c r="H1765" i="3"/>
  <c r="J1765" i="3"/>
  <c r="G1766" i="3"/>
  <c r="H1766" i="3"/>
  <c r="J1766" i="3"/>
  <c r="G1767" i="3"/>
  <c r="H1767" i="3"/>
  <c r="J1767" i="3"/>
  <c r="G1768" i="3"/>
  <c r="H1768" i="3"/>
  <c r="J1768" i="3"/>
  <c r="G1769" i="3"/>
  <c r="H1769" i="3"/>
  <c r="J1769" i="3"/>
  <c r="G1770" i="3"/>
  <c r="H1770" i="3"/>
  <c r="J1770" i="3"/>
  <c r="G1771" i="3"/>
  <c r="H1771" i="3"/>
  <c r="J1771" i="3"/>
  <c r="G1772" i="3"/>
  <c r="H1772" i="3"/>
  <c r="J1772" i="3"/>
  <c r="G1773" i="3"/>
  <c r="H1773" i="3"/>
  <c r="J1773" i="3"/>
  <c r="G1774" i="3"/>
  <c r="H1774" i="3"/>
  <c r="J1774" i="3"/>
  <c r="G1775" i="3"/>
  <c r="H1775" i="3"/>
  <c r="J1775" i="3"/>
  <c r="G1776" i="3"/>
  <c r="H1776" i="3"/>
  <c r="J1776" i="3"/>
  <c r="G1777" i="3"/>
  <c r="H1777" i="3"/>
  <c r="J1777" i="3"/>
  <c r="G1778" i="3"/>
  <c r="H1778" i="3"/>
  <c r="J1778" i="3"/>
  <c r="G1779" i="3"/>
  <c r="H1779" i="3"/>
  <c r="J1779" i="3"/>
  <c r="J1780" i="3"/>
  <c r="G1781" i="3"/>
  <c r="H1781" i="3"/>
  <c r="J1781" i="3"/>
  <c r="G1782" i="3"/>
  <c r="H1782" i="3"/>
  <c r="J1782" i="3"/>
  <c r="G1785" i="3"/>
  <c r="H1785" i="3"/>
  <c r="J1785" i="3"/>
  <c r="G1786" i="3"/>
  <c r="H1786" i="3"/>
  <c r="J1786" i="3"/>
  <c r="G1787" i="3"/>
  <c r="H1787" i="3"/>
  <c r="J1787" i="3"/>
  <c r="G1788" i="3"/>
  <c r="H1788" i="3"/>
  <c r="J1788" i="3"/>
  <c r="G1789" i="3"/>
  <c r="H1789" i="3"/>
  <c r="J1789" i="3"/>
  <c r="G1790" i="3"/>
  <c r="H1790" i="3"/>
  <c r="J1790" i="3"/>
  <c r="G1791" i="3"/>
  <c r="H1791" i="3"/>
  <c r="J1791" i="3"/>
  <c r="G1792" i="3"/>
  <c r="H1792" i="3"/>
  <c r="J1792" i="3"/>
  <c r="G1793" i="3"/>
  <c r="H1793" i="3"/>
  <c r="J1793" i="3"/>
  <c r="G1794" i="3"/>
  <c r="H1794" i="3"/>
  <c r="J1794" i="3"/>
  <c r="G1795" i="3"/>
  <c r="H1795" i="3"/>
  <c r="J1795" i="3"/>
  <c r="G1796" i="3"/>
  <c r="H1796" i="3"/>
  <c r="J1796" i="3"/>
  <c r="G1797" i="3"/>
  <c r="H1797" i="3"/>
  <c r="J1797" i="3"/>
  <c r="G1798" i="3"/>
  <c r="H1798" i="3"/>
  <c r="J1798" i="3"/>
  <c r="G1799" i="3"/>
  <c r="H1799" i="3"/>
  <c r="J1799" i="3"/>
  <c r="J1800" i="3"/>
  <c r="G1801" i="3"/>
  <c r="H1801" i="3"/>
  <c r="J1801" i="3"/>
  <c r="G1802" i="3"/>
  <c r="H1802" i="3"/>
  <c r="J1802" i="3"/>
  <c r="G1805" i="3"/>
  <c r="H1805" i="3"/>
  <c r="J1805" i="3"/>
  <c r="G1806" i="3"/>
  <c r="H1806" i="3"/>
  <c r="J1806" i="3"/>
  <c r="G1807" i="3"/>
  <c r="H1807" i="3"/>
  <c r="J1807" i="3"/>
  <c r="G1808" i="3"/>
  <c r="H1808" i="3"/>
  <c r="J1808" i="3"/>
  <c r="G1809" i="3"/>
  <c r="H1809" i="3"/>
  <c r="J1809" i="3"/>
  <c r="G1810" i="3"/>
  <c r="H1810" i="3"/>
  <c r="J1810" i="3"/>
  <c r="G1811" i="3"/>
  <c r="H1811" i="3"/>
  <c r="J1811" i="3"/>
  <c r="G1812" i="3"/>
  <c r="H1812" i="3"/>
  <c r="J1812" i="3"/>
  <c r="G1813" i="3"/>
  <c r="H1813" i="3"/>
  <c r="J1813" i="3"/>
  <c r="G1814" i="3"/>
  <c r="H1814" i="3"/>
  <c r="J1814" i="3"/>
  <c r="G1815" i="3"/>
  <c r="H1815" i="3"/>
  <c r="J1815" i="3"/>
  <c r="G1816" i="3"/>
  <c r="H1816" i="3"/>
  <c r="J1816" i="3"/>
  <c r="G1817" i="3"/>
  <c r="H1817" i="3"/>
  <c r="J1817" i="3"/>
  <c r="G1818" i="3"/>
  <c r="H1818" i="3"/>
  <c r="J1818" i="3"/>
  <c r="G1819" i="3"/>
  <c r="H1819" i="3"/>
  <c r="J1819" i="3"/>
  <c r="G1820" i="3"/>
  <c r="H1820" i="3"/>
  <c r="J1820" i="3"/>
  <c r="G1821" i="3"/>
  <c r="H1821" i="3"/>
  <c r="J1821" i="3"/>
  <c r="G1822" i="3"/>
  <c r="H1822" i="3"/>
  <c r="J1822" i="3"/>
  <c r="G1825" i="3"/>
  <c r="H1825" i="3"/>
  <c r="J1825" i="3"/>
  <c r="G1826" i="3"/>
  <c r="H1826" i="3"/>
  <c r="J1826" i="3"/>
  <c r="G1827" i="3"/>
  <c r="H1827" i="3"/>
  <c r="J1827" i="3"/>
  <c r="G1828" i="3"/>
  <c r="H1828" i="3"/>
  <c r="J1828" i="3"/>
  <c r="G1829" i="3"/>
  <c r="H1829" i="3"/>
  <c r="J1829" i="3"/>
  <c r="G1830" i="3"/>
  <c r="H1830" i="3"/>
  <c r="J1830" i="3"/>
  <c r="G1831" i="3"/>
  <c r="H1831" i="3"/>
  <c r="J1831" i="3"/>
  <c r="G1832" i="3"/>
  <c r="H1832" i="3"/>
  <c r="J1832" i="3"/>
  <c r="G1833" i="3"/>
  <c r="H1833" i="3"/>
  <c r="J1833" i="3"/>
  <c r="G1834" i="3"/>
  <c r="H1834" i="3"/>
  <c r="J1834" i="3"/>
  <c r="G1835" i="3"/>
  <c r="H1835" i="3"/>
  <c r="J1835" i="3"/>
  <c r="G1836" i="3"/>
  <c r="H1836" i="3"/>
  <c r="J1836" i="3"/>
  <c r="G1837" i="3"/>
  <c r="H1837" i="3"/>
  <c r="J1837" i="3"/>
  <c r="G1838" i="3"/>
  <c r="H1838" i="3"/>
  <c r="J1838" i="3"/>
  <c r="G1839" i="3"/>
  <c r="H1839" i="3"/>
  <c r="J1839" i="3"/>
  <c r="G1840" i="3"/>
  <c r="H1840" i="3"/>
  <c r="J1840" i="3"/>
  <c r="G1841" i="3"/>
  <c r="H1841" i="3"/>
  <c r="J1841" i="3"/>
  <c r="G1842" i="3"/>
  <c r="H1842" i="3"/>
  <c r="J1842" i="3"/>
  <c r="G1845" i="3"/>
  <c r="H1845" i="3"/>
  <c r="J1845" i="3"/>
  <c r="G1846" i="3"/>
  <c r="H1846" i="3"/>
  <c r="J1846" i="3"/>
  <c r="G1847" i="3"/>
  <c r="H1847" i="3"/>
  <c r="J1847" i="3"/>
  <c r="G1848" i="3"/>
  <c r="H1848" i="3"/>
  <c r="J1848" i="3"/>
  <c r="G1849" i="3"/>
  <c r="H1849" i="3"/>
  <c r="J1849" i="3"/>
  <c r="G1850" i="3"/>
  <c r="H1850" i="3"/>
  <c r="J1850" i="3"/>
  <c r="G1851" i="3"/>
  <c r="H1851" i="3"/>
  <c r="J1851" i="3"/>
  <c r="G1852" i="3"/>
  <c r="H1852" i="3"/>
  <c r="J1852" i="3"/>
  <c r="G1853" i="3"/>
  <c r="H1853" i="3"/>
  <c r="J1853" i="3"/>
  <c r="G1854" i="3"/>
  <c r="H1854" i="3"/>
  <c r="J1854" i="3"/>
  <c r="G1855" i="3"/>
  <c r="H1855" i="3"/>
  <c r="J1855" i="3"/>
  <c r="G1856" i="3"/>
  <c r="H1856" i="3"/>
  <c r="J1856" i="3"/>
  <c r="G1857" i="3"/>
  <c r="H1857" i="3"/>
  <c r="J1857" i="3"/>
  <c r="G1858" i="3"/>
  <c r="H1858" i="3"/>
  <c r="J1858" i="3"/>
  <c r="G1859" i="3"/>
  <c r="H1859" i="3"/>
  <c r="J1859" i="3"/>
  <c r="G1860" i="3"/>
  <c r="H1860" i="3"/>
  <c r="J1860" i="3"/>
  <c r="G1861" i="3"/>
  <c r="H1861" i="3"/>
  <c r="J1861" i="3"/>
  <c r="G1862" i="3"/>
  <c r="H1862" i="3"/>
  <c r="J1862" i="3"/>
  <c r="G1865" i="3"/>
  <c r="H1865" i="3"/>
  <c r="J1865" i="3"/>
  <c r="G1866" i="3"/>
  <c r="H1866" i="3"/>
  <c r="J1866" i="3"/>
  <c r="G1867" i="3"/>
  <c r="H1867" i="3"/>
  <c r="J1867" i="3"/>
  <c r="G1868" i="3"/>
  <c r="H1868" i="3"/>
  <c r="J1868" i="3"/>
  <c r="G1869" i="3"/>
  <c r="H1869" i="3"/>
  <c r="J1869" i="3"/>
  <c r="G1870" i="3"/>
  <c r="H1870" i="3"/>
  <c r="J1870" i="3"/>
  <c r="G1871" i="3"/>
  <c r="H1871" i="3"/>
  <c r="J1871" i="3"/>
  <c r="G1872" i="3"/>
  <c r="H1872" i="3"/>
  <c r="J1872" i="3"/>
  <c r="G1873" i="3"/>
  <c r="H1873" i="3"/>
  <c r="J1873" i="3"/>
  <c r="G1874" i="3"/>
  <c r="H1874" i="3"/>
  <c r="J1874" i="3"/>
  <c r="G1875" i="3"/>
  <c r="H1875" i="3"/>
  <c r="J1875" i="3"/>
  <c r="G1876" i="3"/>
  <c r="H1876" i="3"/>
  <c r="J1876" i="3"/>
  <c r="G1877" i="3"/>
  <c r="H1877" i="3"/>
  <c r="J1877" i="3"/>
  <c r="G1878" i="3"/>
  <c r="H1878" i="3"/>
  <c r="J1878" i="3"/>
  <c r="G1879" i="3"/>
  <c r="H1879" i="3"/>
  <c r="J1879" i="3"/>
  <c r="J1880" i="3"/>
  <c r="G1881" i="3"/>
  <c r="H1881" i="3"/>
  <c r="J1881" i="3"/>
  <c r="G1882" i="3"/>
  <c r="H1882" i="3"/>
  <c r="J1882" i="3"/>
  <c r="G1885" i="3"/>
  <c r="H1885" i="3"/>
  <c r="J1885" i="3"/>
  <c r="G1886" i="3"/>
  <c r="H1886" i="3"/>
  <c r="J1886" i="3"/>
  <c r="G1887" i="3"/>
  <c r="H1887" i="3"/>
  <c r="J1887" i="3"/>
  <c r="G1888" i="3"/>
  <c r="H1888" i="3"/>
  <c r="J1888" i="3"/>
  <c r="G1889" i="3"/>
  <c r="H1889" i="3"/>
  <c r="J1889" i="3"/>
  <c r="G1890" i="3"/>
  <c r="H1890" i="3"/>
  <c r="J1890" i="3"/>
  <c r="G1891" i="3"/>
  <c r="H1891" i="3"/>
  <c r="J1891" i="3"/>
  <c r="G1892" i="3"/>
  <c r="H1892" i="3"/>
  <c r="J1892" i="3"/>
  <c r="G1893" i="3"/>
  <c r="H1893" i="3"/>
  <c r="J1893" i="3"/>
  <c r="G1894" i="3"/>
  <c r="H1894" i="3"/>
  <c r="J1894" i="3"/>
  <c r="G1895" i="3"/>
  <c r="H1895" i="3"/>
  <c r="J1895" i="3"/>
  <c r="G1896" i="3"/>
  <c r="H1896" i="3"/>
  <c r="J1896" i="3"/>
  <c r="G1897" i="3"/>
  <c r="H1897" i="3"/>
  <c r="J1897" i="3"/>
  <c r="G1898" i="3"/>
  <c r="H1898" i="3"/>
  <c r="J1898" i="3"/>
  <c r="G1899" i="3"/>
  <c r="H1899" i="3"/>
  <c r="J1899" i="3"/>
  <c r="G1900" i="3"/>
  <c r="H1900" i="3"/>
  <c r="J1900" i="3"/>
  <c r="G1901" i="3"/>
  <c r="H1901" i="3"/>
  <c r="J1901" i="3"/>
  <c r="G1902" i="3"/>
  <c r="H1902" i="3"/>
  <c r="J1902" i="3"/>
  <c r="G1905" i="3"/>
  <c r="H1905" i="3"/>
  <c r="J1905" i="3"/>
  <c r="G1906" i="3"/>
  <c r="H1906" i="3"/>
  <c r="J1906" i="3"/>
  <c r="G1907" i="3"/>
  <c r="H1907" i="3"/>
  <c r="J1907" i="3"/>
  <c r="G1908" i="3"/>
  <c r="H1908" i="3"/>
  <c r="J1908" i="3"/>
  <c r="G1909" i="3"/>
  <c r="H1909" i="3"/>
  <c r="J1909" i="3"/>
  <c r="G1910" i="3"/>
  <c r="H1910" i="3"/>
  <c r="J1910" i="3"/>
  <c r="G1911" i="3"/>
  <c r="H1911" i="3"/>
  <c r="J1911" i="3"/>
  <c r="G1912" i="3"/>
  <c r="H1912" i="3"/>
  <c r="J1912" i="3"/>
  <c r="G1913" i="3"/>
  <c r="H1913" i="3"/>
  <c r="J1913" i="3"/>
  <c r="G1914" i="3"/>
  <c r="H1914" i="3"/>
  <c r="J1914" i="3"/>
  <c r="G1915" i="3"/>
  <c r="H1915" i="3"/>
  <c r="J1915" i="3"/>
  <c r="G1916" i="3"/>
  <c r="H1916" i="3"/>
  <c r="J1916" i="3"/>
  <c r="G1917" i="3"/>
  <c r="H1917" i="3"/>
  <c r="J1917" i="3"/>
  <c r="G1918" i="3"/>
  <c r="H1918" i="3"/>
  <c r="J1918" i="3"/>
  <c r="G1919" i="3"/>
  <c r="H1919" i="3"/>
  <c r="J1919" i="3"/>
  <c r="G1920" i="3"/>
  <c r="H1920" i="3"/>
  <c r="J1920" i="3"/>
  <c r="G1921" i="3"/>
  <c r="H1921" i="3"/>
  <c r="J1921" i="3"/>
  <c r="G1922" i="3"/>
  <c r="H1922" i="3"/>
  <c r="J1922" i="3"/>
  <c r="G1925" i="3"/>
  <c r="H1925" i="3"/>
  <c r="J1925" i="3"/>
  <c r="G1926" i="3"/>
  <c r="H1926" i="3"/>
  <c r="J1926" i="3"/>
  <c r="G1927" i="3"/>
  <c r="H1927" i="3"/>
  <c r="J1927" i="3"/>
  <c r="G1928" i="3"/>
  <c r="H1928" i="3"/>
  <c r="J1928" i="3"/>
  <c r="G1929" i="3"/>
  <c r="H1929" i="3"/>
  <c r="J1929" i="3"/>
  <c r="G1930" i="3"/>
  <c r="H1930" i="3"/>
  <c r="J1930" i="3"/>
  <c r="G1931" i="3"/>
  <c r="H1931" i="3"/>
  <c r="J1931" i="3"/>
  <c r="G1932" i="3"/>
  <c r="H1932" i="3"/>
  <c r="J1932" i="3"/>
  <c r="G1933" i="3"/>
  <c r="H1933" i="3"/>
  <c r="J1933" i="3"/>
  <c r="G1934" i="3"/>
  <c r="H1934" i="3"/>
  <c r="J1934" i="3"/>
  <c r="G1935" i="3"/>
  <c r="H1935" i="3"/>
  <c r="J1935" i="3"/>
  <c r="G1936" i="3"/>
  <c r="H1936" i="3"/>
  <c r="J1936" i="3"/>
  <c r="G1937" i="3"/>
  <c r="H1937" i="3"/>
  <c r="J1937" i="3"/>
  <c r="G1938" i="3"/>
  <c r="H1938" i="3"/>
  <c r="J1938" i="3"/>
  <c r="G1939" i="3"/>
  <c r="H1939" i="3"/>
  <c r="J1939" i="3"/>
  <c r="J1940" i="3"/>
  <c r="G1941" i="3"/>
  <c r="H1941" i="3"/>
  <c r="J1941" i="3"/>
  <c r="G1942" i="3"/>
  <c r="H1942" i="3"/>
  <c r="J1942" i="3"/>
  <c r="G1945" i="3"/>
  <c r="H1945" i="3"/>
  <c r="J1945" i="3"/>
  <c r="G1946" i="3"/>
  <c r="H1946" i="3"/>
  <c r="J1946" i="3"/>
  <c r="G1947" i="3"/>
  <c r="H1947" i="3"/>
  <c r="J1947" i="3"/>
  <c r="G1948" i="3"/>
  <c r="H1948" i="3"/>
  <c r="J1948" i="3"/>
  <c r="G1949" i="3"/>
  <c r="H1949" i="3"/>
  <c r="J1949" i="3"/>
  <c r="G1950" i="3"/>
  <c r="H1950" i="3"/>
  <c r="J1950" i="3"/>
  <c r="G1951" i="3"/>
  <c r="H1951" i="3"/>
  <c r="J1951" i="3"/>
  <c r="G1952" i="3"/>
  <c r="H1952" i="3"/>
  <c r="J1952" i="3"/>
  <c r="G1953" i="3"/>
  <c r="H1953" i="3"/>
  <c r="J1953" i="3"/>
  <c r="G1954" i="3"/>
  <c r="H1954" i="3"/>
  <c r="J1954" i="3"/>
  <c r="G1955" i="3"/>
  <c r="H1955" i="3"/>
  <c r="J1955" i="3"/>
  <c r="G1956" i="3"/>
  <c r="H1956" i="3"/>
  <c r="J1956" i="3"/>
  <c r="G1957" i="3"/>
  <c r="H1957" i="3"/>
  <c r="J1957" i="3"/>
  <c r="G1958" i="3"/>
  <c r="H1958" i="3"/>
  <c r="J1958" i="3"/>
  <c r="G1959" i="3"/>
  <c r="H1959" i="3"/>
  <c r="J1959" i="3"/>
  <c r="J1960" i="3"/>
  <c r="G1961" i="3"/>
  <c r="H1961" i="3"/>
  <c r="J1961" i="3"/>
  <c r="G1962" i="3"/>
  <c r="H1962" i="3"/>
  <c r="J1962" i="3"/>
  <c r="G1965" i="3"/>
  <c r="H1965" i="3"/>
  <c r="J1965" i="3"/>
  <c r="G1966" i="3"/>
  <c r="H1966" i="3"/>
  <c r="J1966" i="3"/>
  <c r="G1967" i="3"/>
  <c r="H1967" i="3"/>
  <c r="J1967" i="3"/>
  <c r="G1968" i="3"/>
  <c r="H1968" i="3"/>
  <c r="J1968" i="3"/>
  <c r="G1969" i="3"/>
  <c r="H1969" i="3"/>
  <c r="J1969" i="3"/>
  <c r="G1970" i="3"/>
  <c r="H1970" i="3"/>
  <c r="J1970" i="3"/>
  <c r="G1971" i="3"/>
  <c r="H1971" i="3"/>
  <c r="J1971" i="3"/>
  <c r="G1972" i="3"/>
  <c r="H1972" i="3"/>
  <c r="J1972" i="3"/>
  <c r="G1973" i="3"/>
  <c r="H1973" i="3"/>
  <c r="J1973" i="3"/>
  <c r="G1974" i="3"/>
  <c r="H1974" i="3"/>
  <c r="J1974" i="3"/>
  <c r="G1975" i="3"/>
  <c r="H1975" i="3"/>
  <c r="J1975" i="3"/>
  <c r="G1976" i="3"/>
  <c r="H1976" i="3"/>
  <c r="J1976" i="3"/>
  <c r="G1977" i="3"/>
  <c r="H1977" i="3"/>
  <c r="J1977" i="3"/>
  <c r="G1978" i="3"/>
  <c r="H1978" i="3"/>
  <c r="J1978" i="3"/>
  <c r="G1979" i="3"/>
  <c r="H1979" i="3"/>
  <c r="J1979" i="3"/>
  <c r="G1980" i="3"/>
  <c r="H1980" i="3"/>
  <c r="J1980" i="3"/>
  <c r="G1981" i="3"/>
  <c r="H1981" i="3"/>
  <c r="J1981" i="3"/>
  <c r="G1982" i="3"/>
  <c r="H1982" i="3"/>
  <c r="J1982" i="3"/>
  <c r="G1985" i="3"/>
  <c r="H1985" i="3"/>
  <c r="J1985" i="3"/>
  <c r="G1986" i="3"/>
  <c r="H1986" i="3"/>
  <c r="J1986" i="3"/>
  <c r="G1987" i="3"/>
  <c r="H1987" i="3"/>
  <c r="J1987" i="3"/>
  <c r="G1988" i="3"/>
  <c r="H1988" i="3"/>
  <c r="J1988" i="3"/>
  <c r="G1989" i="3"/>
  <c r="H1989" i="3"/>
  <c r="J1989" i="3"/>
  <c r="G1990" i="3"/>
  <c r="H1990" i="3"/>
  <c r="J1990" i="3"/>
  <c r="G1991" i="3"/>
  <c r="H1991" i="3"/>
  <c r="J1991" i="3"/>
  <c r="G1992" i="3"/>
  <c r="H1992" i="3"/>
  <c r="J1992" i="3"/>
  <c r="G1993" i="3"/>
  <c r="H1993" i="3"/>
  <c r="J1993" i="3"/>
  <c r="G1994" i="3"/>
  <c r="H1994" i="3"/>
  <c r="J1994" i="3"/>
  <c r="G1995" i="3"/>
  <c r="H1995" i="3"/>
  <c r="J1995" i="3"/>
  <c r="G1996" i="3"/>
  <c r="H1996" i="3"/>
  <c r="J1996" i="3"/>
  <c r="G1997" i="3"/>
  <c r="H1997" i="3"/>
  <c r="J1997" i="3"/>
  <c r="G1998" i="3"/>
  <c r="H1998" i="3"/>
  <c r="J1998" i="3"/>
  <c r="G1999" i="3"/>
  <c r="H1999" i="3"/>
  <c r="J1999" i="3"/>
  <c r="J2000" i="3"/>
  <c r="G2001" i="3"/>
  <c r="H2001" i="3"/>
  <c r="J2001" i="3"/>
  <c r="G2002" i="3"/>
  <c r="H2002" i="3"/>
  <c r="J2002" i="3"/>
  <c r="H9" i="3"/>
  <c r="J9" i="3"/>
  <c r="H10" i="3"/>
  <c r="J10" i="3"/>
  <c r="G11" i="3"/>
  <c r="H11" i="3"/>
  <c r="J11" i="3"/>
  <c r="G12" i="3"/>
  <c r="H12" i="3"/>
  <c r="J12" i="3"/>
  <c r="H13" i="3"/>
  <c r="J13" i="3"/>
  <c r="G14" i="3"/>
  <c r="H14" i="3"/>
  <c r="J14" i="3"/>
  <c r="G15" i="3"/>
  <c r="H15" i="3"/>
  <c r="J15" i="3"/>
  <c r="G16" i="3"/>
  <c r="H16" i="3"/>
  <c r="J16" i="3"/>
  <c r="G17" i="3"/>
  <c r="H17" i="3"/>
  <c r="J17" i="3"/>
  <c r="H18" i="3"/>
  <c r="J18" i="3"/>
  <c r="H19" i="3"/>
  <c r="J19" i="3"/>
  <c r="G20" i="3"/>
  <c r="H20" i="3"/>
  <c r="J20" i="3"/>
  <c r="G21" i="3"/>
  <c r="H21" i="3"/>
  <c r="J21" i="3"/>
  <c r="G22" i="3"/>
  <c r="H22" i="3"/>
  <c r="J22" i="3"/>
  <c r="G5" i="3"/>
  <c r="H5" i="3"/>
  <c r="J5" i="3"/>
  <c r="G6" i="3"/>
  <c r="H6" i="3"/>
  <c r="J6" i="3"/>
  <c r="G7" i="3"/>
  <c r="H7" i="3"/>
  <c r="J7" i="3"/>
  <c r="G8" i="3"/>
  <c r="H8" i="3"/>
  <c r="J8" i="3"/>
  <c r="F2" i="3"/>
  <c r="E2" i="3"/>
  <c r="R65" i="3"/>
  <c r="R25" i="3"/>
  <c r="R5" i="3"/>
  <c r="Q125" i="3"/>
  <c r="H2" i="3"/>
  <c r="G2" i="3"/>
  <c r="R85" i="3"/>
  <c r="R45" i="3"/>
  <c r="R1965" i="3"/>
  <c r="R1905" i="3"/>
  <c r="R1885" i="3"/>
  <c r="R1845" i="3"/>
  <c r="R1825" i="3"/>
  <c r="R1805" i="3"/>
  <c r="R1005" i="3"/>
  <c r="R985" i="3"/>
  <c r="R425" i="3"/>
  <c r="R365" i="3"/>
  <c r="R225" i="3"/>
  <c r="R125" i="3"/>
  <c r="R2" i="3"/>
  <c r="N2" i="1"/>
  <c r="M2" i="1"/>
  <c r="Q42" i="1"/>
  <c r="L2" i="1"/>
  <c r="Q41" i="1"/>
  <c r="K2" i="1"/>
  <c r="Q40" i="1"/>
  <c r="J2" i="1"/>
  <c r="I2" i="1"/>
  <c r="Q20" i="1"/>
  <c r="Q21" i="1"/>
  <c r="Q22" i="1"/>
  <c r="N305" i="3"/>
  <c r="P13" i="1"/>
  <c r="M5" i="3"/>
  <c r="M325" i="3"/>
  <c r="O285" i="3"/>
  <c r="P265" i="3"/>
  <c r="Q245" i="3"/>
  <c r="N225" i="3"/>
  <c r="O205" i="3"/>
  <c r="P185" i="3"/>
  <c r="P165" i="3"/>
  <c r="N145" i="3"/>
  <c r="O125" i="3"/>
  <c r="P105" i="3"/>
  <c r="Q85" i="3"/>
  <c r="M85" i="3"/>
  <c r="N65" i="3"/>
  <c r="O45" i="3"/>
  <c r="P25" i="3"/>
  <c r="Q1985" i="3"/>
  <c r="M1925" i="3"/>
  <c r="Q1845" i="3"/>
  <c r="N1825" i="3"/>
  <c r="Q1765" i="3"/>
  <c r="M1765" i="3"/>
  <c r="O1725" i="3"/>
  <c r="O1645" i="3"/>
  <c r="Q1605" i="3"/>
  <c r="N1505" i="3"/>
  <c r="Q1445" i="3"/>
  <c r="N1425" i="3"/>
  <c r="M1365" i="3"/>
  <c r="P1305" i="3"/>
  <c r="M1285" i="3"/>
  <c r="N1265" i="3"/>
  <c r="O1245" i="3"/>
  <c r="N1105" i="3"/>
  <c r="M1045" i="3"/>
  <c r="N1025" i="3"/>
  <c r="O1005" i="3"/>
  <c r="Q965" i="3"/>
  <c r="M965" i="3"/>
  <c r="O925" i="3"/>
  <c r="P905" i="3"/>
  <c r="O845" i="3"/>
  <c r="P825" i="3"/>
  <c r="M805" i="3"/>
  <c r="N785" i="3"/>
  <c r="O1965" i="3"/>
  <c r="Q1925" i="3"/>
  <c r="O1885" i="3"/>
  <c r="O1805" i="3"/>
  <c r="N1745" i="3"/>
  <c r="M1685" i="3"/>
  <c r="P1625" i="3"/>
  <c r="Q1525" i="3"/>
  <c r="M1525" i="3"/>
  <c r="M1445" i="3"/>
  <c r="O1405" i="3"/>
  <c r="Q1365" i="3"/>
  <c r="N1345" i="3"/>
  <c r="Q1285" i="3"/>
  <c r="M1205" i="3"/>
  <c r="N1185" i="3"/>
  <c r="O1165" i="3"/>
  <c r="P1145" i="3"/>
  <c r="M1125" i="3"/>
  <c r="O1085" i="3"/>
  <c r="Q1045" i="3"/>
  <c r="P985" i="3"/>
  <c r="N945" i="3"/>
  <c r="Q885" i="3"/>
  <c r="M885" i="3"/>
  <c r="N865" i="3"/>
  <c r="Q805" i="3"/>
  <c r="O765" i="3"/>
  <c r="P5" i="3"/>
  <c r="N1985" i="3"/>
  <c r="P1945" i="3"/>
  <c r="N1905" i="3"/>
  <c r="P1865" i="3"/>
  <c r="M1845" i="3"/>
  <c r="P1785" i="3"/>
  <c r="P1705" i="3"/>
  <c r="Q1685" i="3"/>
  <c r="N1665" i="3"/>
  <c r="M1605" i="3"/>
  <c r="N1585" i="3"/>
  <c r="O1565" i="3"/>
  <c r="P1545" i="3"/>
  <c r="O1485" i="3"/>
  <c r="P1465" i="3"/>
  <c r="P1385" i="3"/>
  <c r="O1325" i="3"/>
  <c r="P1225" i="3"/>
  <c r="Q1205" i="3"/>
  <c r="Q1125" i="3"/>
  <c r="P1065" i="3"/>
  <c r="P745" i="3"/>
  <c r="Q725" i="3"/>
  <c r="M725" i="3"/>
  <c r="N705" i="3"/>
  <c r="O685" i="3"/>
  <c r="P665" i="3"/>
  <c r="M645" i="3"/>
  <c r="Q645" i="3"/>
  <c r="N625" i="3"/>
  <c r="O605" i="3"/>
  <c r="P585" i="3"/>
  <c r="Q565" i="3"/>
  <c r="M565" i="3"/>
  <c r="N545" i="3"/>
  <c r="O525" i="3"/>
  <c r="P505" i="3"/>
  <c r="Q485" i="3"/>
  <c r="M485" i="3"/>
  <c r="N465" i="3"/>
  <c r="O445" i="3"/>
  <c r="P425" i="3"/>
  <c r="Q405" i="3"/>
  <c r="M405" i="3"/>
  <c r="N385" i="3"/>
  <c r="O365" i="3"/>
  <c r="P345" i="3"/>
  <c r="Q325" i="3"/>
  <c r="O5" i="3"/>
  <c r="M125" i="3"/>
  <c r="N105" i="3"/>
  <c r="O85" i="3"/>
  <c r="P65" i="3"/>
  <c r="Q45" i="3"/>
  <c r="M45" i="3"/>
  <c r="N25" i="3"/>
  <c r="M145" i="3"/>
  <c r="N125" i="3"/>
  <c r="O105" i="3"/>
  <c r="P85" i="3"/>
  <c r="Q65" i="3"/>
  <c r="M65" i="3"/>
  <c r="N45" i="3"/>
  <c r="O25" i="3"/>
  <c r="N5" i="3"/>
  <c r="Q5" i="3"/>
  <c r="O145" i="3"/>
  <c r="P125" i="3"/>
  <c r="Q105" i="3"/>
  <c r="M105" i="3"/>
  <c r="N85" i="3"/>
  <c r="O65" i="3"/>
  <c r="P45" i="3"/>
  <c r="Q25" i="3"/>
  <c r="M25" i="3"/>
  <c r="M245" i="3"/>
  <c r="Q165" i="3"/>
  <c r="P1925" i="3"/>
  <c r="N1805" i="3"/>
  <c r="Q1665" i="3"/>
  <c r="O1625" i="3"/>
  <c r="N1085" i="3"/>
  <c r="O1065" i="3"/>
  <c r="P1045" i="3"/>
  <c r="Q1025" i="3"/>
  <c r="M1025" i="3"/>
  <c r="N1005" i="3"/>
  <c r="O985" i="3"/>
  <c r="P965" i="3"/>
  <c r="Q945" i="3"/>
  <c r="M945" i="3"/>
  <c r="N925" i="3"/>
  <c r="O905" i="3"/>
  <c r="P885" i="3"/>
  <c r="Q865" i="3"/>
  <c r="M865" i="3"/>
  <c r="N845" i="3"/>
  <c r="O825" i="3"/>
  <c r="P805" i="3"/>
  <c r="Q785" i="3"/>
  <c r="M785" i="3"/>
  <c r="N765" i="3"/>
  <c r="O745" i="3"/>
  <c r="P725" i="3"/>
  <c r="Q705" i="3"/>
  <c r="M705" i="3"/>
  <c r="N685" i="3"/>
  <c r="O665" i="3"/>
  <c r="P645" i="3"/>
  <c r="Q625" i="3"/>
  <c r="M625" i="3"/>
  <c r="N605" i="3"/>
  <c r="O585" i="3"/>
  <c r="P565" i="3"/>
  <c r="Q545" i="3"/>
  <c r="M545" i="3"/>
  <c r="N525" i="3"/>
  <c r="O505" i="3"/>
  <c r="P485" i="3"/>
  <c r="Q465" i="3"/>
  <c r="M465" i="3"/>
  <c r="N445" i="3"/>
  <c r="O425" i="3"/>
  <c r="P405" i="3"/>
  <c r="Q385" i="3"/>
  <c r="M385" i="3"/>
  <c r="N365" i="3"/>
  <c r="O345" i="3"/>
  <c r="P325" i="3"/>
  <c r="Q305" i="3"/>
  <c r="M305" i="3"/>
  <c r="N285" i="3"/>
  <c r="O265" i="3"/>
  <c r="P245" i="3"/>
  <c r="Q225" i="3"/>
  <c r="M225" i="3"/>
  <c r="N205" i="3"/>
  <c r="O185" i="3"/>
  <c r="M1985" i="3"/>
  <c r="O1945" i="3"/>
  <c r="Q1905" i="3"/>
  <c r="N1885" i="3"/>
  <c r="P1845" i="3"/>
  <c r="M1825" i="3"/>
  <c r="P1765" i="3"/>
  <c r="M1745" i="3"/>
  <c r="N1725" i="3"/>
  <c r="P1685" i="3"/>
  <c r="M1665" i="3"/>
  <c r="P1605" i="3"/>
  <c r="M1585" i="3"/>
  <c r="O1545" i="3"/>
  <c r="Q1505" i="3"/>
  <c r="Q1425" i="3"/>
  <c r="O1385" i="3"/>
  <c r="O1305" i="3"/>
  <c r="P1285" i="3"/>
  <c r="P1205" i="3"/>
  <c r="M1185" i="3"/>
  <c r="O1145" i="3"/>
  <c r="P1125" i="3"/>
  <c r="Q1105" i="3"/>
  <c r="M1105" i="3"/>
  <c r="N1945" i="3"/>
  <c r="O1925" i="3"/>
  <c r="P1905" i="3"/>
  <c r="Q1885" i="3"/>
  <c r="M1885" i="3"/>
  <c r="N1865" i="3"/>
  <c r="M1725" i="3"/>
  <c r="N1705" i="3"/>
  <c r="O1685" i="3"/>
  <c r="Q1645" i="3"/>
  <c r="M1645" i="3"/>
  <c r="N1625" i="3"/>
  <c r="Q1565" i="3"/>
  <c r="O1525" i="3"/>
  <c r="Q1485" i="3"/>
  <c r="N1465" i="3"/>
  <c r="O1445" i="3"/>
  <c r="P1425" i="3"/>
  <c r="Q1405" i="3"/>
  <c r="M1405" i="3"/>
  <c r="N1385" i="3"/>
  <c r="O1365" i="3"/>
  <c r="P1345" i="3"/>
  <c r="Q1325" i="3"/>
  <c r="M1325" i="3"/>
  <c r="N1305" i="3"/>
  <c r="O1285" i="3"/>
  <c r="P1265" i="3"/>
  <c r="Q1245" i="3"/>
  <c r="M1245" i="3"/>
  <c r="N1225" i="3"/>
  <c r="O1205" i="3"/>
  <c r="P1185" i="3"/>
  <c r="Q1165" i="3"/>
  <c r="M1165" i="3"/>
  <c r="N1145" i="3"/>
  <c r="O1125" i="3"/>
  <c r="P1105" i="3"/>
  <c r="Q1085" i="3"/>
  <c r="M1085" i="3"/>
  <c r="N1065" i="3"/>
  <c r="O1045" i="3"/>
  <c r="P1025" i="3"/>
  <c r="Q1005" i="3"/>
  <c r="M1005" i="3"/>
  <c r="N985" i="3"/>
  <c r="O965" i="3"/>
  <c r="P945" i="3"/>
  <c r="Q925" i="3"/>
  <c r="M925" i="3"/>
  <c r="N905" i="3"/>
  <c r="O885" i="3"/>
  <c r="P865" i="3"/>
  <c r="Q845" i="3"/>
  <c r="M845" i="3"/>
  <c r="N825" i="3"/>
  <c r="O805" i="3"/>
  <c r="P785" i="3"/>
  <c r="Q765" i="3"/>
  <c r="M765" i="3"/>
  <c r="N745" i="3"/>
  <c r="O725" i="3"/>
  <c r="P705" i="3"/>
  <c r="Q685" i="3"/>
  <c r="M685" i="3"/>
  <c r="N665" i="3"/>
  <c r="O645" i="3"/>
  <c r="P625" i="3"/>
  <c r="Q605" i="3"/>
  <c r="M605" i="3"/>
  <c r="N585" i="3"/>
  <c r="O565" i="3"/>
  <c r="P545" i="3"/>
  <c r="Q525" i="3"/>
  <c r="M525" i="3"/>
  <c r="N505" i="3"/>
  <c r="O485" i="3"/>
  <c r="P465" i="3"/>
  <c r="Q445" i="3"/>
  <c r="M445" i="3"/>
  <c r="N425" i="3"/>
  <c r="O405" i="3"/>
  <c r="P385" i="3"/>
  <c r="Q365" i="3"/>
  <c r="M365" i="3"/>
  <c r="N345" i="3"/>
  <c r="O325" i="3"/>
  <c r="P305" i="3"/>
  <c r="Q285" i="3"/>
  <c r="M285" i="3"/>
  <c r="N265" i="3"/>
  <c r="O245" i="3"/>
  <c r="P225" i="3"/>
  <c r="Q205" i="3"/>
  <c r="M205" i="3"/>
  <c r="N185" i="3"/>
  <c r="N1965" i="3"/>
  <c r="M1905" i="3"/>
  <c r="O1865" i="3"/>
  <c r="Q1825" i="3"/>
  <c r="O1785" i="3"/>
  <c r="Q1745" i="3"/>
  <c r="O1705" i="3"/>
  <c r="N1645" i="3"/>
  <c r="Q1585" i="3"/>
  <c r="N1565" i="3"/>
  <c r="P1525" i="3"/>
  <c r="M1505" i="3"/>
  <c r="N1485" i="3"/>
  <c r="O1465" i="3"/>
  <c r="P1445" i="3"/>
  <c r="M1425" i="3"/>
  <c r="N1405" i="3"/>
  <c r="P1365" i="3"/>
  <c r="Q1345" i="3"/>
  <c r="M1345" i="3"/>
  <c r="N1325" i="3"/>
  <c r="Q1265" i="3"/>
  <c r="M1265" i="3"/>
  <c r="N1245" i="3"/>
  <c r="O1225" i="3"/>
  <c r="Q1185" i="3"/>
  <c r="N1165" i="3"/>
  <c r="P1985" i="3"/>
  <c r="Q1965" i="3"/>
  <c r="M1965" i="3"/>
  <c r="O1845" i="3"/>
  <c r="P1825" i="3"/>
  <c r="Q1805" i="3"/>
  <c r="M1805" i="3"/>
  <c r="N1785" i="3"/>
  <c r="O1765" i="3"/>
  <c r="P1745" i="3"/>
  <c r="Q1725" i="3"/>
  <c r="P1665" i="3"/>
  <c r="O1605" i="3"/>
  <c r="P1585" i="3"/>
  <c r="M1565" i="3"/>
  <c r="N1545" i="3"/>
  <c r="P1505" i="3"/>
  <c r="M1485" i="3"/>
  <c r="O1985" i="3"/>
  <c r="P1965" i="3"/>
  <c r="Q1945" i="3"/>
  <c r="M1945" i="3"/>
  <c r="N1925" i="3"/>
  <c r="O1905" i="3"/>
  <c r="P1885" i="3"/>
  <c r="Q1865" i="3"/>
  <c r="M1865" i="3"/>
  <c r="N1845" i="3"/>
  <c r="O1825" i="3"/>
  <c r="P1805" i="3"/>
  <c r="Q1785" i="3"/>
  <c r="M1785" i="3"/>
  <c r="N1765" i="3"/>
  <c r="O1745" i="3"/>
  <c r="P1725" i="3"/>
  <c r="Q1705" i="3"/>
  <c r="M1705" i="3"/>
  <c r="N1685" i="3"/>
  <c r="O1665" i="3"/>
  <c r="P1645" i="3"/>
  <c r="Q1625" i="3"/>
  <c r="M1625" i="3"/>
  <c r="N1605" i="3"/>
  <c r="O1585" i="3"/>
  <c r="P1565" i="3"/>
  <c r="Q1545" i="3"/>
  <c r="M1545" i="3"/>
  <c r="N1525" i="3"/>
  <c r="O1505" i="3"/>
  <c r="P1485" i="3"/>
  <c r="Q1465" i="3"/>
  <c r="M1465" i="3"/>
  <c r="N1445" i="3"/>
  <c r="O1425" i="3"/>
  <c r="P1405" i="3"/>
  <c r="Q1385" i="3"/>
  <c r="M1385" i="3"/>
  <c r="N1365" i="3"/>
  <c r="O1345" i="3"/>
  <c r="P1325" i="3"/>
  <c r="Q1305" i="3"/>
  <c r="M1305" i="3"/>
  <c r="N1285" i="3"/>
  <c r="O1265" i="3"/>
  <c r="P1245" i="3"/>
  <c r="Q1225" i="3"/>
  <c r="M1225" i="3"/>
  <c r="N1205" i="3"/>
  <c r="O1185" i="3"/>
  <c r="P1165" i="3"/>
  <c r="Q1145" i="3"/>
  <c r="M1145" i="3"/>
  <c r="N1125" i="3"/>
  <c r="O1105" i="3"/>
  <c r="P1085" i="3"/>
  <c r="Q1065" i="3"/>
  <c r="M1065" i="3"/>
  <c r="N1045" i="3"/>
  <c r="O1025" i="3"/>
  <c r="P1005" i="3"/>
  <c r="Q985" i="3"/>
  <c r="M985" i="3"/>
  <c r="N965" i="3"/>
  <c r="O945" i="3"/>
  <c r="P925" i="3"/>
  <c r="Q905" i="3"/>
  <c r="M905" i="3"/>
  <c r="N885" i="3"/>
  <c r="O865" i="3"/>
  <c r="P845" i="3"/>
  <c r="Q825" i="3"/>
  <c r="M825" i="3"/>
  <c r="N805" i="3"/>
  <c r="O785" i="3"/>
  <c r="P765" i="3"/>
  <c r="Q745" i="3"/>
  <c r="M745" i="3"/>
  <c r="N725" i="3"/>
  <c r="O705" i="3"/>
  <c r="P685" i="3"/>
  <c r="Q665" i="3"/>
  <c r="M665" i="3"/>
  <c r="N645" i="3"/>
  <c r="O625" i="3"/>
  <c r="P605" i="3"/>
  <c r="Q585" i="3"/>
  <c r="M585" i="3"/>
  <c r="N565" i="3"/>
  <c r="O545" i="3"/>
  <c r="P525" i="3"/>
  <c r="Q505" i="3"/>
  <c r="M505" i="3"/>
  <c r="N485" i="3"/>
  <c r="O465" i="3"/>
  <c r="P445" i="3"/>
  <c r="Q425" i="3"/>
  <c r="M425" i="3"/>
  <c r="N405" i="3"/>
  <c r="O385" i="3"/>
  <c r="P365" i="3"/>
  <c r="Q345" i="3"/>
  <c r="M345" i="3"/>
  <c r="N325" i="3"/>
  <c r="O305" i="3"/>
  <c r="P285" i="3"/>
  <c r="Q265" i="3"/>
  <c r="M265" i="3"/>
  <c r="N245" i="3"/>
  <c r="O225" i="3"/>
  <c r="P205" i="3"/>
  <c r="Q185" i="3"/>
  <c r="M185" i="3"/>
  <c r="N165" i="3"/>
  <c r="O165" i="3"/>
  <c r="M165" i="3"/>
  <c r="Q145" i="3"/>
  <c r="P145" i="3"/>
  <c r="Q18" i="1"/>
  <c r="Q19" i="1"/>
  <c r="Q8" i="1"/>
  <c r="Q10" i="1"/>
  <c r="Q11" i="1"/>
  <c r="Q9" i="1"/>
  <c r="P2" i="3"/>
  <c r="Q2" i="3"/>
  <c r="M2" i="3"/>
  <c r="O2" i="3"/>
  <c r="N2" i="3"/>
  <c r="P12" i="1"/>
  <c r="Q7" i="1"/>
</calcChain>
</file>

<file path=xl/sharedStrings.xml><?xml version="1.0" encoding="utf-8"?>
<sst xmlns="http://schemas.openxmlformats.org/spreadsheetml/2006/main" count="5694" uniqueCount="1495">
  <si>
    <t>799b6fb08ea84091a269f0f09b00ff32</t>
  </si>
  <si>
    <t>a215da6e34eb48b9a5cfec15972c54c9</t>
  </si>
  <si>
    <t>d27e093e8e0c468b88a3fd83ca2ea558</t>
  </si>
  <si>
    <t>four dead bodies and 120 wounded</t>
  </si>
  <si>
    <t>late on Thursday</t>
  </si>
  <si>
    <t>when</t>
  </si>
  <si>
    <t>what</t>
  </si>
  <si>
    <t>where</t>
  </si>
  <si>
    <t>who</t>
  </si>
  <si>
    <t>why</t>
  </si>
  <si>
    <t>Mazar-i-Sharif</t>
  </si>
  <si>
    <t>Afghanistan</t>
  </si>
  <si>
    <t>A Taliban suicide bomber</t>
  </si>
  <si>
    <t>German consulate</t>
  </si>
  <si>
    <t>Taliban raid on German consulate</t>
  </si>
  <si>
    <t>two people were killed and 84 wounded</t>
  </si>
  <si>
    <t>Thursday night</t>
  </si>
  <si>
    <t>Taliban</t>
  </si>
  <si>
    <t>German diplomat</t>
  </si>
  <si>
    <t>Taliban Strike</t>
  </si>
  <si>
    <t>suicide car bomb</t>
  </si>
  <si>
    <t>fell down a deep well</t>
  </si>
  <si>
    <t>Rescue operation</t>
  </si>
  <si>
    <t>Sunday</t>
  </si>
  <si>
    <t>village of Zhongmengchang in Lixian County, Hebei's Baoding city</t>
  </si>
  <si>
    <t>China</t>
  </si>
  <si>
    <t>Zhao Zicong</t>
  </si>
  <si>
    <t>80 diggers</t>
  </si>
  <si>
    <t>while picking cabbages</t>
  </si>
  <si>
    <t>found dead in well</t>
  </si>
  <si>
    <t>four-day rescue operation</t>
  </si>
  <si>
    <t>Hebei province</t>
  </si>
  <si>
    <t>Chinese boy</t>
  </si>
  <si>
    <t>500 rescuers and 100 excavators</t>
  </si>
  <si>
    <t>fell into the 80m-deep well</t>
  </si>
  <si>
    <t>while harvesting vegetables</t>
  </si>
  <si>
    <t>seven people were killed</t>
  </si>
  <si>
    <t>Wednesday</t>
  </si>
  <si>
    <t>Croydon</t>
  </si>
  <si>
    <t>Near London</t>
  </si>
  <si>
    <t>Tram Derails</t>
  </si>
  <si>
    <t>tram accident</t>
  </si>
  <si>
    <t>7 killed</t>
  </si>
  <si>
    <t>Nov. 9, 2016</t>
  </si>
  <si>
    <t>near the Sandilands stop in Croydon</t>
  </si>
  <si>
    <t>London</t>
  </si>
  <si>
    <t>tram was traveling at a significantly higher speed</t>
  </si>
  <si>
    <t>Lewis Hamilton</t>
  </si>
  <si>
    <t>Nico Rosberg</t>
  </si>
  <si>
    <t>crash out</t>
  </si>
  <si>
    <t>Sao Paulo</t>
  </si>
  <si>
    <t>Kimi Raikkonen</t>
  </si>
  <si>
    <t>Marcus Ericsson</t>
  </si>
  <si>
    <t>Felipe Massa</t>
  </si>
  <si>
    <t>wet conditions</t>
  </si>
  <si>
    <t>gets warm farewell</t>
  </si>
  <si>
    <t>Nov. 13, 2016</t>
  </si>
  <si>
    <t>Brazil</t>
  </si>
  <si>
    <t>failed to finish his last race</t>
  </si>
  <si>
    <t>Max Verstappen narrowly avoids crash</t>
  </si>
  <si>
    <t>March 22, 2016</t>
  </si>
  <si>
    <t>Brazilian Grand Prix</t>
  </si>
  <si>
    <t>Max Verstappen</t>
  </si>
  <si>
    <t>brilliant reflexes</t>
  </si>
  <si>
    <t>four killed in Taliban raid</t>
  </si>
  <si>
    <t>ram car packed with explosives into wall of consulate in Mazar-i-Sharif</t>
  </si>
  <si>
    <t>Heavily armed attackers followed up the blast, battling with Afghan and German security forces late into the night.</t>
  </si>
  <si>
    <t>German consulate in Afghanistan</t>
  </si>
  <si>
    <t>Militants</t>
  </si>
  <si>
    <t>Islamist</t>
  </si>
  <si>
    <t>retaliation for Nato airstrikes on Kunduz</t>
  </si>
  <si>
    <t>Taliban Strike German Consulate</t>
  </si>
  <si>
    <t>At least two people were killed and 84 wounded</t>
  </si>
  <si>
    <t>gunfire and an explosion inside the hotel</t>
  </si>
  <si>
    <t>late Thursday night</t>
  </si>
  <si>
    <t>Afghan City of Mazar-i-Sharif</t>
  </si>
  <si>
    <t>German Consulate</t>
  </si>
  <si>
    <t>Zhongmengchang in Lixian County, Hebei's Baoding city</t>
  </si>
  <si>
    <t>found dead</t>
  </si>
  <si>
    <t>in well</t>
  </si>
  <si>
    <t>Chinese boy trapped down an abandoned well</t>
  </si>
  <si>
    <t>harvesting vegetables</t>
  </si>
  <si>
    <t>Killing at Least 7</t>
  </si>
  <si>
    <t>the driver of the tram has been arrested</t>
  </si>
  <si>
    <t>Croydon, Near London</t>
  </si>
  <si>
    <t>At least seven people</t>
  </si>
  <si>
    <t>The cause of the accident was unclear</t>
  </si>
  <si>
    <t>At least 7 killed in tram accident</t>
  </si>
  <si>
    <t>a two-car tram jumped the rails on a sharp curve</t>
  </si>
  <si>
    <t>flipped on its side</t>
  </si>
  <si>
    <t>south London</t>
  </si>
  <si>
    <t>next to an underpass in the Croydon area</t>
  </si>
  <si>
    <t>A least seven people</t>
  </si>
  <si>
    <t>42-year-old driver</t>
  </si>
  <si>
    <t>the tram was apparently traveling faster than permitted on a curve</t>
  </si>
  <si>
    <t>wins at Interlagos</t>
  </si>
  <si>
    <t>keeps his hopes of a third successive title alive</t>
  </si>
  <si>
    <t>remains favourite</t>
  </si>
  <si>
    <t>driving at his brilliant best</t>
  </si>
  <si>
    <t>28th lap</t>
  </si>
  <si>
    <t>lap 20</t>
  </si>
  <si>
    <t>Interlagos</t>
  </si>
  <si>
    <t>Kimi Raikkonen, Marcus Ericsson and Felipe Massa</t>
  </si>
  <si>
    <t>crashes</t>
  </si>
  <si>
    <t>earned a warm and emotional goodbye</t>
  </si>
  <si>
    <t>Sunday, Nov. 13, 2016</t>
  </si>
  <si>
    <t>48th of 71 laps</t>
  </si>
  <si>
    <t>Sao Paulo, Brazil</t>
  </si>
  <si>
    <t>Massa</t>
  </si>
  <si>
    <t>car problems</t>
  </si>
  <si>
    <t>narrowly avoids crash</t>
  </si>
  <si>
    <t>lost control of his Ferrari</t>
  </si>
  <si>
    <t>wet Brazilian Grand Prix</t>
  </si>
  <si>
    <t>ram car packed with explosives into wall of consulate</t>
  </si>
  <si>
    <t>killing at least four civilians and wounding scores of other people</t>
  </si>
  <si>
    <t>battling with Afghan and German security forces</t>
  </si>
  <si>
    <t>Thursday</t>
  </si>
  <si>
    <t>consulate in Mazar-i-Sharif</t>
  </si>
  <si>
    <t>German Consulate in Afghan City of Mazar-i-Sharif</t>
  </si>
  <si>
    <t>insurgents</t>
  </si>
  <si>
    <t>reprisal for airstrikes in Kunduz</t>
  </si>
  <si>
    <t>fell down the 130ft deep well</t>
  </si>
  <si>
    <t>said the well turned out to be empty</t>
  </si>
  <si>
    <t>last week</t>
  </si>
  <si>
    <t>central China</t>
  </si>
  <si>
    <t>His uncle</t>
  </si>
  <si>
    <t>Derails</t>
  </si>
  <si>
    <t>Tram</t>
  </si>
  <si>
    <t>unclear</t>
  </si>
  <si>
    <t>killed in tram accident</t>
  </si>
  <si>
    <t>Croydon, London</t>
  </si>
  <si>
    <t>At least 7</t>
  </si>
  <si>
    <t>traveling faster than permitted on a curve</t>
  </si>
  <si>
    <t>the Brazilian Grand Prix</t>
  </si>
  <si>
    <t>has to win</t>
  </si>
  <si>
    <t>descended into farce</t>
  </si>
  <si>
    <t>The Brazilian Grand Prix</t>
  </si>
  <si>
    <t>to take the championship</t>
  </si>
  <si>
    <t>stopped following a crash for a second time</t>
  </si>
  <si>
    <t>cries</t>
  </si>
  <si>
    <t>had to withdraw from the race</t>
  </si>
  <si>
    <t>showed off his brilliant reflexes</t>
  </si>
  <si>
    <t>swerved to avoid a sliding Kimi Raikkonen</t>
  </si>
  <si>
    <t>Tue, March 22, 2016</t>
  </si>
  <si>
    <t>Raikkonen lost control of his Ferrari</t>
  </si>
  <si>
    <t>1, 2, 3</t>
  </si>
  <si>
    <t>standing water on the track</t>
  </si>
  <si>
    <t>trapped down an abandoned well</t>
  </si>
  <si>
    <t>reprisal for airstrikes</t>
  </si>
  <si>
    <t>retaliation for Nato airstrikes</t>
  </si>
  <si>
    <t>Articles:</t>
  </si>
  <si>
    <t>World Series champions</t>
  </si>
  <si>
    <t>Chicago Cubs</t>
  </si>
  <si>
    <t>first World Series triumph in 108 years</t>
  </si>
  <si>
    <t>Chicago</t>
  </si>
  <si>
    <t>won the World Series</t>
  </si>
  <si>
    <t>early part of Thursday morning</t>
  </si>
  <si>
    <t>10-inning victory over the Cleveland Indians</t>
  </si>
  <si>
    <t>has come under fire</t>
  </si>
  <si>
    <t>Toblerone</t>
  </si>
  <si>
    <t>increased the space between the distinctive triangles of its bars</t>
  </si>
  <si>
    <t>sparks anger among fans</t>
  </si>
  <si>
    <t>chocolate bar shape change</t>
  </si>
  <si>
    <t>new candy size</t>
  </si>
  <si>
    <t>higher costs</t>
  </si>
  <si>
    <t>shrinks chocolate bar</t>
  </si>
  <si>
    <t>emails</t>
  </si>
  <si>
    <t>Clinton</t>
  </si>
  <si>
    <t>FBI</t>
  </si>
  <si>
    <t>stands by decision not to charge Clinton</t>
  </si>
  <si>
    <t>blames defeat on FBI director</t>
  </si>
  <si>
    <t>blames FBI director James Comey</t>
  </si>
  <si>
    <t>Hillary Clinton</t>
  </si>
  <si>
    <t>protests outside Trump Tower</t>
  </si>
  <si>
    <t>Wednesday morning</t>
  </si>
  <si>
    <t>New York City</t>
  </si>
  <si>
    <t>Lady Gaga</t>
  </si>
  <si>
    <t>stages protest</t>
  </si>
  <si>
    <t>United States</t>
  </si>
  <si>
    <t>Donald Trump defeated Hillary Clinton</t>
  </si>
  <si>
    <t>have 'life-threatening' injuries</t>
  </si>
  <si>
    <t>Seattle</t>
  </si>
  <si>
    <t>Two people</t>
  </si>
  <si>
    <t>after shooting near demonstration</t>
  </si>
  <si>
    <t>opened fire</t>
  </si>
  <si>
    <t>downtown</t>
  </si>
  <si>
    <t>A gunman</t>
  </si>
  <si>
    <t>stemmed from 'some type of personal argument</t>
  </si>
  <si>
    <t>Trump protest march in Seattle marred by shooting</t>
  </si>
  <si>
    <t>Wednesday night</t>
  </si>
  <si>
    <t>downtown Seattle</t>
  </si>
  <si>
    <t>Robert Merner</t>
  </si>
  <si>
    <t>gunman</t>
  </si>
  <si>
    <t>some type of personal argument</t>
  </si>
  <si>
    <t>shooting leaves five hurt</t>
  </si>
  <si>
    <t>protests against Donald Trump's election victory</t>
  </si>
  <si>
    <t>shortly before 7 pm</t>
  </si>
  <si>
    <t>defeated Hillary Clinton to become President of the United States</t>
  </si>
  <si>
    <t>Tuesday morning</t>
  </si>
  <si>
    <t>Trump Towers</t>
  </si>
  <si>
    <t>Donald Trump</t>
  </si>
  <si>
    <t>was photographed protesting</t>
  </si>
  <si>
    <t>was photographed protesting outside Trump Tower</t>
  </si>
  <si>
    <t>early hours of Wednesday morning</t>
  </si>
  <si>
    <t>Trump Tower in New York City</t>
  </si>
  <si>
    <t>prominent supporter of Hillary Clinton</t>
  </si>
  <si>
    <t>blames FBI director James Comey for presidential election defeat</t>
  </si>
  <si>
    <t>insists she was beating Donald Trump</t>
  </si>
  <si>
    <t>America</t>
  </si>
  <si>
    <t>FBI director James Comey</t>
  </si>
  <si>
    <t>examination of her email</t>
  </si>
  <si>
    <t>devastating defeat</t>
  </si>
  <si>
    <t>blames her shock election defeat on interventions</t>
  </si>
  <si>
    <t>Trump</t>
  </si>
  <si>
    <t>interventions by the FBI director</t>
  </si>
  <si>
    <t>decision not to charge Clinton</t>
  </si>
  <si>
    <t>reviewed all of the communications that were to or from Hillary Clinton while she was secretary of state</t>
  </si>
  <si>
    <t>FBI Director James Comey</t>
  </si>
  <si>
    <t>after review of additional emails</t>
  </si>
  <si>
    <t>newly found \u00ade-mails</t>
  </si>
  <si>
    <t>shrinks chocolate bar and denies Brexit link</t>
  </si>
  <si>
    <t>outraged</t>
  </si>
  <si>
    <t>decided to widen the gap between the triangular pieces</t>
  </si>
  <si>
    <t>UK</t>
  </si>
  <si>
    <t>Toblerone lovers</t>
  </si>
  <si>
    <t>Mondelez International</t>
  </si>
  <si>
    <t>rising cost of ingredients</t>
  </si>
  <si>
    <t>leave the EU</t>
  </si>
  <si>
    <t>Clinton's emails</t>
  </si>
  <si>
    <t>Never mind</t>
  </si>
  <si>
    <t>The jury will disregard</t>
  </si>
  <si>
    <t>Comey</t>
  </si>
  <si>
    <t>jury</t>
  </si>
  <si>
    <t>found \u2026 nothing big</t>
  </si>
  <si>
    <t>pissed</t>
  </si>
  <si>
    <t>reduce the weight</t>
  </si>
  <si>
    <t>People</t>
  </si>
  <si>
    <t>higher costs for numerous ingredients</t>
  </si>
  <si>
    <t>shape change sparks anger</t>
  </si>
  <si>
    <t>fans</t>
  </si>
  <si>
    <t>rising costs</t>
  </si>
  <si>
    <t>sparks outrage</t>
  </si>
  <si>
    <t>400g bars reduced to 360g and the 170g bars to 150g</t>
  </si>
  <si>
    <t>Mondelez\u00a0International</t>
  </si>
  <si>
    <t>changing iconic shape</t>
  </si>
  <si>
    <t>price rises in recent months</t>
  </si>
  <si>
    <t>Tears of joy</t>
  </si>
  <si>
    <t>Major League Baseball</t>
  </si>
  <si>
    <t>endured one of professional sports' longest streaks without a title</t>
  </si>
  <si>
    <t>World Series</t>
  </si>
  <si>
    <t>Chicago Cubs fans</t>
  </si>
  <si>
    <t>The Cubs</t>
  </si>
  <si>
    <t>An epic Game 7 finally delivers Cubs a World Series</t>
  </si>
  <si>
    <t>first title in 108 years</t>
  </si>
  <si>
    <t>beat Cleveland</t>
  </si>
  <si>
    <t>12:47 a.m. Thursday</t>
  </si>
  <si>
    <t>defeat Cleveland Indians</t>
  </si>
  <si>
    <t>win first World Series title since 1908</t>
  </si>
  <si>
    <t>Cleveland Indians</t>
  </si>
  <si>
    <t>surviving two red flags</t>
  </si>
  <si>
    <t>soaked each other with champagne</t>
  </si>
  <si>
    <t>Thursday morning</t>
  </si>
  <si>
    <t>Chicago Cubs players</t>
  </si>
  <si>
    <t>they celebrated</t>
  </si>
  <si>
    <t>The Cubs won the World Series</t>
  </si>
  <si>
    <t>November 8, 2016</t>
  </si>
  <si>
    <t>due to price rises</t>
  </si>
  <si>
    <t>hit out at the chocolate company\u2019s decision</t>
  </si>
  <si>
    <t>said it had been forced to make the distinctive triangular bars smaller</t>
  </si>
  <si>
    <t>now</t>
  </si>
  <si>
    <t>November 7, 2016</t>
  </si>
  <si>
    <t>Fans of the iconic Toblerone bar</t>
  </si>
  <si>
    <t>UK bars will now be made with a wider gap</t>
  </si>
  <si>
    <t>are pissed</t>
  </si>
  <si>
    <t>facing a mountain of criticism</t>
  </si>
  <si>
    <t>Toblerone\u2019s new candy size</t>
  </si>
  <si>
    <t>bigger spaces between the distinctive peaks</t>
  </si>
  <si>
    <t>has angered consumers</t>
  </si>
  <si>
    <t>favourite chocolate bar is redesigned</t>
  </si>
  <si>
    <t>for shrinking its famous triangular chocolate chunks</t>
  </si>
  <si>
    <t>asking the voters to disregard the fog of suspicion</t>
  </si>
  <si>
    <t>James B. Comey</t>
  </si>
  <si>
    <t>the new email cache may have nothing of relevance in it</t>
  </si>
  <si>
    <t>delivered his second shock to the presidential campaign</t>
  </si>
  <si>
    <t>two days before Tuesday\u2019s election</t>
  </si>
  <si>
    <t>James Comey</t>
  </si>
  <si>
    <t>review of additional emails</t>
  </si>
  <si>
    <t>announcing that there would not be any charges</t>
  </si>
  <si>
    <t>Saturday</t>
  </si>
  <si>
    <t>Comey informed Congress that the FBI was examining newly discovered emails</t>
  </si>
  <si>
    <t>the FBI's decision to revive its examination of her email accounts</t>
  </si>
  <si>
    <t>stages protest outside Trump Towers</t>
  </si>
  <si>
    <t>Nov 9, 2016</t>
  </si>
  <si>
    <t>outside Trump Towers</t>
  </si>
  <si>
    <t>Donald Trump beats Hillary Clinton</t>
  </si>
  <si>
    <t>said to have 'life-threatening' injuries</t>
  </si>
  <si>
    <t>treated for 'life-threatening' injuries</t>
  </si>
  <si>
    <t>have been hurt</t>
  </si>
  <si>
    <t>before 7 pm</t>
  </si>
  <si>
    <t>near protests against Donald Trump's election victory</t>
  </si>
  <si>
    <t>One person</t>
  </si>
  <si>
    <t>Five people</t>
  </si>
  <si>
    <t>shooting near demonstration</t>
  </si>
  <si>
    <t>marred</t>
  </si>
  <si>
    <t>Trump protest march</t>
  </si>
  <si>
    <t>shooting</t>
  </si>
  <si>
    <t>argument</t>
  </si>
  <si>
    <t>celebrate</t>
  </si>
  <si>
    <t>early hours of Thursday morning</t>
  </si>
  <si>
    <t>sports bars, restaurants and viewing parties across the city</t>
  </si>
  <si>
    <t>first triumph in 108 years</t>
  </si>
  <si>
    <t>2 o. 3</t>
  </si>
  <si>
    <t>due to the rising cost of ingredients</t>
  </si>
  <si>
    <t>outside Trump Towers </t>
  </si>
  <si>
    <t>Nov 9, 2016 at 1:57am</t>
  </si>
  <si>
    <t>Friday</t>
  </si>
  <si>
    <t>Fatal attack on German consulate</t>
  </si>
  <si>
    <t>rams a truck into the German consulate</t>
  </si>
  <si>
    <t>Gunman attacked the building after the blast</t>
  </si>
  <si>
    <t>Mazar-e-Sharif</t>
  </si>
  <si>
    <t>suicide bomber</t>
  </si>
  <si>
    <t>retaliation for air strikes last week in Kunduz province</t>
  </si>
  <si>
    <t>Explosion and gunfire outside German consulate</t>
  </si>
  <si>
    <t>killed two people</t>
  </si>
  <si>
    <t>blast was followed by gunfire</t>
  </si>
  <si>
    <t>11:30pm local time</t>
  </si>
  <si>
    <t>Mazar-i-Sharif in northern Afghanistan</t>
  </si>
  <si>
    <t>inside the hotel</t>
  </si>
  <si>
    <t>German consulate in Afghanistan bombed</t>
  </si>
  <si>
    <t>suicide attacker</t>
  </si>
  <si>
    <t>revenge</t>
  </si>
  <si>
    <t>US airstrikes in the volatile province of Kunduz earlier this month</t>
  </si>
  <si>
    <t>attacks German consulate</t>
  </si>
  <si>
    <t>northern Afghan city of Mazar-i-Sharif</t>
  </si>
  <si>
    <t>\"revenge attack\" for US air strikes this month in the volatile province of Kunduz</t>
  </si>
  <si>
    <t>rams truck into German consulate</t>
  </si>
  <si>
    <t>killing two</t>
  </si>
  <si>
    <t>A huge blast followed by gunfire</t>
  </si>
  <si>
    <t>11pm local time on Thursday</t>
  </si>
  <si>
    <t>Taliban bomber</t>
  </si>
  <si>
    <t>response to coalition air strikes earlier this month which killed 30 civilians in Kunduz</t>
  </si>
  <si>
    <t>well rescue</t>
  </si>
  <si>
    <t>Race to reach boy trapped</t>
  </si>
  <si>
    <t>fell down the 40m</t>
  </si>
  <si>
    <t>Sunday morning</t>
  </si>
  <si>
    <t>Baoding, Hebei province</t>
  </si>
  <si>
    <t>Dozens of rescuers</t>
  </si>
  <si>
    <t>five-year-old boy</t>
  </si>
  <si>
    <t>fell into the 12-inch-wide well by accident</t>
  </si>
  <si>
    <t>condition of the boy remains unknown</t>
  </si>
  <si>
    <t>working around the clock at the scene in a bid to save the child</t>
  </si>
  <si>
    <t>11am local time on Sunday</t>
  </si>
  <si>
    <t>rural village of Hebei Province</t>
  </si>
  <si>
    <t>Five-year-old Zhao Zicong</t>
  </si>
  <si>
    <t>working with his father</t>
  </si>
  <si>
    <t>save the child, who has been trapped for around 50 hours</t>
  </si>
  <si>
    <t>Seven people die, 51 are hurt, and a driver is arrested after a tram derails</t>
  </si>
  <si>
    <t>arrested</t>
  </si>
  <si>
    <t>investigating whether he fell asleep</t>
  </si>
  <si>
    <t>just after 06:00 GMT</t>
  </si>
  <si>
    <t>tram driver</t>
  </si>
  <si>
    <t>police</t>
  </si>
  <si>
    <t>suspicion of manslaughter</t>
  </si>
  <si>
    <t>significantly higher speed than is permitted</t>
  </si>
  <si>
    <t>Seven killed as tram derails</t>
  </si>
  <si>
    <t>probing whether the driver, who has been arrested, may have fallen asleep</t>
  </si>
  <si>
    <t>during the morning rush hour</t>
  </si>
  <si>
    <t>underpass near the Sandilands stop in Croydon</t>
  </si>
  <si>
    <t>Investigators</t>
  </si>
  <si>
    <t>42-year-old male driver</t>
  </si>
  <si>
    <t>'speeding' round sharp bend</t>
  </si>
  <si>
    <t>tram crash</t>
  </si>
  <si>
    <t>seven dead</t>
  </si>
  <si>
    <t>flipped and derailed off the tracks</t>
  </si>
  <si>
    <t>rush hour on Wednesday morning</t>
  </si>
  <si>
    <t>near the Sandilands stop on Addiscombe Road</t>
  </si>
  <si>
    <t>Five dead</t>
  </si>
  <si>
    <t>Two people remain trapped and more than 50 people have been injured</t>
  </si>
  <si>
    <t>about 6.10am or 6.15am</t>
  </si>
  <si>
    <t>London Mayor</t>
  </si>
  <si>
    <t>British Transport Police</t>
  </si>
  <si>
    <t>More than 70 firefighters</t>
  </si>
  <si>
    <t>vehicle overturns</t>
  </si>
  <si>
    <t>scenes of horror</t>
  </si>
  <si>
    <t>6.13am today</t>
  </si>
  <si>
    <t>Driver</t>
  </si>
  <si>
    <t>Passengers</t>
  </si>
  <si>
    <t>seven dead and dozens injured</t>
  </si>
  <si>
    <t>Several dead and dozens injured after tram overturns</t>
  </si>
  <si>
    <t>driver was later arrested</t>
  </si>
  <si>
    <t>at about 6.15 a.m.</t>
  </si>
  <si>
    <t>Sandilands commuter train stop in Croydon</t>
  </si>
  <si>
    <t>driver</t>
  </si>
  <si>
    <t>Emergency personnel</t>
  </si>
  <si>
    <t>Robin Smith from British Transport Police</t>
  </si>
  <si>
    <t>tram derailment: Several dead and dozens injured</t>
  </si>
  <si>
    <t>Five people were left trapped inside</t>
  </si>
  <si>
    <t>at around 6am</t>
  </si>
  <si>
    <t>as of 11.30am</t>
  </si>
  <si>
    <t>Sandilands</t>
  </si>
  <si>
    <t>in a tunnel</t>
  </si>
  <si>
    <t>check driver's mobile phone records</t>
  </si>
  <si>
    <t>Police</t>
  </si>
  <si>
    <t>deaths of six men and a woman in a horror crash</t>
  </si>
  <si>
    <t>casting doubt on claims he may have \"blacked out\"</t>
  </si>
  <si>
    <t>blacked out</t>
  </si>
  <si>
    <t>at about 6.10am</t>
  </si>
  <si>
    <t>Survivors</t>
  </si>
  <si>
    <t>At least seven people have been killed and more than 50 taken to hospital</t>
  </si>
  <si>
    <t>believed to have been going too fast</t>
  </si>
  <si>
    <t>name final three victims of Croydon tram crash</t>
  </si>
  <si>
    <t>final three victims</t>
  </si>
  <si>
    <t>Donald Collett, Philip Logan and Robert Huxley</t>
  </si>
  <si>
    <t>tram crash that killed seven</t>
  </si>
  <si>
    <t>final victims</t>
  </si>
  <si>
    <t>tram overturned</t>
  </si>
  <si>
    <t>6:10am on Wednesday</t>
  </si>
  <si>
    <t>Donald Collett, 62, of Croydon, Philip Logan, 52, and Robert Huxley, 63, both of New Addington</t>
  </si>
  <si>
    <t>entered a bend at high speed</t>
  </si>
  <si>
    <t>The seven victims of the Croydon tram tragedy have now all been identified</t>
  </si>
  <si>
    <t>Donald Collett, 62, from Croydon, Philip Logan, 52, from New Addington and Robert Huxley, 63, from New Addington</t>
  </si>
  <si>
    <t>Final three Croydon tram crash victims named</t>
  </si>
  <si>
    <t>Donald Collett, 62, from Croydon, and Philip Logan, 52, and 63-year-old Robert Huxley, both from New Addington</t>
  </si>
  <si>
    <t>Brazilian Grand Prix thrown into chaos</t>
  </si>
  <si>
    <t>fumes</t>
  </si>
  <si>
    <t>Sebastian Vettel</t>
  </si>
  <si>
    <t>treacherous conditions</t>
  </si>
  <si>
    <t>makes an emotional farewell after crashing</t>
  </si>
  <si>
    <t>Brazilian Grand Prix at Interlagos</t>
  </si>
  <si>
    <t>retire</t>
  </si>
  <si>
    <t>red-flagged</t>
  </si>
  <si>
    <t>dramatic Kimi Raikkonen Ferrari crash</t>
  </si>
  <si>
    <t>very emotional farewell after crashing</t>
  </si>
  <si>
    <t>race in Brazil</t>
  </si>
  <si>
    <t>FELIPE MASSA</t>
  </si>
  <si>
    <t>last home race</t>
  </si>
  <si>
    <t>amazes</t>
  </si>
  <si>
    <t>overtook half the field</t>
  </si>
  <si>
    <t>Sunday's Brazilian Grand Prix</t>
  </si>
  <si>
    <t>Christian Horner</t>
  </si>
  <si>
    <t>half the field</t>
  </si>
  <si>
    <t>incredible performance</t>
  </si>
  <si>
    <t>avoid serious accident</t>
  </si>
  <si>
    <t>This is just mad</t>
  </si>
  <si>
    <t>he won in Brazil</t>
  </si>
  <si>
    <t>on his way up the hill towards the home straight in Brazil</t>
  </si>
  <si>
    <t>in Brazil</t>
  </si>
  <si>
    <t>close to 180mph, the teenager lost control as he clipped the curb on the entrance to the long home straight, spinning his car sideways and sliding dangerously down the track</t>
  </si>
  <si>
    <t>hails Max Verstappen's \"amazing\" podium-winning performance</t>
  </si>
  <si>
    <t>Red Bull boss Christian Horner</t>
  </si>
  <si>
    <t>one of the best drives I've seen in Formula One</t>
  </si>
  <si>
    <t>even stuns his dad by storming home into third place</t>
  </si>
  <si>
    <t>at Brazilian Grand Prix</t>
  </si>
  <si>
    <t>charging from 16th place to finish third</t>
  </si>
  <si>
    <t>win World Series</t>
  </si>
  <si>
    <t>At 00:48</t>
  </si>
  <si>
    <t>in Cleveland, Ohio</t>
  </si>
  <si>
    <t>came back after a rain delay to clinch the World Series</t>
  </si>
  <si>
    <t>win the World Series</t>
  </si>
  <si>
    <t>in Cleveland</t>
  </si>
  <si>
    <t>end 108-year title drought</t>
  </si>
  <si>
    <t>gained the final out in the 10th to secure an 8-7 victory</t>
  </si>
  <si>
    <t>Ben Zobrist and Miguel Montero, Mike Montgomery</t>
  </si>
  <si>
    <t>victory</t>
  </si>
  <si>
    <t>win World Series for first time in 108 years</t>
  </si>
  <si>
    <t>at almost midnight on Wednesday</t>
  </si>
  <si>
    <t>Wrigley Field</t>
  </si>
  <si>
    <t>end drought in chaotic, epic World Series finale</t>
  </si>
  <si>
    <t>early minutes of Thursday morning</t>
  </si>
  <si>
    <t>CLEVELAND</t>
  </si>
  <si>
    <t>Cubs</t>
  </si>
  <si>
    <t>earn invite from Barack Obama</t>
  </si>
  <si>
    <t>win World Series to end 108-year curse</t>
  </si>
  <si>
    <t>winning World Series with epic Game Seven"</t>
  </si>
  <si>
    <t>hit a go-ahead double in the 10th inning</t>
  </si>
  <si>
    <t>in the early hours of Thursday</t>
  </si>
  <si>
    <t>Ben Zobrist</t>
  </si>
  <si>
    <t>tenth-inning double</t>
  </si>
  <si>
    <t>Bill Murray and Barack Obama</t>
  </si>
  <si>
    <t>reacts to the Cubs' World Series</t>
  </si>
  <si>
    <t>at Progressive Field</t>
  </si>
  <si>
    <t>Sports world</t>
  </si>
  <si>
    <t>World Series win</t>
  </si>
  <si>
    <t>are World Series champions</t>
  </si>
  <si>
    <t>the Cubs</t>
  </si>
  <si>
    <t>rallies past Cleveland in Game 7</t>
  </si>
  <si>
    <t>upsets fans</t>
  </si>
  <si>
    <t>in the UK</t>
  </si>
  <si>
    <t>Toblerone triangle change</t>
  </si>
  <si>
    <t>Are Outraged</t>
  </si>
  <si>
    <t>Fans</t>
  </si>
  <si>
    <t>Alters Shape of 2 Chocolate Bars</t>
  </si>
  <si>
    <t>increase the gaps between the bar's iconic peaks</t>
  </si>
  <si>
    <t>to make them lighter</t>
  </si>
  <si>
    <t>gets more gappy</t>
  </si>
  <si>
    <t>are not happy</t>
  </si>
  <si>
    <t>cost-saving move</t>
  </si>
  <si>
    <t>have described as \u201cstupid\u201d, \u201cridiculous\u201d and \u201cjust plain dumb\u201d</t>
  </si>
  <si>
    <t>Toblerone fans</t>
  </si>
  <si>
    <t>gap between triangles is increased</t>
  </si>
  <si>
    <t>outraged over Toblerone chocolate</t>
  </si>
  <si>
    <t>in British stores</t>
  </si>
  <si>
    <t>changing the shape of its famous triangular candy bars"</t>
  </si>
  <si>
    <t>blame strange new Toblerone shape on Brexit</t>
  </si>
  <si>
    <t>in Loughborough, Britain</t>
  </si>
  <si>
    <t>Brits</t>
  </si>
  <si>
    <t>cries foul as FBI clears Clinton</t>
  </si>
  <si>
    <t>accused the FBI of impropriety</t>
  </si>
  <si>
    <t>clears Clinton in email review</t>
  </si>
  <si>
    <t>made the announcement in a letter to Congress</t>
  </si>
  <si>
    <t>two days before election</t>
  </si>
  <si>
    <t>found no reason to change its July finding</t>
  </si>
  <si>
    <t>CLEARED by FBI over emails storm in lightning-quick probe</t>
  </si>
  <si>
    <t>in the clear</t>
  </si>
  <si>
    <t>just hours left before the US presidential election</t>
  </si>
  <si>
    <t>FBI announces it has not changed mind on charges</t>
  </si>
  <si>
    <t>has found no criminal wrongdoing in new Clinton emails</t>
  </si>
  <si>
    <t>doubts review</t>
  </si>
  <si>
    <t>ahead of Tuesday\u2019s presidential election</t>
  </si>
  <si>
    <t>have not changed conclusion</t>
  </si>
  <si>
    <t>saying: \u2018You can\u2019t review 650,000 emails in eight days</t>
  </si>
  <si>
    <t>managed to avoid a serious accident despite spinning his car at 180mph</t>
  </si>
  <si>
    <t>Interlagos circuit</t>
  </si>
  <si>
    <t>he was able to straighten up and regain control</t>
  </si>
  <si>
    <t>Christian Horner hails Max Verstappen's \"amazing\" podium-winning performance</t>
  </si>
  <si>
    <t>Verstappen overtook half the field in the closing stages of the rain-soaked race</t>
  </si>
  <si>
    <t>Max Verstappen even stuns his dad by storming home into third place</t>
  </si>
  <si>
    <t>father, Jos</t>
  </si>
  <si>
    <t>ended 108 years of hurt</t>
  </si>
  <si>
    <t>Cleveland, Ohio</t>
  </si>
  <si>
    <t>broke the longest championship drought in baseball</t>
  </si>
  <si>
    <t>until the early hours of Thursday morning</t>
  </si>
  <si>
    <t>beating the Cleveland Indians</t>
  </si>
  <si>
    <t>are Major League Baseball champions</t>
  </si>
  <si>
    <t>victory against the Cleveland Indians</t>
  </si>
  <si>
    <t>almost midnight on Wednesday</t>
  </si>
  <si>
    <t>Cleveland</t>
  </si>
  <si>
    <t>Ohio</t>
  </si>
  <si>
    <t>beat the Cleveland Indians</t>
  </si>
  <si>
    <t>victory over the Indians</t>
  </si>
  <si>
    <t>win Major League Baseball\u2019s World Series</t>
  </si>
  <si>
    <t>end 108-year curse</t>
  </si>
  <si>
    <t>Barack Obama</t>
  </si>
  <si>
    <t>winning World Series</t>
  </si>
  <si>
    <t>ended a 108-year wait for a World Series title</t>
  </si>
  <si>
    <t>lead celebrations</t>
  </si>
  <si>
    <t>HILLARY CLINTON, Bill Murray and Barack Obama</t>
  </si>
  <si>
    <t>Cubs end 108-year curse</t>
  </si>
  <si>
    <t>reacts to the Cubs' World Series win</t>
  </si>
  <si>
    <t>Chicago Cubs are World Series champions</t>
  </si>
  <si>
    <t>Toblerone changes the look and weight of two bars sold in the UK</t>
  </si>
  <si>
    <t>change upsets fans</t>
  </si>
  <si>
    <t>rise in the cost of ingredients</t>
  </si>
  <si>
    <t>make them lighter</t>
  </si>
  <si>
    <t>Fans Are Outraged</t>
  </si>
  <si>
    <t>LONDON</t>
  </si>
  <si>
    <t>rising prices for ingredients</t>
  </si>
  <si>
    <t>its fans are not happy</t>
  </si>
  <si>
    <t>widened the gaps between the chocolate bar\u2019s distinctive triangular chunks</t>
  </si>
  <si>
    <t>Mondel\u0113z International</t>
  </si>
  <si>
    <t>avoid putting its prices up</t>
  </si>
  <si>
    <t>changing the shape of its famous distinctive chocolate bars</t>
  </si>
  <si>
    <t>Toblerone fans outraged</t>
  </si>
  <si>
    <t>reduce the weight of the chocolate bars</t>
  </si>
  <si>
    <t>had to either change the look of the bars or raise the price</t>
  </si>
  <si>
    <t>changing the shape of its famous triangular candy bars</t>
  </si>
  <si>
    <t>recently</t>
  </si>
  <si>
    <t>British stores</t>
  </si>
  <si>
    <t>Britain</t>
  </si>
  <si>
    <t>prompting some food producers to announce plans to raise prices</t>
  </si>
  <si>
    <t>Donald Trump attacks the FBI after it exonerates Hillary Clinton</t>
  </si>
  <si>
    <t>US</t>
  </si>
  <si>
    <t>accused the FBI of impropriety after it once again said that Hillary Clinton should not face criminal charges over her emails</t>
  </si>
  <si>
    <t>FBI clears Clinton in email review</t>
  </si>
  <si>
    <t>WASHINGTON</t>
  </si>
  <si>
    <t>no criminal charges were warranted</t>
  </si>
  <si>
    <t>Hillary Clinton CLEARED by FBI over emails</t>
  </si>
  <si>
    <t>two days before the election</t>
  </si>
  <si>
    <t>FBI found no evidence of criminality in a new batch of her emails</t>
  </si>
  <si>
    <t>no evidence of criminal wrongdoing in her use of a private email server</t>
  </si>
  <si>
    <t>not changed its conclusions from its first report on Mrs Clinton</t>
  </si>
  <si>
    <t>hours left before the US presidential election</t>
  </si>
  <si>
    <t>Sunday night</t>
  </si>
  <si>
    <t>no criminal wrongdoing in new Clinton emails</t>
  </si>
  <si>
    <t>A suicide bomber</t>
  </si>
  <si>
    <t>retaliation for air strikes</t>
  </si>
  <si>
    <t>has killed two people</t>
  </si>
  <si>
    <t>round 11:30pm local time</t>
  </si>
  <si>
    <t>AN EXPLOSION</t>
  </si>
  <si>
    <t>have died</t>
  </si>
  <si>
    <t>bombed</t>
  </si>
  <si>
    <t>two people</t>
  </si>
  <si>
    <t>suicide attack on the German consulate</t>
  </si>
  <si>
    <t>revenge attack</t>
  </si>
  <si>
    <t>ams truck into German consulate</t>
  </si>
  <si>
    <t>response to coalition air strikes</t>
  </si>
  <si>
    <t>are trying to reach a five-year-old boy</t>
  </si>
  <si>
    <t>trapped deep down an abandoned well</t>
  </si>
  <si>
    <t>fell into a well</t>
  </si>
  <si>
    <t>using diggers to save Zhao Zicong</t>
  </si>
  <si>
    <t>Zhongmengchang Village of Lixian County in Baoding</t>
  </si>
  <si>
    <t>rescuers</t>
  </si>
  <si>
    <t>by accident</t>
  </si>
  <si>
    <t>to save the child</t>
  </si>
  <si>
    <t>die</t>
  </si>
  <si>
    <t>are hurt</t>
  </si>
  <si>
    <t>is arrested</t>
  </si>
  <si>
    <t>shortly after 06:00 GMT</t>
  </si>
  <si>
    <t>Seven people</t>
  </si>
  <si>
    <t>a driver</t>
  </si>
  <si>
    <t>a tram derails</t>
  </si>
  <si>
    <t>were killed</t>
  </si>
  <si>
    <t>6.10am on Wednesday</t>
  </si>
  <si>
    <t>Croydon, south London</t>
  </si>
  <si>
    <t>seven people</t>
  </si>
  <si>
    <t>tram derails</t>
  </si>
  <si>
    <t>described the lethal derailment</t>
  </si>
  <si>
    <t>Martin Bamford</t>
  </si>
  <si>
    <t>was travelling on the tram when it flipped and derailed</t>
  </si>
  <si>
    <t>are dead</t>
  </si>
  <si>
    <t>6.10am or 6.15am</t>
  </si>
  <si>
    <t>five people</t>
  </si>
  <si>
    <t>died</t>
  </si>
  <si>
    <t>were injured</t>
  </si>
  <si>
    <t>at 6.13am today</t>
  </si>
  <si>
    <t>Croydon, South London</t>
  </si>
  <si>
    <t>At least seven passengers</t>
  </si>
  <si>
    <t>more than 50</t>
  </si>
  <si>
    <t>a speeding tram derailed and turned over</t>
  </si>
  <si>
    <t>more than 50 others</t>
  </si>
  <si>
    <t>tram overturns</t>
  </si>
  <si>
    <t>were left trapped inside the vehicle</t>
  </si>
  <si>
    <t>around 6am</t>
  </si>
  <si>
    <t>Several people</t>
  </si>
  <si>
    <t>dozens</t>
  </si>
  <si>
    <t>a tram derailed and overturned</t>
  </si>
  <si>
    <t>set to check driver's mobile phone records</t>
  </si>
  <si>
    <t>one of many lines of inquiry</t>
  </si>
  <si>
    <t>have been killed</t>
  </si>
  <si>
    <t>taken to hospital</t>
  </si>
  <si>
    <t>investigators say they believe tram was going too fast</t>
  </si>
  <si>
    <t>crash</t>
  </si>
  <si>
    <t>name final three victims</t>
  </si>
  <si>
    <t>six men and one woman</t>
  </si>
  <si>
    <t>investigating</t>
  </si>
  <si>
    <t>named as three adults from South London</t>
  </si>
  <si>
    <t>around 6:10am on Wednesday</t>
  </si>
  <si>
    <t>Donald Collett</t>
  </si>
  <si>
    <t>Philip Logan</t>
  </si>
  <si>
    <t>Robert Huxley</t>
  </si>
  <si>
    <t>died in the accident</t>
  </si>
  <si>
    <t>identify three remaining victims</t>
  </si>
  <si>
    <t>have now all been identified</t>
  </si>
  <si>
    <t>Saturday afternoon</t>
  </si>
  <si>
    <t>seven victims</t>
  </si>
  <si>
    <t>named</t>
  </si>
  <si>
    <t>was suspended</t>
  </si>
  <si>
    <t>crashed out</t>
  </si>
  <si>
    <t>labelled the conditions 'stupid'</t>
  </si>
  <si>
    <t>Kimi Raikkonen crashed out</t>
  </si>
  <si>
    <t>makes an emotional farewell</t>
  </si>
  <si>
    <t>crashing out</t>
  </si>
  <si>
    <t>was halted</t>
  </si>
  <si>
    <t>makes a very emotional farewell</t>
  </si>
  <si>
    <t>is retiring</t>
  </si>
  <si>
    <t>crashing in his last home race</t>
  </si>
  <si>
    <t>amazes Red Bull principal Christian Horner</t>
  </si>
  <si>
    <t>has described Max Verstappen's performance</t>
  </si>
  <si>
    <t>produced a flourish to finish third</t>
  </si>
  <si>
    <t>slams \u2018rigged\u2019 FBI</t>
  </si>
  <si>
    <t>claims it is impossible to read 650,000 emails in eight days</t>
  </si>
  <si>
    <t>today</t>
  </si>
  <si>
    <t>Sterling Heights, Michigan</t>
  </si>
  <si>
    <t>a shadowy conspiracy is working to foil his bid to become president</t>
  </si>
  <si>
    <t>declares it is finally done investigating Hillary Clinton's email</t>
  </si>
  <si>
    <t>still not recommending charges</t>
  </si>
  <si>
    <t>Based on our review</t>
  </si>
  <si>
    <t>blames FBI Director James Comey for US election defeat</t>
  </si>
  <si>
    <t>James Comey's decision to reopen the investigation into her emails</t>
  </si>
  <si>
    <t>blames FBI chief James Comey for election defeat</t>
  </si>
  <si>
    <t>November 29, 2016</t>
  </si>
  <si>
    <t>HILLARY Clinton</t>
  </si>
  <si>
    <t>reopening the investigation close to the election</t>
  </si>
  <si>
    <t>blames FBI Director James Comey</t>
  </si>
  <si>
    <t>has opened the battle wounds</t>
  </si>
  <si>
    <t>for blunting her momentum in the presidential election</t>
  </si>
  <si>
    <t>blaming her defeat by Donald Trump on FBI Director James Comey</t>
  </si>
  <si>
    <t>blames Comey\u2019s email probe for her defeat</t>
  </si>
  <si>
    <t>he decided to send a letter to Congress</t>
  </si>
  <si>
    <t>Blames F.B.I. Director for Election Loss</t>
  </si>
  <si>
    <t>he had revived the inquiry into her use of a private email server caused her to lose</t>
  </si>
  <si>
    <t>blames loss on FBI's James Comey</t>
  </si>
  <si>
    <t>announced days before the votes were cast that he was reopening the investigation</t>
  </si>
  <si>
    <t>blames Comey letters for election defeat</t>
  </si>
  <si>
    <t>blames US presidential loss to Donald Trump on FBI chief</t>
  </si>
  <si>
    <t>Navin Nayak</t>
  </si>
  <si>
    <t>he CLEARED her of wrongdoing over Weiner emails</t>
  </si>
  <si>
    <t>blames one Comey letter for stopping momentum and the other for turning out Trump voters</t>
  </si>
  <si>
    <t>stages protest outside Trump Tower</t>
  </si>
  <si>
    <t>said on Twitter 'we are not a nation that will let HATE lead us'</t>
  </si>
  <si>
    <t>was forced to apologize for making an insensitive election joke</t>
  </si>
  <si>
    <t>the early hours of Wednesday</t>
  </si>
  <si>
    <t>yesterday</t>
  </si>
  <si>
    <t>Katy Perry</t>
  </si>
  <si>
    <t>Demi Lovato</t>
  </si>
  <si>
    <t>Donald Trump emerged victorious</t>
  </si>
  <si>
    <t>facing backlash from her fans</t>
  </si>
  <si>
    <t>staged a protest against Donald Trump\u2019s presidential victory</t>
  </si>
  <si>
    <t>November 9, 2016</t>
  </si>
  <si>
    <t>Fifth Avenue in Midtown Manhattan</t>
  </si>
  <si>
    <t>was disappointed with the results of the election</t>
  </si>
  <si>
    <t>have been shot</t>
  </si>
  <si>
    <t>revealed they are investigating a shooting</t>
  </si>
  <si>
    <t>AT LEAST five people</t>
  </si>
  <si>
    <t>Seattle police</t>
  </si>
  <si>
    <t>meet at White House</t>
  </si>
  <si>
    <t>the White House</t>
  </si>
  <si>
    <t>transition talks</t>
  </si>
  <si>
    <t>meet in the White House</t>
  </si>
  <si>
    <t>to help the country digest the shocking results of Tuesday's presidential election</t>
  </si>
  <si>
    <t>lands in Washington</t>
  </si>
  <si>
    <t>this afternoon</t>
  </si>
  <si>
    <t>White House</t>
  </si>
  <si>
    <t>to meet Barack Obama</t>
  </si>
  <si>
    <t>has analysed President Barack Obama and Donald Trump's mannerisms</t>
  </si>
  <si>
    <t>Patti Wood</t>
  </si>
  <si>
    <t>hold 90-minute White House transition meeting</t>
  </si>
  <si>
    <t>to discuss handover arrangements</t>
  </si>
  <si>
    <t>describes first meeting with Donald Trump</t>
  </si>
  <si>
    <t>arrives at the White House</t>
  </si>
  <si>
    <t>Washington</t>
  </si>
  <si>
    <t>power transition talks</t>
  </si>
  <si>
    <t>met for the first time ever</t>
  </si>
  <si>
    <t>Nov. 10, 2016</t>
  </si>
  <si>
    <t>Obama</t>
  </si>
  <si>
    <t>discussed the hand-off of the White House</t>
  </si>
  <si>
    <t>met for the first time</t>
  </si>
  <si>
    <t>pledged to work together</t>
  </si>
  <si>
    <t>President Obama</t>
  </si>
  <si>
    <t>starting the whirlwind transition</t>
  </si>
  <si>
    <t>removed a dark cloud</t>
  </si>
  <si>
    <t>seeking a path to the presidency not blocked by Latino, black and Asian voters</t>
  </si>
  <si>
    <t>holds big leads with women and minority voters</t>
  </si>
  <si>
    <t>days before Election Day</t>
  </si>
  <si>
    <t>The F.B.I.</t>
  </si>
  <si>
    <t>Donald J. Trump</t>
  </si>
  <si>
    <t>Mrs. Clinton</t>
  </si>
  <si>
    <t>spinning his car sideways and sliding dangerously</t>
  </si>
  <si>
    <t>at 180mph</t>
  </si>
  <si>
    <t>during a race</t>
  </si>
  <si>
    <t>19-year-old</t>
  </si>
  <si>
    <t>lost control</t>
  </si>
  <si>
    <t>clipped the curb</t>
  </si>
  <si>
    <t>Red Bull boss</t>
  </si>
  <si>
    <t>Max was in a league of his own</t>
  </si>
  <si>
    <t>stuns his dad</t>
  </si>
  <si>
    <t>his dad</t>
  </si>
  <si>
    <t>storming home into third place</t>
  </si>
  <si>
    <t>Max was outstanding with the passes he performed</t>
  </si>
  <si>
    <t>He did a job that was impressive</t>
  </si>
  <si>
    <t>winning the World Series</t>
  </si>
  <si>
    <t>chopped a groundball to third base</t>
  </si>
  <si>
    <t>scooped it up and fired across the diamond</t>
  </si>
  <si>
    <t>the ball landed in his glove</t>
  </si>
  <si>
    <t>Ending more than a century of flops</t>
  </si>
  <si>
    <t>won their first title since 1908</t>
  </si>
  <si>
    <t>Progressive Field</t>
  </si>
  <si>
    <t>Cubs win the World Series</t>
  </si>
  <si>
    <t>game seven</t>
  </si>
  <si>
    <t>Chicago Cubs win World Series</t>
  </si>
  <si>
    <t>best-of-seven series</t>
  </si>
  <si>
    <t>Windy City</t>
  </si>
  <si>
    <t>We're world champions</t>
  </si>
  <si>
    <t>epic World Series finale</t>
  </si>
  <si>
    <t>We did it despite trying to give it away</t>
  </si>
  <si>
    <t>Cubs win World Series</t>
  </si>
  <si>
    <t>Cubbies</t>
  </si>
  <si>
    <t>Bill Murray</t>
  </si>
  <si>
    <t>as Cubs end 108-year curse</t>
  </si>
  <si>
    <t>Cubs' World Series win</t>
  </si>
  <si>
    <t>November 03, 2016</t>
  </si>
  <si>
    <t>Cubs are World Series champions</t>
  </si>
  <si>
    <t>EU</t>
  </si>
  <si>
    <t>Lee Yarker</t>
  </si>
  <si>
    <t>Mondelez</t>
  </si>
  <si>
    <t>400g bars being reduced to 360g</t>
  </si>
  <si>
    <t>170g bars to 150g</t>
  </si>
  <si>
    <t>Toblerone increase the gaps</t>
  </si>
  <si>
    <t>The controversial change</t>
  </si>
  <si>
    <t>Chocolate fans</t>
  </si>
  <si>
    <t>Brexit</t>
  </si>
  <si>
    <t>early this year</t>
  </si>
  <si>
    <t>Europe</t>
  </si>
  <si>
    <t>have been cut down</t>
  </si>
  <si>
    <t>fans are not happy</t>
  </si>
  <si>
    <t>Toblerone have widened the gaps</t>
  </si>
  <si>
    <t>reduced 400g bars to 360g and 170g bars to 150g</t>
  </si>
  <si>
    <t>increased the gap</t>
  </si>
  <si>
    <t>reduce the weight of 400g and 170g bars</t>
  </si>
  <si>
    <t>election</t>
  </si>
  <si>
    <t>the U.S.</t>
  </si>
  <si>
    <t>changed the shape</t>
  </si>
  <si>
    <t>October 13, 2016</t>
  </si>
  <si>
    <t>Loughborough, Britain</t>
  </si>
  <si>
    <t>Donald Trump attacks the FBI</t>
  </si>
  <si>
    <t>2009 to 2013</t>
  </si>
  <si>
    <t>2009-13</t>
  </si>
  <si>
    <t>Detroit suburbs</t>
  </si>
  <si>
    <t>US election</t>
  </si>
  <si>
    <t>email review</t>
  </si>
  <si>
    <t>Congress</t>
  </si>
  <si>
    <t>Alana Wise</t>
  </si>
  <si>
    <t>using a private email server</t>
  </si>
  <si>
    <t>October 28, 2016</t>
  </si>
  <si>
    <t>Cheryl Mills</t>
  </si>
  <si>
    <t>no evidence of criminality</t>
  </si>
  <si>
    <t>no evidence of criminal</t>
  </si>
  <si>
    <t>use of a private email server</t>
  </si>
  <si>
    <t>July</t>
  </si>
  <si>
    <t>no criminal wrongdoing</t>
  </si>
  <si>
    <t>28 October</t>
  </si>
  <si>
    <t>11 days before</t>
  </si>
  <si>
    <t>found no criminal wrongdoing</t>
  </si>
  <si>
    <t>attack</t>
  </si>
  <si>
    <t>battling</t>
  </si>
  <si>
    <t>bombing</t>
  </si>
  <si>
    <t>consulate</t>
  </si>
  <si>
    <t>six civilians</t>
  </si>
  <si>
    <t>Gunman</t>
  </si>
  <si>
    <t>retaliation</t>
  </si>
  <si>
    <t>mission</t>
  </si>
  <si>
    <t>Explosion</t>
  </si>
  <si>
    <t>gunfire</t>
  </si>
  <si>
    <t>around 11:30pm local time"</t>
  </si>
  <si>
    <t>outside German consulate</t>
  </si>
  <si>
    <t>84 people</t>
  </si>
  <si>
    <t>sporadic gunfire</t>
  </si>
  <si>
    <t>suicide attack</t>
  </si>
  <si>
    <t>north Afghanistan</t>
  </si>
  <si>
    <t>At least two people</t>
  </si>
  <si>
    <t>100 wounded people</t>
  </si>
  <si>
    <t>truck bombing</t>
  </si>
  <si>
    <t>late Thursday</t>
  </si>
  <si>
    <t>100 others wounded</t>
  </si>
  <si>
    <t>killing</t>
  </si>
  <si>
    <t>crashed</t>
  </si>
  <si>
    <t>11pm local time</t>
  </si>
  <si>
    <t>Thursday evening</t>
  </si>
  <si>
    <t>northern city of Mazar-e-Sharif</t>
  </si>
  <si>
    <t>AT least two people</t>
  </si>
  <si>
    <t>80 people</t>
  </si>
  <si>
    <t>response</t>
  </si>
  <si>
    <t>trapped</t>
  </si>
  <si>
    <t>fell</t>
  </si>
  <si>
    <t>trying to reach</t>
  </si>
  <si>
    <t>Baoding</t>
  </si>
  <si>
    <t>no warning signs</t>
  </si>
  <si>
    <t>accident</t>
  </si>
  <si>
    <t>trying to save</t>
  </si>
  <si>
    <t>Chinese farm</t>
  </si>
  <si>
    <t>Hebei Province</t>
  </si>
  <si>
    <t>team of rescuers</t>
  </si>
  <si>
    <t>picking cabbages</t>
  </si>
  <si>
    <t>derailment</t>
  </si>
  <si>
    <t>manslaughter</t>
  </si>
  <si>
    <t>06:00 GMT</t>
  </si>
  <si>
    <t>near the Sandilands stop</t>
  </si>
  <si>
    <t>Seven dead</t>
  </si>
  <si>
    <t>50 injured</t>
  </si>
  <si>
    <t>fell asleep</t>
  </si>
  <si>
    <t>fallen asleep</t>
  </si>
  <si>
    <t>tram sped ro und a sharp bend</t>
  </si>
  <si>
    <t>6.10am</t>
  </si>
  <si>
    <t>the driver</t>
  </si>
  <si>
    <t>speeding</t>
  </si>
  <si>
    <t>he thinks he blacked out</t>
  </si>
  <si>
    <t>More than 51 people</t>
  </si>
  <si>
    <t>42-year-old man</t>
  </si>
  <si>
    <t>At least five people</t>
  </si>
  <si>
    <t>more than 50 people</t>
  </si>
  <si>
    <t>The driver</t>
  </si>
  <si>
    <t>6.13am</t>
  </si>
  <si>
    <t>South London</t>
  </si>
  <si>
    <t>male driver</t>
  </si>
  <si>
    <t>dozens injured</t>
  </si>
  <si>
    <t>too fast</t>
  </si>
  <si>
    <t>going \u201ctoo fast round the bend\u201d</t>
  </si>
  <si>
    <t>derailed</t>
  </si>
  <si>
    <t>morning</t>
  </si>
  <si>
    <t>about 6.15 a.m</t>
  </si>
  <si>
    <t>large suburb to the south of the city</t>
  </si>
  <si>
    <t>near the Sandilands commuter train stop in Croydon</t>
  </si>
  <si>
    <t>50 others</t>
  </si>
  <si>
    <t>came off the tracks</t>
  </si>
  <si>
    <t>in a tunnel near Sandlilands tram station</t>
  </si>
  <si>
    <t>horror crash</t>
  </si>
  <si>
    <t>morning rush hour</t>
  </si>
  <si>
    <t>British</t>
  </si>
  <si>
    <t>of six men and a woman</t>
  </si>
  <si>
    <t>the driver had fallen asleep</t>
  </si>
  <si>
    <t>using his mobile phone</t>
  </si>
  <si>
    <t>tram left the tracks</t>
  </si>
  <si>
    <t>about 6.15am</t>
  </si>
  <si>
    <t>between the Lloyd Park and Sandilands stops</t>
  </si>
  <si>
    <t>killed seven</t>
  </si>
  <si>
    <t>had blacked out</t>
  </si>
  <si>
    <t>failed to slow down</t>
  </si>
  <si>
    <t>going too fast</t>
  </si>
  <si>
    <t>near the Sandilands tram stop</t>
  </si>
  <si>
    <t>above the permitted speed</t>
  </si>
  <si>
    <t>6:10am</t>
  </si>
  <si>
    <t>Philip Logan, 52</t>
  </si>
  <si>
    <t>Donald Collett, 62</t>
  </si>
  <si>
    <t>Robert Huxley, 63</t>
  </si>
  <si>
    <t>tram tragedy</t>
  </si>
  <si>
    <t>killed</t>
  </si>
  <si>
    <t>Three remaining victims</t>
  </si>
  <si>
    <t>seven people in total</t>
  </si>
  <si>
    <t>travelling at \u201csignificantly higher speeds\u201d</t>
  </si>
  <si>
    <t>chaos</t>
  </si>
  <si>
    <t>Grand Prix was suspended</t>
  </si>
  <si>
    <t>Kimi Raikkonen crashed</t>
  </si>
  <si>
    <t>on lap 20</t>
  </si>
  <si>
    <t>Brazilian</t>
  </si>
  <si>
    <t>conditions 'stupid'</t>
  </si>
  <si>
    <t>persistent rain</t>
  </si>
  <si>
    <t>emotional farewell</t>
  </si>
  <si>
    <t>after crashing</t>
  </si>
  <si>
    <t>final F1 appearance</t>
  </si>
  <si>
    <t>lap 48</t>
  </si>
  <si>
    <t>rain-drenched track</t>
  </si>
  <si>
    <t>series of crashes</t>
  </si>
  <si>
    <t>after 20 of 71 scheduled laps</t>
  </si>
  <si>
    <t>the conditions</t>
  </si>
  <si>
    <t>a series of crashes</t>
  </si>
  <si>
    <t>crashing</t>
  </si>
  <si>
    <t>farewell</t>
  </si>
  <si>
    <t>retiring</t>
  </si>
  <si>
    <t>end of the season</t>
  </si>
  <si>
    <t>awful conditions</t>
  </si>
  <si>
    <t>performance</t>
  </si>
  <si>
    <t>rain-soaked race to claim the final spot</t>
  </si>
  <si>
    <t>overtook 13 cars</t>
  </si>
  <si>
    <t>Sterling Heights</t>
  </si>
  <si>
    <t>Michigan</t>
  </si>
  <si>
    <t>it is impossible to read 650,000 emails in eight days</t>
  </si>
  <si>
    <t>done investigating Hillary Clinton's email</t>
  </si>
  <si>
    <t>her campaign was winning until Comey sent his letter</t>
  </si>
  <si>
    <t>for reopening the investigation close to the election</t>
  </si>
  <si>
    <t>to reopen the probe into her use of a private email server</t>
  </si>
  <si>
    <t>blamed FBI director James Comey for her stunning defeat</t>
  </si>
  <si>
    <t>Comey was at fault for her loss after he decided to send a letter to Congress</t>
  </si>
  <si>
    <t>Blames F.B.I. Director</t>
  </si>
  <si>
    <t>for Election Loss</t>
  </si>
  <si>
    <t>he was reopening the investigation</t>
  </si>
  <si>
    <t>Comey\u2019s letter raising doubts that were groundless</t>
  </si>
  <si>
    <t>because he CLEARED her of wrongdoing over Weiner email</t>
  </si>
  <si>
    <t>blamed the renewed FBI inquiry</t>
  </si>
  <si>
    <t>for blunting her momentum</t>
  </si>
  <si>
    <t>after US election result</t>
  </si>
  <si>
    <t>at Trump Tower</t>
  </si>
  <si>
    <t>New York</t>
  </si>
  <si>
    <t>Donald Trump\u2019s presidential victory</t>
  </si>
  <si>
    <t>protests</t>
  </si>
  <si>
    <t>outside Trump Tower</t>
  </si>
  <si>
    <t>singer was disappointed with the results of the election</t>
  </si>
  <si>
    <t>five people have been shot close to an anti-Donald Trump rally</t>
  </si>
  <si>
    <t>just hours after he was elected the next US President</t>
  </si>
  <si>
    <t>behind-closed-doors meeting</t>
  </si>
  <si>
    <t>for transition talks</t>
  </si>
  <si>
    <t>meet</t>
  </si>
  <si>
    <t>The meeting at the White House</t>
  </si>
  <si>
    <t>DONALD Trump</t>
  </si>
  <si>
    <t>analysed President Barack Obama and Donald Trump's mannerisms during their meeting</t>
  </si>
  <si>
    <t>a body language expert</t>
  </si>
  <si>
    <t>he was \"encouraged\" by their \"excellent\" discussion</t>
  </si>
  <si>
    <t>for power transition talks with outgoing President Barack Obama</t>
  </si>
  <si>
    <t>transition</t>
  </si>
  <si>
    <t>meets with Obama</t>
  </si>
  <si>
    <t>at the White House</t>
  </si>
  <si>
    <t>The final polls are trickling in</t>
  </si>
  <si>
    <t>two days before Election Day</t>
  </si>
  <si>
    <t>Hillary Clinton\u2019s emails found no evidence of a crime having been committed</t>
  </si>
  <si>
    <t>DONALD Trump was furious</t>
  </si>
  <si>
    <t>there was no way the FBI could have read all 650,000 emails</t>
  </si>
  <si>
    <t>Trump repeated his claims that a shadowy conspiracy is working to foil his bid to become president</t>
  </si>
  <si>
    <t>she\u2019s being protected by a rigged system</t>
  </si>
  <si>
    <t>FBI is standing by its original findings, made in July, that Clinton should not be prosecuted</t>
  </si>
  <si>
    <t>Based on our review, we have not changed our conclusions that we expressed in July with respect to Secretary Clinton</t>
  </si>
  <si>
    <t>Comey had rocked the presidential race with his announcement Oct. 28 that the FBI had uncovered a new trove of emails that might be relevant to the investigation of Clinton's use of a private email server.</t>
  </si>
  <si>
    <t>Clinton blamed FBI Director James Comey's decision to revive the investigation into her emails just days before people went to the polls as the reason for her loss</t>
  </si>
  <si>
    <t>Comey told lawmakers the Sunday before the election that the bureau had found no evidence to warrant criminal charges.</t>
  </si>
  <si>
    <t>Clinton blames FBI chief James Comey for election defeat to Trump</t>
  </si>
  <si>
    <t>After Mr Comey sent a letter to Congress on November 4 clearing her of any wrongdoing, Clinton's campaigned managed to take the lead in the polls again</t>
  </si>
  <si>
    <t>FBI chief James Comey</t>
  </si>
  <si>
    <t>Clinton criticised Comey for reopening the investigation close to the election</t>
  </si>
  <si>
    <t>on November 8, Trump swept to an emphatic victory, and is now set to become the 45th president of the United States</t>
  </si>
  <si>
    <t>Clinton blames FBI Director James Comey's decision to to reopen email probe for defeat to Donald Trump</t>
  </si>
  <si>
    <t>Hillary Clinton has opened the battle wounds</t>
  </si>
  <si>
    <t>She said Mr Trump\u2019s performance in the final debate was widely condemned</t>
  </si>
  <si>
    <t>she blamed the renewed FBI inquiry into her State Department email system for blunting her momentum in the presidential election</t>
  </si>
  <si>
    <t>She also said the closure of that inquiry just two days before election day energised voters for in favour of the New York tycoon</t>
  </si>
  <si>
    <t>Clinton blames Comey\u2019s email probe for her defeat</t>
  </si>
  <si>
    <t>Clinton said Comey was at fault for her loss</t>
  </si>
  <si>
    <t>Tuesday\u2019s presidential election</t>
  </si>
  <si>
    <t>Republican Donald Trump won the election, shocking many throughout the nation and prompting widespread protests</t>
  </si>
  <si>
    <t>Clinton has kept a low profile since her defeat after delivering her concession speech on Wednesday morning.</t>
  </si>
  <si>
    <t>Clinton Blames F.B.I. Director for Election Loss</t>
  </si>
  <si>
    <t>F.B.I. Director</t>
  </si>
  <si>
    <t>he announcement by James B. Comey 11 days before the election that he had revived the inquiry into her use of a private email server caused her to lose.</t>
  </si>
  <si>
    <t>Clinton has blamed her defeat in the US election on James Comey, the FBI director, who announced days before the votes were cast that he was reopening the investigation into her handling of classified information.</t>
  </si>
  <si>
    <t>James Comey, the FBI director</t>
  </si>
  <si>
    <t>Mr Comey's intervention in the election had reversed her \"momentum\" and energised Donald Trump's supporters</t>
  </si>
  <si>
    <t>Clinton has reportedly blamed two letters to Congress by FBI director James Comey for her defeat by Donald Trump in the US presidential election</t>
  </si>
  <si>
    <t>Comey\u2019s letter in the last 11 days of the election both helped depress our turnout and also drove away some of our critical support among college-educated white voters \u2013 particularly in the suburbs</t>
  </si>
  <si>
    <t>Clinton has blamed the election of rival Donald Trump on the head of the FBI</t>
  </si>
  <si>
    <t>\u201cWe believe that we lost this election in the last week\u201d</t>
  </si>
  <si>
    <t>FBI chief</t>
  </si>
  <si>
    <t>A scathing letter by Navin Nayak, head of Clinton\u2019s research division, pinned the cause of her candidate\u2019s loss on FBI director James Comey</t>
  </si>
  <si>
    <t>Clinton was investigated by the FBI in the days before the election over her use of private emails</t>
  </si>
  <si>
    <t>Voters who decided in the last week broke for Trump by a larger margin\u2026</t>
  </si>
  <si>
    <t>Clinton blamed the renewed FBI inquiry into her State Department email system for blunting her momentum in the presidential election and the closure of that inquiry two days before Election Day for energizing voters for Donald Trump</t>
  </si>
  <si>
    <t>FBI Director</t>
  </si>
  <si>
    <t>\u201cThere are lots of reasons why an election like this is not successful,\u201d Clinton told top donors on a farewell conference call Saturday</t>
  </si>
  <si>
    <t>\u201cTrump spent the last four days of this campaign engaged in a nonstop attack on me personally, and the result is the result,\u201d Clinton said.</t>
  </si>
  <si>
    <t>Trump Tower</t>
  </si>
  <si>
    <t>Scores of celebrities who support Hillary Clinton took to Twitter to express their dismay at the result</t>
  </si>
  <si>
    <t>There was misery for Hillary Clinton's band of Hollywood megafans as Donald Trump emerged victorious as American President.</t>
  </si>
  <si>
    <t>Lady Gaga has staged a protest against Donald Trump\u2019s presidential victory at Trump Tower in New York</t>
  </si>
  <si>
    <t>standing atop a large sanitation truck next to the tower brandishing a banner which read \u201clove trumps hate\u201d after the election results were announced</t>
  </si>
  <si>
    <t>Gaga has shared a photo of herself clutching on to the truck\u2019s wing mirror outside Trump Tower, saying: \u201cI want to live in a #CountryOfKindness where #LoveTrumpsHate\u201d</t>
  </si>
  <si>
    <t>Trump Tower in New York</t>
  </si>
  <si>
    <t>she protested Donald Trump's victory</t>
  </si>
  <si>
    <t>supporter of Hillary Clinton</t>
  </si>
  <si>
    <t>stood outside Donald's building on top of a sanitation truck, wearing all black with the stars and stripes flag tucked into her outfit as she held up a sign that read: \"Love trumps hate\"</t>
  </si>
  <si>
    <t>removed a dark cloud that has been hanging over Hillary Clinton\u2019s campaign</t>
  </si>
  <si>
    <t>final polls are trickling in</t>
  </si>
  <si>
    <t>two days before Election</t>
  </si>
  <si>
    <t>F.B.I.</t>
  </si>
  <si>
    <t>meets with Obama at the White House</t>
  </si>
  <si>
    <t xml:space="preserve">Thursday </t>
  </si>
  <si>
    <t>President Obama and President-elect Donald Trump</t>
  </si>
  <si>
    <t>ensure a peaceful transition of power</t>
  </si>
  <si>
    <t>for power transition talks</t>
  </si>
  <si>
    <t>describes first meeting with Donald Trump at White House as 'excellent'</t>
  </si>
  <si>
    <t>analysed President Barack Obama and Donald Trump's mannerisms</t>
  </si>
  <si>
    <t>Patti Wood, a body language expert</t>
  </si>
  <si>
    <t>to meet Barack Obama at White House</t>
  </si>
  <si>
    <t>President Barack Obama and president-elect Donald Trump</t>
  </si>
  <si>
    <t>at White House</t>
  </si>
  <si>
    <t>Donald Trump and Barack Obama</t>
  </si>
  <si>
    <t>shot</t>
  </si>
  <si>
    <t>Five</t>
  </si>
  <si>
    <t>personal argument</t>
  </si>
  <si>
    <t>2+3</t>
  </si>
  <si>
    <t xml:space="preserve">death toll from a powerful Taliban truck bombing </t>
  </si>
  <si>
    <t>1+2</t>
  </si>
  <si>
    <t>1+2+3</t>
  </si>
  <si>
    <t>Saturday </t>
  </si>
  <si>
    <t>killed when a packed commuter tram derailed</t>
  </si>
  <si>
    <t>Police </t>
  </si>
  <si>
    <t>Donald Collett, 62, from Croydon, Philip Logan, 52, from New Addington and Robert Huxley, 63</t>
  </si>
  <si>
    <t>Donald Collett, 62, from Croydon, and Philip Logan, 52, and 63-year-old Robert Huxley</t>
  </si>
  <si>
    <t>\u201csignificantly higher speeds\u201d than those permitted when it derailed</t>
  </si>
  <si>
    <t>rallies past Cleveland</t>
  </si>
  <si>
    <t>meet rising costs</t>
  </si>
  <si>
    <t>changes the look and weight of two bars </t>
  </si>
  <si>
    <t>attempt to meet rising costs</t>
  </si>
  <si>
    <t>last month</t>
  </si>
  <si>
    <t>rising prices</t>
  </si>
  <si>
    <t>cost-saving move to widen spaces</t>
  </si>
  <si>
    <t>November 8</t>
  </si>
  <si>
    <t>2</t>
  </si>
  <si>
    <t>3</t>
  </si>
  <si>
    <t>1</t>
  </si>
  <si>
    <t>after it once again said that Hillary Clinton should not face criminal charges over her emails</t>
  </si>
  <si>
    <t>2016</t>
  </si>
  <si>
    <t>4</t>
  </si>
  <si>
    <t>Detroit </t>
  </si>
  <si>
    <t>has accused the FBI of impropriety after it once again said that Hillary Clinton should not face criminal charges</t>
  </si>
  <si>
    <t>Nov 6</t>
  </si>
  <si>
    <t>CLEARED by FBI</t>
  </si>
  <si>
    <t>found no evidence of criminality</t>
  </si>
  <si>
    <t>shadowy conspiracy</t>
  </si>
  <si>
    <t>WASHINGTON </t>
  </si>
  <si>
    <t>review of newly discovered emails has not changed his earlier conclusion</t>
  </si>
  <si>
    <t>we are not a nation that will let HATE lead us</t>
  </si>
  <si>
    <t>Demi Lovato was forced to apologize for making an insensitive election joke at Trump's expense</t>
  </si>
  <si>
    <t>New York City </t>
  </si>
  <si>
    <t>1?</t>
  </si>
  <si>
    <t>1+3</t>
  </si>
  <si>
    <t>November 9</t>
  </si>
  <si>
    <t>was a firm supporter of Hillary Clinton</t>
  </si>
  <si>
    <t>Trump Tower </t>
  </si>
  <si>
    <t>disappointed with the results of the election</t>
  </si>
  <si>
    <t>She kept going and she kept fighting for women's rights. She kept fighting for the care of our children</t>
  </si>
  <si>
    <t>Nov. 10</t>
  </si>
  <si>
    <t>last home race in Brazil</t>
  </si>
  <si>
    <t>A</t>
  </si>
  <si>
    <t>B</t>
  </si>
  <si>
    <t>C</t>
  </si>
  <si>
    <t>ICR</t>
  </si>
  <si>
    <t>AB</t>
  </si>
  <si>
    <t>AC</t>
  </si>
  <si>
    <t>CB</t>
  </si>
  <si>
    <t>NULL</t>
  </si>
  <si>
    <t>Nov. 2</t>
  </si>
  <si>
    <t>5</t>
  </si>
  <si>
    <t>around 11:30pm local time</t>
  </si>
  <si>
    <t>November 6</t>
  </si>
  <si>
    <t>00:48</t>
  </si>
  <si>
    <t>driven by “higher costs for numerous ingredients."</t>
  </si>
  <si>
    <t>finally done investigating Hillary Clinton's email</t>
  </si>
  <si>
    <t xml:space="preserve"> protest outside Trump Tower after US election result</t>
  </si>
  <si>
    <t>protest outside Trump Tower after US election result</t>
  </si>
  <si>
    <t>urged voters to get out and vote for “the kinder and braver Hillary</t>
  </si>
  <si>
    <t>&lt;- NULL</t>
  </si>
  <si>
    <t>&lt;- ALL NULL</t>
  </si>
  <si>
    <t>theguardian-1.xml</t>
  </si>
  <si>
    <t>nytimes-1.xml</t>
  </si>
  <si>
    <t>dailymail-2.xml</t>
  </si>
  <si>
    <t>bbc-2.xml</t>
  </si>
  <si>
    <t>nytimes-5.xml</t>
  </si>
  <si>
    <t>usatoday-6.xml</t>
  </si>
  <si>
    <t>thesun-6.xml</t>
  </si>
  <si>
    <t>mirror-6.xml</t>
  </si>
  <si>
    <t>usatoday-3.xml</t>
  </si>
  <si>
    <t>express-6.xml</t>
  </si>
  <si>
    <t>theguardian-2.xml</t>
  </si>
  <si>
    <t>independent-2.xml</t>
  </si>
  <si>
    <t>washingtonpost-1.xml</t>
  </si>
  <si>
    <t>independent-8.xml</t>
  </si>
  <si>
    <t>standard-5.xml</t>
  </si>
  <si>
    <t>nypost-6.xml</t>
  </si>
  <si>
    <t>express-7.xml</t>
  </si>
  <si>
    <t>washingtonpost-5.xml</t>
  </si>
  <si>
    <t>nypost-5.xml</t>
  </si>
  <si>
    <t>bbc-6.xml</t>
  </si>
  <si>
    <t>mirror-3.xml</t>
  </si>
  <si>
    <t>telegraph-5.xml</t>
  </si>
  <si>
    <t>standard-2.xml</t>
  </si>
  <si>
    <t>thesun-4.xml</t>
  </si>
  <si>
    <t>dailymail-7.xml</t>
  </si>
  <si>
    <t>bbc-3.xml</t>
  </si>
  <si>
    <t>express-1.xml</t>
  </si>
  <si>
    <t>independent-1.xml</t>
  </si>
  <si>
    <t>telegraph-1.xml</t>
  </si>
  <si>
    <t>thesun-1.xml</t>
  </si>
  <si>
    <t>bbc-1.xml</t>
  </si>
  <si>
    <t>dailymail-1.xml</t>
  </si>
  <si>
    <t>bbc-10.xml</t>
  </si>
  <si>
    <t>dailymail-15.xml</t>
  </si>
  <si>
    <t>express-8.xml</t>
  </si>
  <si>
    <t>independent-9.xml</t>
  </si>
  <si>
    <t>mirror-9.xml</t>
  </si>
  <si>
    <t>nypost-7.xml</t>
  </si>
  <si>
    <t>standard-6.xml</t>
  </si>
  <si>
    <t>telegraph-9.xml</t>
  </si>
  <si>
    <t>theguardian-8.xml</t>
  </si>
  <si>
    <t>dailymail-16.xml</t>
  </si>
  <si>
    <t>independent-10.xml</t>
  </si>
  <si>
    <t>standard-7.xml</t>
  </si>
  <si>
    <t>thesun-10.xml</t>
  </si>
  <si>
    <t>dailymail-10.xml</t>
  </si>
  <si>
    <t>standard-4.xml</t>
  </si>
  <si>
    <t>thesun-7.xml</t>
  </si>
  <si>
    <t>dailymail-11.xml</t>
  </si>
  <si>
    <t>dailymail-12.xml</t>
  </si>
  <si>
    <t>mirror-7.xml</t>
  </si>
  <si>
    <t>telegraph-7.xml</t>
  </si>
  <si>
    <t>bbc-4.xml</t>
  </si>
  <si>
    <t>dailymail-3.xml</t>
  </si>
  <si>
    <t>independent-3.xml</t>
  </si>
  <si>
    <t>mirror-1.xml</t>
  </si>
  <si>
    <t>nypost-1.xml</t>
  </si>
  <si>
    <t>standard-1.xml</t>
  </si>
  <si>
    <t>telegraph-2.xml</t>
  </si>
  <si>
    <t>thesun-2.xml</t>
  </si>
  <si>
    <t>usatoday-1.xml</t>
  </si>
  <si>
    <t>washingtonpost-2.xml</t>
  </si>
  <si>
    <t>bbc-9.xml</t>
  </si>
  <si>
    <t>dailymail-14.xml</t>
  </si>
  <si>
    <t>nytimes-4.xml</t>
  </si>
  <si>
    <t>theguardian-7.xml</t>
  </si>
  <si>
    <t>thesun-9.xml</t>
  </si>
  <si>
    <t>usatoday-5.xml</t>
  </si>
  <si>
    <t>washingtonpost-6.xml</t>
  </si>
  <si>
    <t>bbc-8.xml</t>
  </si>
  <si>
    <t>dailymail-13.xml</t>
  </si>
  <si>
    <t>mirror-8.xml</t>
  </si>
  <si>
    <t>telegraph-8.xml</t>
  </si>
  <si>
    <t>theguardian-6.xml</t>
  </si>
  <si>
    <t>thesun-8.xml</t>
  </si>
  <si>
    <t>usatoday-4.xml</t>
  </si>
  <si>
    <t>dailymail-5.xml</t>
  </si>
  <si>
    <t>express-3.xml</t>
  </si>
  <si>
    <t>independent-5.xml</t>
  </si>
  <si>
    <t>nypost-4.xml</t>
  </si>
  <si>
    <t>nytimes-3.xml</t>
  </si>
  <si>
    <t>telegraph-4.xml</t>
  </si>
  <si>
    <t>theguardian-4.xml</t>
  </si>
  <si>
    <t>thesun-3.xml</t>
  </si>
  <si>
    <t>washingtonpost-3.xml</t>
  </si>
  <si>
    <t>dailymail-6.xml</t>
  </si>
  <si>
    <t>independent-6.xml</t>
  </si>
  <si>
    <t>mirror-4.xml</t>
  </si>
  <si>
    <t>express-4.xml</t>
  </si>
  <si>
    <t>bbc-7.xml</t>
  </si>
  <si>
    <t>dailymail-8.xml</t>
  </si>
  <si>
    <t>express-5.xml</t>
  </si>
  <si>
    <t>independent-7.xml</t>
  </si>
  <si>
    <t>mirror-5.xml</t>
  </si>
  <si>
    <t>standard-3.xml</t>
  </si>
  <si>
    <t>telegraph-6.xml</t>
  </si>
  <si>
    <t>theguardian-5.xml</t>
  </si>
  <si>
    <t>thesun-5.xml</t>
  </si>
  <si>
    <t>usatoday-2.xml</t>
  </si>
  <si>
    <t>washingtonpost-4.xml</t>
  </si>
  <si>
    <t/>
  </si>
  <si>
    <t>2; 3</t>
  </si>
  <si>
    <t>1 ; 2</t>
  </si>
  <si>
    <t>Detroit</t>
  </si>
  <si>
    <t>nytimes-2.xml</t>
  </si>
  <si>
    <t>dailymail-9.xml</t>
  </si>
  <si>
    <t>how</t>
  </si>
  <si>
    <t>354eba118101480ab6e1813bc669f8e2</t>
  </si>
  <si>
    <t>5w</t>
  </si>
  <si>
    <t>1h</t>
  </si>
  <si>
    <t>cc865c5ce5c649e8aa931dde5abe6766</t>
  </si>
  <si>
    <t>d0f930bcc7d343da8d2636bbdec34512</t>
  </si>
  <si>
    <t>ram</t>
  </si>
  <si>
    <t>with explosives</t>
  </si>
  <si>
    <t>with a suicide car bomb</t>
  </si>
  <si>
    <t>gunfire and an explosion</t>
  </si>
  <si>
    <t>working continuously</t>
  </si>
  <si>
    <t>while harvesting</t>
  </si>
  <si>
    <t>a tram derailed</t>
  </si>
  <si>
    <t>ram car packed with explosives into wall</t>
  </si>
  <si>
    <t>rammed</t>
  </si>
  <si>
    <t>harvesting</t>
  </si>
  <si>
    <t>jumped the rails on a sharp curve</t>
  </si>
  <si>
    <t>tipped over</t>
  </si>
  <si>
    <t>failed to</t>
  </si>
  <si>
    <t>due to car problems</t>
  </si>
  <si>
    <t>narrowly</t>
  </si>
  <si>
    <t>Chicago Cubs defeat Cleveland Indians</t>
  </si>
  <si>
    <t xml:space="preserve">fans spilled from </t>
  </si>
  <si>
    <t>delay</t>
  </si>
  <si>
    <t>Fans of the iconic Toblerone bar have hit out at</t>
  </si>
  <si>
    <t>dropping a vague note</t>
  </si>
  <si>
    <t>blamed her defeat</t>
  </si>
  <si>
    <t>on the phone</t>
  </si>
  <si>
    <t>was photographed</t>
  </si>
  <si>
    <t>staged a protest outside Trump Towers</t>
  </si>
  <si>
    <t>near the scene of protests</t>
  </si>
  <si>
    <t>gunman opened fire</t>
  </si>
  <si>
    <t>car packed with explosives was rammed</t>
  </si>
  <si>
    <t>trying to reach a five-year-old boy trapped</t>
  </si>
  <si>
    <t>fell into the 12-inch-wide well</t>
  </si>
  <si>
    <t>vehicle tipped over at a bend</t>
  </si>
  <si>
    <t>derailed and overturned</t>
  </si>
  <si>
    <t>tram was going too fast</t>
  </si>
  <si>
    <t>driver of the vehicle, who was arrested afterwards, had blacked out</t>
  </si>
  <si>
    <t>identify three remaining victims in derailment tragedy</t>
  </si>
  <si>
    <t>work to fix the track where the tram derailed</t>
  </si>
  <si>
    <t>driver lost control of his Ferrari</t>
  </si>
  <si>
    <t>bid farewell to Brazilian Grand Prix</t>
  </si>
  <si>
    <t>spun and crashed into the wall</t>
  </si>
  <si>
    <t>finish third</t>
  </si>
  <si>
    <t>despite spinning his car at 180mph</t>
  </si>
  <si>
    <t>victory against the Cleveland</t>
  </si>
  <si>
    <t>obliterated</t>
  </si>
  <si>
    <t>blew a three-run lead</t>
  </si>
  <si>
    <t>space out the distinctive triangular chocolate chunks</t>
  </si>
  <si>
    <t>increased the gaps between the bar's iconic triangular peaks</t>
  </si>
  <si>
    <t>narrower triangles and a wider gap between peaks</t>
  </si>
  <si>
    <t>increased the gap between the peaks</t>
  </si>
  <si>
    <t>accused the FBI</t>
  </si>
  <si>
    <t>finished its review and found nothing</t>
  </si>
  <si>
    <t xml:space="preserve">no evidence of criminal </t>
  </si>
  <si>
    <t>in a letter</t>
  </si>
  <si>
    <t>repeated his claims</t>
  </si>
  <si>
    <t>criticised</t>
  </si>
  <si>
    <t>blames</t>
  </si>
  <si>
    <t>was at fault for her loss</t>
  </si>
  <si>
    <t>two letters to Congress</t>
  </si>
  <si>
    <t>said affected her campaign</t>
  </si>
  <si>
    <t>staged a protest</t>
  </si>
  <si>
    <t>people have been shot</t>
  </si>
  <si>
    <t>meeting</t>
  </si>
  <si>
    <t xml:space="preserve">lands in </t>
  </si>
  <si>
    <t>analysed</t>
  </si>
  <si>
    <t xml:space="preserve">rivals sit down to discuss </t>
  </si>
  <si>
    <t>tram jumped the rails</t>
  </si>
  <si>
    <t>after surviving two red flags</t>
  </si>
  <si>
    <t>defeat</t>
  </si>
  <si>
    <t>fans spilled from sports bars</t>
  </si>
  <si>
    <t>out a late</t>
  </si>
  <si>
    <t>a rain delay</t>
  </si>
  <si>
    <t>increased the space</t>
  </si>
  <si>
    <t>have hit out</t>
  </si>
  <si>
    <t>denies Brexit link</t>
  </si>
  <si>
    <t>mountain of criticism</t>
  </si>
  <si>
    <t>facing</t>
  </si>
  <si>
    <t>disregard</t>
  </si>
  <si>
    <t>blamed the FBI's decision</t>
  </si>
  <si>
    <t>staged</t>
  </si>
  <si>
    <t>after shooting</t>
  </si>
  <si>
    <t>rams a truck</t>
  </si>
  <si>
    <t>laden with explosives</t>
  </si>
  <si>
    <t>rammed into the high outer wall</t>
  </si>
  <si>
    <t>rammed his explosives-laden</t>
  </si>
  <si>
    <t>rams truck</t>
  </si>
  <si>
    <t>trapped deep down</t>
  </si>
  <si>
    <t>derails</t>
  </si>
  <si>
    <t>derails after 'speeding'</t>
  </si>
  <si>
    <t>flipped and derailed</t>
  </si>
  <si>
    <t>overturns</t>
  </si>
  <si>
    <t>a speeding tram derailed</t>
  </si>
  <si>
    <t>higher speed than is permitted</t>
  </si>
  <si>
    <t>speed</t>
  </si>
  <si>
    <t>been going too fast</t>
  </si>
  <si>
    <t>overturned</t>
  </si>
  <si>
    <t>have been named</t>
  </si>
  <si>
    <t>witnessed</t>
  </si>
  <si>
    <t>clipped</t>
  </si>
  <si>
    <t>brilliance</t>
  </si>
  <si>
    <t>chopped a groundball</t>
  </si>
  <si>
    <t>thrilling extra-inning victory</t>
  </si>
  <si>
    <t>extra innings which was delayed</t>
  </si>
  <si>
    <t>on a grounder to third</t>
  </si>
  <si>
    <t>a thrilling finale</t>
  </si>
  <si>
    <t>thrilling</t>
  </si>
  <si>
    <t>8-7 in 10 innings</t>
  </si>
  <si>
    <t>three-run lead in the eighth inning</t>
  </si>
  <si>
    <t>changes the look and weight</t>
  </si>
  <si>
    <t>Alters Shape</t>
  </si>
  <si>
    <t>have widened</t>
  </si>
  <si>
    <t>after gap between triangles is increased</t>
  </si>
  <si>
    <t>remove some triangles</t>
  </si>
  <si>
    <t>has accused</t>
  </si>
  <si>
    <t>it stood by its earlier finding</t>
  </si>
  <si>
    <t>received a major boost</t>
  </si>
  <si>
    <t>found no evidence</t>
  </si>
  <si>
    <t>batch of emails</t>
  </si>
  <si>
    <t>is resolved</t>
  </si>
  <si>
    <t>FBI announced</t>
  </si>
  <si>
    <t>review of newly discovered emails</t>
  </si>
  <si>
    <t>decision</t>
  </si>
  <si>
    <t>announced he was reopening</t>
  </si>
  <si>
    <t>decision to reopen the probe</t>
  </si>
  <si>
    <t>Blames</t>
  </si>
  <si>
    <t>who announced</t>
  </si>
  <si>
    <t>made comments</t>
  </si>
  <si>
    <t>blamed two letters</t>
  </si>
  <si>
    <t>scathing letter</t>
  </si>
  <si>
    <t>pinned the cause</t>
  </si>
  <si>
    <t>inquiry</t>
  </si>
  <si>
    <t>affected</t>
  </si>
  <si>
    <t>stages</t>
  </si>
  <si>
    <t>\"encouraged\" by their \"excellent\" and \"wide-ranging\" conversation</t>
  </si>
  <si>
    <t>awkward talks</t>
  </si>
  <si>
    <t>some tension between them</t>
  </si>
  <si>
    <t>tension</t>
  </si>
  <si>
    <t>excellent</t>
  </si>
  <si>
    <t>tension was palpable</t>
  </si>
  <si>
    <t>a great honour</t>
  </si>
  <si>
    <t>very encouraged</t>
  </si>
  <si>
    <t>hit out</t>
  </si>
  <si>
    <t>criticism</t>
  </si>
  <si>
    <t>vague note</t>
  </si>
  <si>
    <t>announcing</t>
  </si>
  <si>
    <t>near</t>
  </si>
  <si>
    <t>fire</t>
  </si>
  <si>
    <t>explosives</t>
  </si>
  <si>
    <t>fast</t>
  </si>
  <si>
    <t>high speed</t>
  </si>
  <si>
    <t>identify</t>
  </si>
  <si>
    <t xml:space="preserve">fix the track </t>
  </si>
  <si>
    <t>spuned</t>
  </si>
  <si>
    <t>spinning</t>
  </si>
  <si>
    <t>chopped</t>
  </si>
  <si>
    <t>beating</t>
  </si>
  <si>
    <t>extra-inning victory</t>
  </si>
  <si>
    <t>innings</t>
  </si>
  <si>
    <t>three-run</t>
  </si>
  <si>
    <t>space out the distinctive</t>
  </si>
  <si>
    <t>widened</t>
  </si>
  <si>
    <t xml:space="preserve">accused the FBI of impropriety </t>
  </si>
  <si>
    <t xml:space="preserve">found no </t>
  </si>
  <si>
    <t>announced</t>
  </si>
  <si>
    <t>review</t>
  </si>
  <si>
    <t>pinned</t>
  </si>
  <si>
    <t>encouraged</t>
  </si>
  <si>
    <t>1,2,3</t>
  </si>
  <si>
    <t>1,2</t>
  </si>
  <si>
    <t>when it flipped and derailed off</t>
  </si>
  <si>
    <t>ID</t>
  </si>
  <si>
    <t>51bd183bdd5c2ea99cdc5f0dfe49feb816b0185371c8f30842549c33</t>
  </si>
  <si>
    <t>921a73cf9c9293238dfb7460299647f9db62e582cee84dad8a4762e5</t>
  </si>
  <si>
    <t>http://www.dailymail.co.uk/news/article-3923808/Mystery-Chinese-boy-fell-deep-massive-rescue-operation-involving-80-diggers-chute-empty.html</t>
  </si>
  <si>
    <t>38e6814a263c875294b34f714ac3a2e5dc5cc2a9bba6163b7b1f688b</t>
  </si>
  <si>
    <t>189af426dcbdb42921a716cf136f75554e4befad28c088f3d930b6c4</t>
  </si>
  <si>
    <t>ac33d1af79e19657dc4fe6a57243f1dc84d54f2c856232e5d11618df</t>
  </si>
  <si>
    <t>6b4108b35035f8ac1aefac506edf56401810bd2aa6d7a7404ea51095</t>
  </si>
  <si>
    <t>e0ff5adbdbd19e4bb271818149bbf8e063bf8a52b8429f8af48599cd</t>
  </si>
  <si>
    <t>93a37a20d29ccaf544a7eaf0a723902f5e46942946f8ed2fa85ea313</t>
  </si>
  <si>
    <t>a5a26c3777257a08635673aab1666d18b3c01f3752a866889968f5c6</t>
  </si>
  <si>
    <t>580907b65c143b41a4f467c5836a9500b96e423a02f9698b7b1c68c4</t>
  </si>
  <si>
    <t>d0a9c4846b02c1bdf2cf6091f52061669dc04593e21aa02398f875bb</t>
  </si>
  <si>
    <t>13a20be02e984533782dc2c6cd2f468b879ce4be88127566da043b0f</t>
  </si>
  <si>
    <t>70261f2597e8f396526932da610eb2eb12a53db6da55cee7cb0260ab</t>
  </si>
  <si>
    <t>2f79eb6f3371ab81f51d7028fdc75f27d89c07183e0d1b5f4bb8139f</t>
  </si>
  <si>
    <t>e8a979de28fef3fdc3a5f6ee1c971260273dd814493fa1760d0b098c</t>
  </si>
  <si>
    <t>ffc48dad9efe19c6590a15c207bff7b3d1ec6b384c5c3f81e6eed722</t>
  </si>
  <si>
    <t>95590d7d6543d8065d6b1a3ae4e9acc06cb23af05502e65de435079e</t>
  </si>
  <si>
    <t>http://www.bbc.com/news/election-us-2016-37963965</t>
  </si>
  <si>
    <t>96fc7937fa5c0c4e621b9c8fd90a8fa9f240776540dcde1a548476a6</t>
  </si>
  <si>
    <t>8d8b3ee8d6027ae6ebb8054b5197f9e2379d8e4df14cacbfe3dfd43a</t>
  </si>
  <si>
    <t>bb685f550950e648615fd000b068ca0f91fcf164a89aa1dfa03626ad</t>
  </si>
  <si>
    <t>eff840c72c63f3ffa71643f2fe7a74cb08546ba3c24bc7b67bebf01f</t>
  </si>
  <si>
    <t>49df90c6ca2079a1417f842e5dde6bc0380cb2228736ebde0ccf396a</t>
  </si>
  <si>
    <t>761de7078d56a488e886a4efb4febc7467542f04bb0e969f28701947</t>
  </si>
  <si>
    <t>4b279c9487149d19adddf07664cfcf8e0b498bd277c225a57d6ca5f3</t>
  </si>
  <si>
    <t>d5239a8dab109c7648233e698bf1cb199c27a8fc7ef87c7dd8d1f379</t>
  </si>
  <si>
    <t>fde1ee4d648e7f616fc4d3d355edd3965231ae90a7067d72cf7b8563</t>
  </si>
  <si>
    <t>1e471fa6844bce9e88878ce164699ab88ec3dc38f166a251f071b408</t>
  </si>
  <si>
    <t>7b1f91bcb6dc19b7db1e86930b69f5e65ff5984db394440468f7fca4</t>
  </si>
  <si>
    <t>ccd46d77934967b765179aa6ff7f8e19a97c65382b0b4b81aac7f372</t>
  </si>
  <si>
    <t>2f066d10237b0b78e684f593c83797e313ba4364ec984395373c9a9c</t>
  </si>
  <si>
    <t>a2bbab834c24ce38bb74b0b5fe0cb49dcacbeb7d16fc0106710f3002</t>
  </si>
  <si>
    <t>f5f5577d9812350a1cf2cce1b35bc24ddef59e2d095ad51a90cc68b9</t>
  </si>
  <si>
    <t>5412eb378e787c5dc71ca7cc4c7f98a6185694219debc30724b2bf41</t>
  </si>
  <si>
    <t>dc32a2c6d5ca11c5e6b73e43e3a5d327b28b4ee1ef2ac9cda7c0635f</t>
  </si>
  <si>
    <t>071e141c216547f83e2b50a63a728163fa9527e337032e9eb84882d6</t>
  </si>
  <si>
    <t>56637e2204cf4ec89768a742dfa3af05ba27ea8a0864bed8d8a5f3cd</t>
  </si>
  <si>
    <t>4032070b93a333c347d1e7e94be4aacc098b1f7f18494d6a6fd3f57c</t>
  </si>
  <si>
    <t>1db7a2c99edd11f2d9ad0359061eb55a3a78bb92f7af3768c31d8722</t>
  </si>
  <si>
    <t>e38562d1610245f71913a283779c24d3ce55007e9022bc5240459e2c</t>
  </si>
  <si>
    <t>360dc38b43abfdd2ed72352b6fd7424f361cdde7ad48e2c044b32166</t>
  </si>
  <si>
    <t>08ebc52cada9093774e3ba71312def80ca3621c959d67877a6e3b228</t>
  </si>
  <si>
    <t>a41cc43a57a1e54aec1e2cf4baf4b2a36ca187b92db0a457266f7ac9</t>
  </si>
  <si>
    <t>562356984ebbe5862811c2e39e19f73b2ba58cfca66ba19475c40a56</t>
  </si>
  <si>
    <t>816cef9a1d23400bd11375b2d4116e4bed837457b38eb98ac8b9b056</t>
  </si>
  <si>
    <t>1667b720a919a4cd7904557320d4f7572f2c55bdfb26cd0bf7946a5a</t>
  </si>
  <si>
    <t>101ee22f1f9e984c1bd2bd64ad44db8452b0669178f1683eafa338c7</t>
  </si>
  <si>
    <t>1778efb0dfd0f1e933513e0f79af3c09986a40791ecd6faf2239f09c</t>
  </si>
  <si>
    <t>3819549c5ea2cdd5d32008086adb0722d690d898fb000ac4d8573904</t>
  </si>
  <si>
    <t>8439c5b07d758319b42bc274b0519829ba43fa7a98c7c5d5073fff2d</t>
  </si>
  <si>
    <t>9829d11717f4d90ae350a08c55b4fd3b39ed0af5e77cfe16b93223b3</t>
  </si>
  <si>
    <t>dcf7e591116a13b944b67bc80f8af125df537573c3f356aa457b6e7e</t>
  </si>
  <si>
    <t>cbc0951362802c54af346588618433c6b8ca6ab4de32df89ff3675e0</t>
  </si>
  <si>
    <t>aaa7a68a35731e6cbf4413db90826fc59022dc90512dd90b1ceca96e</t>
  </si>
  <si>
    <t>8c8c2d5e99ebd399c53e196eca942b11a4d9968f2584dd8382b4bf0f</t>
  </si>
  <si>
    <t>be0c5bb424590b889c8a211a7e37da85c89f2dc8b9fa680ae6919e43</t>
  </si>
  <si>
    <t>8c28a3d0e8758e8694a1454ce4421d79cbd953bd7a51e9157c83b6bd</t>
  </si>
  <si>
    <t>f4f86ac3eda8b130dabaa7173bf6fd87edc71ae115ee5335ebd47f2d</t>
  </si>
  <si>
    <t>9d498c7afe7a9e290c2e0a57af5c08de5dd16a51f8d5bf30d68f3bff</t>
  </si>
  <si>
    <t>ea04b4c06fbfab2a959b39c05022cd813f4dc9b12bd0665462224374</t>
  </si>
  <si>
    <t>481182a1b8f15b50eaae2109123ccc42f6eeef2cbf3b480b71e4375a</t>
  </si>
  <si>
    <t>918d935744901b98ec8503d35134aadee3648594aef5c5c270834455</t>
  </si>
  <si>
    <t>5ea070bd70149f8937b167b2322b73f24b6cbd829653cced842d1f0c</t>
  </si>
  <si>
    <t>ce21d3b18b0f22a3c44dab7f8e22e70692ae814e48bd5afc6c94a6f5</t>
  </si>
  <si>
    <t>0e5fa7c0e6252bfeeea5e3840c6cb503f299c19d24331c4ba60c5974</t>
  </si>
  <si>
    <t>b884aa56e1059245dca68849a2d1e7635a65f25204305ce8fd7ff985</t>
  </si>
  <si>
    <t>6397b8a9984ff5b8d7dea4a296881048c340b7bc272548a849dd4ac3</t>
  </si>
  <si>
    <t>1a372f5cb9415badb2fda3c3eb98fbca172874b7b4a0fb1fde4b1587</t>
  </si>
  <si>
    <t>4f38a182b733b32f105f00b1d3354cd4568b867b22991cf7fd89046c</t>
  </si>
  <si>
    <t>e6eaeb198f8ff125434c68fd55b98cf80629b4bf2c22a2080f1c9054</t>
  </si>
  <si>
    <t>d654fd5500ceddb91c0cd99912f37d6c351e252b4b1558a4ba6a88eb</t>
  </si>
  <si>
    <t>9f3e20f7627f0ca5c6832fae1e8ee842754f20bc4f9d3c988b5d1e03</t>
  </si>
  <si>
    <t>c984b0fb53cd3debbeed06ad8c88fe69899433470ae8b01c2f3710d9</t>
  </si>
  <si>
    <t>81583daefbe90573aa7a40fc8f2b056c3b02bca9de9844b2ab232b97</t>
  </si>
  <si>
    <t>e70be9ce7c3c1d545d55520a98ba13ef9cc3f60bc19e9700892e99d5</t>
  </si>
  <si>
    <t>a899c6d207072682c7555fb1f01bac16fe28483765d077111df55969</t>
  </si>
  <si>
    <t>83c0cf4e59d1b03e8ce0b8a0c5ad37a8e4e183cb950de461db3391b6</t>
  </si>
  <si>
    <t>f326929913960e17a3afe71085002a532beaca6d68c0770372a1832d</t>
  </si>
  <si>
    <t>402f560789b2242775a7bed9d125c7980cc2f143e258a17056497521</t>
  </si>
  <si>
    <t>8812ee196c646231a28a742f956502469f892ac7682bf9b4fa6686c4</t>
  </si>
  <si>
    <t>https://www.thesun.co.uk/news/2168742/hillary-clinton-aide-blames-us-presidential-loss-to-donald-trump-on-fbi-chief-because-he-cleared-her-of-wrongdoing-over-weiner-emails/</t>
  </si>
  <si>
    <t>1b1109edc9ba100f298d988c0558243e34a5921a855408bb1f4dfedd</t>
  </si>
  <si>
    <t>8aef45f8abd401a0bb4000463978dccc9f0cf8c0bbbe00cad2c88465</t>
  </si>
  <si>
    <t>f06365a9edb398011911043e646557cc1beaadc3f1c744151bf795a9</t>
  </si>
  <si>
    <t>883e31031f9266f4e6a62aceb8807e8fd447306d20850d9f417238cb</t>
  </si>
  <si>
    <t>dccb7b8de2a86a406c6a42ad1aab22701680c111206a66c6a64ee036</t>
  </si>
  <si>
    <t>e1e4eaed9a50cb09878bd2740ae8aefcfdd3e9dfd485b197619f8716</t>
  </si>
  <si>
    <t>b1c14ee2e6dbb2eb6b70d916cc54e19d9286c2c8646f81972ab655f4</t>
  </si>
  <si>
    <t>1e582ad25294607005ccb6d7abe2806c90b39eec91baeb1082072c81</t>
  </si>
  <si>
    <t>7fbb50905e081bf1054c7b198e1ea965a38cf318ce971bb989bfe369</t>
  </si>
  <si>
    <t>58316513017cff90c5cf66daade95beced3919684ef93b4206278c82</t>
  </si>
  <si>
    <t>36ed35f8c78eda121afe93cbe867946d07b7e59278d2a125a23ec1bd</t>
  </si>
  <si>
    <t>3fe966703f853572a0f17ef5af3a3fef8a96974b615ea60cfed77ff1</t>
  </si>
  <si>
    <t>97da54fcf8b32ec38ce6b48b05ecb3a959319da47f3e934f35657546</t>
  </si>
  <si>
    <t>09d729c0013e096cf6ed1b13e52c9d3afd2538333cd74e1d42ab66fb</t>
  </si>
  <si>
    <t>6bbfe02d07023f3952efb7f1061ea0259694c9e44285d16a07fbb206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</si>
</sst>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sz val="11"/>
      <color rgb="FFFF0000"/>
      <name val="Calibri"/>
      <family val="2"/>
      <scheme val="minor"/>
    </font>
    <font>
      <sz val="11"/>
      <name val="Calibri"/>
      <family val="2"/>
      <scheme val="minor"/>
    </font>
    <font>
      <sz val="11"/>
      <color rgb="FFFFC000"/>
      <name val="Calibri"/>
      <family val="2"/>
      <scheme val="minor"/>
    </font>
    <font>
      <u/>
      <sz val="11"/>
      <color theme="10"/>
      <name val="Calibri"/>
      <family val="2"/>
      <scheme val="minor"/>
    </font>
    <font>
      <u/>
      <sz val="11"/>
      <color theme="11"/>
      <name val="Calibri"/>
      <family val="2"/>
      <scheme val="minor"/>
    </font>
    <font>
      <sz val="11"/>
      <color rgb="FF000000"/>
      <name val="Calibri"/>
      <family val="2"/>
      <scheme val="minor"/>
    </font>
  </fonts>
  <fills count="9">
    <fill>
      <patternFill patternType="none"/>
    </fill>
    <fill>
      <patternFill patternType="gray125"/>
    </fill>
    <fill>
      <patternFill patternType="solid">
        <fgColor theme="0" tint="-0.249977111117893"/>
        <bgColor indexed="64"/>
      </patternFill>
    </fill>
    <fill>
      <patternFill patternType="solid">
        <fgColor theme="2"/>
        <bgColor indexed="64"/>
      </patternFill>
    </fill>
    <fill>
      <patternFill patternType="solid">
        <fgColor theme="2" tint="-9.9978637043366805E-2"/>
        <bgColor indexed="64"/>
      </patternFill>
    </fill>
    <fill>
      <patternFill patternType="solid">
        <fgColor theme="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92D050"/>
        <bgColor indexed="64"/>
      </patternFill>
    </fill>
  </fills>
  <borders count="25">
    <border>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top style="thin">
        <color auto="1"/>
      </top>
      <bottom style="thin">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medium">
        <color auto="1"/>
      </left>
      <right style="medium">
        <color auto="1"/>
      </right>
      <top/>
      <bottom style="thin">
        <color auto="1"/>
      </bottom>
      <diagonal/>
    </border>
    <border>
      <left style="thin">
        <color auto="1"/>
      </left>
      <right style="thin">
        <color auto="1"/>
      </right>
      <top style="thin">
        <color auto="1"/>
      </top>
      <bottom style="thin">
        <color auto="1"/>
      </bottom>
      <diagonal/>
    </border>
  </borders>
  <cellStyleXfs count="17">
    <xf numFmtId="0" fontId="0" fillId="0" borderId="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cellStyleXfs>
  <cellXfs count="83">
    <xf numFmtId="0" fontId="0" fillId="0" borderId="0" xfId="0"/>
    <xf numFmtId="0" fontId="0" fillId="2" borderId="1" xfId="0" applyFill="1" applyBorder="1" applyAlignment="1">
      <alignment horizontal="center"/>
    </xf>
    <xf numFmtId="0" fontId="0" fillId="0" borderId="4" xfId="0" applyBorder="1"/>
    <xf numFmtId="0" fontId="0" fillId="0" borderId="6" xfId="0" applyBorder="1"/>
    <xf numFmtId="0" fontId="0" fillId="0" borderId="1" xfId="0" applyBorder="1"/>
    <xf numFmtId="10" fontId="0" fillId="0" borderId="0" xfId="0" applyNumberFormat="1"/>
    <xf numFmtId="10" fontId="0" fillId="3" borderId="10" xfId="0" applyNumberFormat="1" applyFill="1" applyBorder="1"/>
    <xf numFmtId="10" fontId="0" fillId="4" borderId="10" xfId="0" applyNumberFormat="1" applyFill="1" applyBorder="1"/>
    <xf numFmtId="0" fontId="0" fillId="5" borderId="4" xfId="0" applyFill="1" applyBorder="1"/>
    <xf numFmtId="0" fontId="0" fillId="5" borderId="0" xfId="0" applyFill="1"/>
    <xf numFmtId="0" fontId="0" fillId="6" borderId="0" xfId="0" applyFill="1"/>
    <xf numFmtId="10" fontId="0" fillId="6" borderId="17" xfId="0" applyNumberFormat="1" applyFill="1" applyBorder="1"/>
    <xf numFmtId="0" fontId="0" fillId="6" borderId="18" xfId="0" applyFill="1" applyBorder="1"/>
    <xf numFmtId="0" fontId="0" fillId="6" borderId="15" xfId="0" applyFill="1" applyBorder="1"/>
    <xf numFmtId="0" fontId="0" fillId="0" borderId="0" xfId="0" applyFill="1"/>
    <xf numFmtId="10" fontId="0" fillId="6" borderId="21" xfId="0" applyNumberFormat="1" applyFill="1" applyBorder="1"/>
    <xf numFmtId="10" fontId="0" fillId="6" borderId="22" xfId="0" applyNumberFormat="1" applyFill="1" applyBorder="1"/>
    <xf numFmtId="10" fontId="0" fillId="6" borderId="13" xfId="0" applyNumberFormat="1" applyFill="1" applyBorder="1" applyAlignment="1">
      <alignment horizontal="center"/>
    </xf>
    <xf numFmtId="10" fontId="0" fillId="6" borderId="14" xfId="0" applyNumberFormat="1" applyFill="1" applyBorder="1" applyAlignment="1">
      <alignment horizontal="center"/>
    </xf>
    <xf numFmtId="10" fontId="0" fillId="6" borderId="20" xfId="0" applyNumberFormat="1" applyFill="1" applyBorder="1" applyAlignment="1">
      <alignment horizontal="center"/>
    </xf>
    <xf numFmtId="0" fontId="0" fillId="5" borderId="0" xfId="0" applyFill="1" applyBorder="1"/>
    <xf numFmtId="0" fontId="0" fillId="5" borderId="23" xfId="0" applyFill="1" applyBorder="1"/>
    <xf numFmtId="0" fontId="0" fillId="7" borderId="0" xfId="0" applyFill="1"/>
    <xf numFmtId="10" fontId="2" fillId="3" borderId="10" xfId="0" applyNumberFormat="1" applyFont="1" applyFill="1" applyBorder="1"/>
    <xf numFmtId="49" fontId="0" fillId="6" borderId="19" xfId="0" applyNumberFormat="1" applyFill="1" applyBorder="1"/>
    <xf numFmtId="49" fontId="0" fillId="6" borderId="20" xfId="0" applyNumberFormat="1" applyFill="1" applyBorder="1"/>
    <xf numFmtId="49" fontId="0" fillId="6" borderId="16" xfId="0" applyNumberFormat="1" applyFill="1" applyBorder="1"/>
    <xf numFmtId="49" fontId="0" fillId="6" borderId="17" xfId="0" applyNumberFormat="1" applyFill="1" applyBorder="1"/>
    <xf numFmtId="49" fontId="0" fillId="0" borderId="0" xfId="0" applyNumberFormat="1"/>
    <xf numFmtId="49" fontId="0" fillId="2" borderId="2" xfId="0" applyNumberFormat="1" applyFill="1" applyBorder="1"/>
    <xf numFmtId="49" fontId="0" fillId="2" borderId="9" xfId="0" applyNumberFormat="1" applyFill="1" applyBorder="1"/>
    <xf numFmtId="49" fontId="0" fillId="2" borderId="3" xfId="0" applyNumberFormat="1" applyFill="1" applyBorder="1"/>
    <xf numFmtId="49" fontId="0" fillId="2" borderId="12" xfId="0" applyNumberFormat="1" applyFill="1" applyBorder="1"/>
    <xf numFmtId="49" fontId="0" fillId="0" borderId="2" xfId="0" applyNumberFormat="1" applyBorder="1"/>
    <xf numFmtId="49" fontId="0" fillId="0" borderId="9" xfId="0" applyNumberFormat="1" applyBorder="1"/>
    <xf numFmtId="49" fontId="0" fillId="0" borderId="3" xfId="0" applyNumberFormat="1" applyBorder="1"/>
    <xf numFmtId="49" fontId="0" fillId="0" borderId="4" xfId="0" applyNumberFormat="1" applyBorder="1"/>
    <xf numFmtId="49" fontId="0" fillId="0" borderId="0" xfId="0" applyNumberFormat="1" applyBorder="1"/>
    <xf numFmtId="49" fontId="0" fillId="0" borderId="10" xfId="0" applyNumberFormat="1" applyBorder="1"/>
    <xf numFmtId="49" fontId="0" fillId="0" borderId="5" xfId="0" applyNumberFormat="1" applyBorder="1"/>
    <xf numFmtId="49" fontId="0" fillId="0" borderId="7" xfId="0" applyNumberFormat="1" applyBorder="1"/>
    <xf numFmtId="49" fontId="0" fillId="0" borderId="11" xfId="0" applyNumberFormat="1" applyBorder="1"/>
    <xf numFmtId="49" fontId="0" fillId="0" borderId="8" xfId="0" applyNumberFormat="1" applyBorder="1"/>
    <xf numFmtId="49" fontId="0" fillId="0" borderId="6" xfId="0" applyNumberFormat="1" applyBorder="1"/>
    <xf numFmtId="49" fontId="0" fillId="0" borderId="0" xfId="0" applyNumberFormat="1" applyFill="1" applyBorder="1"/>
    <xf numFmtId="49" fontId="0" fillId="0" borderId="5" xfId="0" applyNumberFormat="1" applyFont="1" applyFill="1" applyBorder="1"/>
    <xf numFmtId="49" fontId="0" fillId="0" borderId="8" xfId="0" applyNumberFormat="1" applyFont="1" applyFill="1" applyBorder="1"/>
    <xf numFmtId="49" fontId="0" fillId="0" borderId="1" xfId="0" applyNumberFormat="1" applyBorder="1"/>
    <xf numFmtId="49" fontId="0" fillId="0" borderId="5" xfId="0" applyNumberFormat="1" applyFill="1" applyBorder="1"/>
    <xf numFmtId="49" fontId="0" fillId="2" borderId="24" xfId="0" applyNumberFormat="1" applyFill="1" applyBorder="1"/>
    <xf numFmtId="49" fontId="2" fillId="0" borderId="0" xfId="0" applyNumberFormat="1" applyFont="1" applyBorder="1"/>
    <xf numFmtId="49" fontId="1" fillId="0" borderId="0" xfId="0" applyNumberFormat="1" applyFont="1" applyBorder="1"/>
    <xf numFmtId="49" fontId="3" fillId="0" borderId="0" xfId="0" applyNumberFormat="1" applyFont="1" applyBorder="1"/>
    <xf numFmtId="49" fontId="2" fillId="0" borderId="5" xfId="0" applyNumberFormat="1" applyFont="1" applyBorder="1"/>
    <xf numFmtId="49" fontId="1" fillId="0" borderId="3" xfId="0" applyNumberFormat="1" applyFont="1" applyBorder="1"/>
    <xf numFmtId="49" fontId="2" fillId="0" borderId="2" xfId="0" applyNumberFormat="1" applyFont="1" applyBorder="1"/>
    <xf numFmtId="49" fontId="0" fillId="0" borderId="11" xfId="0" applyNumberFormat="1" applyFill="1" applyBorder="1"/>
    <xf numFmtId="49" fontId="0" fillId="0" borderId="2" xfId="0" applyNumberFormat="1" applyFont="1" applyBorder="1"/>
    <xf numFmtId="1" fontId="0" fillId="6" borderId="16" xfId="0" applyNumberFormat="1" applyFill="1" applyBorder="1" applyAlignment="1">
      <alignment horizontal="center"/>
    </xf>
    <xf numFmtId="1" fontId="0" fillId="0" borderId="0" xfId="0" applyNumberFormat="1"/>
    <xf numFmtId="1" fontId="0" fillId="2" borderId="9" xfId="0" applyNumberFormat="1" applyFill="1" applyBorder="1"/>
    <xf numFmtId="1" fontId="0" fillId="0" borderId="9" xfId="0" applyNumberFormat="1" applyBorder="1"/>
    <xf numFmtId="1" fontId="0" fillId="0" borderId="10" xfId="0" applyNumberFormat="1" applyBorder="1"/>
    <xf numFmtId="1" fontId="0" fillId="0" borderId="11" xfId="0" applyNumberFormat="1" applyBorder="1"/>
    <xf numFmtId="1" fontId="0" fillId="6" borderId="19" xfId="0" applyNumberFormat="1" applyFill="1" applyBorder="1" applyAlignment="1">
      <alignment horizontal="center"/>
    </xf>
    <xf numFmtId="1" fontId="0" fillId="0" borderId="0" xfId="0" applyNumberFormat="1" applyAlignment="1">
      <alignment horizontal="center"/>
    </xf>
    <xf numFmtId="1" fontId="0" fillId="2" borderId="9" xfId="0" applyNumberFormat="1" applyFill="1" applyBorder="1" applyAlignment="1">
      <alignment horizontal="center"/>
    </xf>
    <xf numFmtId="1" fontId="0" fillId="0" borderId="9" xfId="0" applyNumberFormat="1" applyBorder="1" applyAlignment="1">
      <alignment horizontal="center"/>
    </xf>
    <xf numFmtId="1" fontId="0" fillId="0" borderId="10" xfId="0" applyNumberFormat="1" applyBorder="1" applyAlignment="1">
      <alignment horizontal="center"/>
    </xf>
    <xf numFmtId="1" fontId="0" fillId="0" borderId="11" xfId="0" applyNumberFormat="1" applyBorder="1" applyAlignment="1">
      <alignment horizontal="center"/>
    </xf>
    <xf numFmtId="1" fontId="0" fillId="6" borderId="9" xfId="0" applyNumberFormat="1" applyFill="1" applyBorder="1" applyAlignment="1">
      <alignment horizontal="center"/>
    </xf>
    <xf numFmtId="1" fontId="0" fillId="6" borderId="10" xfId="0" applyNumberFormat="1" applyFill="1" applyBorder="1" applyAlignment="1">
      <alignment horizontal="center"/>
    </xf>
    <xf numFmtId="1" fontId="0" fillId="6" borderId="11" xfId="0" applyNumberFormat="1" applyFill="1" applyBorder="1" applyAlignment="1">
      <alignment horizontal="center"/>
    </xf>
    <xf numFmtId="1" fontId="0" fillId="6" borderId="9" xfId="0" applyNumberFormat="1" applyFill="1" applyBorder="1"/>
    <xf numFmtId="1" fontId="0" fillId="6" borderId="10" xfId="0" applyNumberFormat="1" applyFill="1" applyBorder="1"/>
    <xf numFmtId="1" fontId="0" fillId="6" borderId="11" xfId="0" applyNumberFormat="1" applyFill="1" applyBorder="1"/>
    <xf numFmtId="1" fontId="0" fillId="2" borderId="3" xfId="0" applyNumberFormat="1" applyFill="1" applyBorder="1" applyAlignment="1">
      <alignment horizontal="center"/>
    </xf>
    <xf numFmtId="49" fontId="0" fillId="0" borderId="3" xfId="0" applyNumberFormat="1" applyFont="1" applyBorder="1"/>
    <xf numFmtId="1" fontId="0" fillId="6" borderId="20" xfId="0" applyNumberFormat="1" applyFill="1" applyBorder="1"/>
    <xf numFmtId="1" fontId="0" fillId="6" borderId="17" xfId="0" applyNumberFormat="1" applyFill="1" applyBorder="1" applyAlignment="1">
      <alignment horizontal="center"/>
    </xf>
    <xf numFmtId="9" fontId="0" fillId="6" borderId="16" xfId="0" applyNumberFormat="1" applyFill="1" applyBorder="1" applyAlignment="1">
      <alignment horizontal="center"/>
    </xf>
    <xf numFmtId="0" fontId="0" fillId="8" borderId="1" xfId="0" applyFill="1" applyBorder="1" applyAlignment="1">
      <alignment horizontal="center"/>
    </xf>
    <xf numFmtId="49" fontId="6" fillId="0" borderId="0" xfId="0" applyNumberFormat="1" applyFont="1"/>
  </cellXfs>
  <cellStyles count="17">
    <cellStyle name="Besuchter Hyperlink" xfId="2" builtinId="9" hidden="1"/>
    <cellStyle name="Besuchter Hyperlink" xfId="4" builtinId="9" hidden="1"/>
    <cellStyle name="Besuchter Hyperlink" xfId="6" builtinId="9" hidden="1"/>
    <cellStyle name="Besuchter Hyperlink" xfId="8" builtinId="9" hidden="1"/>
    <cellStyle name="Besuchter Hyperlink" xfId="10" builtinId="9" hidden="1"/>
    <cellStyle name="Besuchter Hyperlink" xfId="12" builtinId="9" hidden="1"/>
    <cellStyle name="Besuchter Hyperlink" xfId="14" builtinId="9" hidden="1"/>
    <cellStyle name="Besuchter Hyperlink" xfId="16" builtinId="9" hidden="1"/>
    <cellStyle name="Link" xfId="1" builtinId="8" hidden="1"/>
    <cellStyle name="Link" xfId="3" builtinId="8" hidden="1"/>
    <cellStyle name="Link" xfId="5" builtinId="8" hidden="1"/>
    <cellStyle name="Link" xfId="7" builtinId="8" hidden="1"/>
    <cellStyle name="Link" xfId="9" builtinId="8" hidden="1"/>
    <cellStyle name="Link" xfId="11" builtinId="8" hidden="1"/>
    <cellStyle name="Link" xfId="13" builtinId="8" hidden="1"/>
    <cellStyle name="Link" xfId="15" builtinId="8" hidden="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Q2002"/>
  <sheetViews>
    <sheetView topLeftCell="D1" workbookViewId="0">
      <selection activeCell="Q40" sqref="Q40"/>
    </sheetView>
  </sheetViews>
  <sheetFormatPr baseColWidth="10" defaultColWidth="9.140625" defaultRowHeight="15" x14ac:dyDescent="0.25"/>
  <cols>
    <col min="2" max="2" width="47.28515625" style="28" customWidth="1"/>
    <col min="3" max="3" width="5.85546875" style="28" customWidth="1"/>
    <col min="4" max="4" width="47.28515625" style="28" customWidth="1"/>
    <col min="5" max="5" width="5.85546875" style="28" customWidth="1"/>
    <col min="6" max="6" width="47.28515625" style="28" customWidth="1"/>
    <col min="7" max="7" width="5.85546875" style="28" customWidth="1"/>
    <col min="8" max="8" width="5.85546875" style="9" customWidth="1"/>
    <col min="9" max="9" width="9.28515625" style="7" bestFit="1" customWidth="1"/>
    <col min="10" max="10" width="10.28515625" style="6" bestFit="1" customWidth="1"/>
    <col min="11" max="11" width="10.140625" style="7" bestFit="1" customWidth="1"/>
    <col min="12" max="12" width="9.140625" style="6"/>
    <col min="13" max="14" width="9.140625" style="7"/>
  </cols>
  <sheetData>
    <row r="1" spans="1:17" s="10" customFormat="1" x14ac:dyDescent="0.25">
      <c r="A1" s="12"/>
      <c r="B1" s="24"/>
      <c r="C1" s="24"/>
      <c r="D1" s="24"/>
      <c r="E1" s="24"/>
      <c r="F1" s="24"/>
      <c r="G1" s="25"/>
      <c r="H1" s="14"/>
      <c r="I1" s="17" t="s">
        <v>6</v>
      </c>
      <c r="J1" s="18" t="s">
        <v>5</v>
      </c>
      <c r="K1" s="18" t="s">
        <v>7</v>
      </c>
      <c r="L1" s="18" t="s">
        <v>8</v>
      </c>
      <c r="M1" s="19" t="s">
        <v>9</v>
      </c>
      <c r="N1" s="19" t="s">
        <v>1224</v>
      </c>
    </row>
    <row r="2" spans="1:17" s="10" customFormat="1" ht="15.75" thickBot="1" x14ac:dyDescent="0.3">
      <c r="A2" s="13" t="s">
        <v>1226</v>
      </c>
      <c r="B2" s="26" t="s">
        <v>0</v>
      </c>
      <c r="C2" s="26"/>
      <c r="D2" s="26" t="s">
        <v>1</v>
      </c>
      <c r="E2" s="26"/>
      <c r="F2" s="26" t="s">
        <v>2</v>
      </c>
      <c r="G2" s="27"/>
      <c r="H2" s="21"/>
      <c r="I2" s="15">
        <f t="shared" ref="I2:N2" si="0">AvgIntervalRows(I4:I10300,17,2)</f>
        <v>1</v>
      </c>
      <c r="J2" s="16">
        <f t="shared" si="0"/>
        <v>1</v>
      </c>
      <c r="K2" s="16">
        <f t="shared" si="0"/>
        <v>1</v>
      </c>
      <c r="L2" s="16">
        <f t="shared" si="0"/>
        <v>1</v>
      </c>
      <c r="M2" s="11">
        <f t="shared" si="0"/>
        <v>1</v>
      </c>
      <c r="N2" s="11">
        <f t="shared" si="0"/>
        <v>1</v>
      </c>
    </row>
    <row r="3" spans="1:17" x14ac:dyDescent="0.25">
      <c r="A3" t="s">
        <v>1227</v>
      </c>
      <c r="B3" s="28" t="s">
        <v>1225</v>
      </c>
      <c r="D3" s="28" t="s">
        <v>1228</v>
      </c>
      <c r="F3" s="28" t="s">
        <v>1229</v>
      </c>
      <c r="H3" s="20"/>
    </row>
    <row r="4" spans="1:17" x14ac:dyDescent="0.25">
      <c r="A4" s="1">
        <v>1</v>
      </c>
      <c r="B4" s="29" t="s">
        <v>1118</v>
      </c>
      <c r="C4" s="30"/>
      <c r="D4" s="29" t="s">
        <v>1218</v>
      </c>
      <c r="E4" s="30"/>
      <c r="F4" s="31" t="s">
        <v>1218</v>
      </c>
      <c r="G4" s="32"/>
      <c r="H4" s="8"/>
    </row>
    <row r="5" spans="1:17" x14ac:dyDescent="0.25">
      <c r="A5" s="4" t="s">
        <v>6</v>
      </c>
      <c r="B5" s="33" t="s">
        <v>3</v>
      </c>
      <c r="C5" s="34">
        <v>1</v>
      </c>
      <c r="D5" s="33" t="s">
        <v>64</v>
      </c>
      <c r="E5" s="34">
        <v>1</v>
      </c>
      <c r="F5" s="35" t="s">
        <v>113</v>
      </c>
      <c r="G5" s="36">
        <v>2</v>
      </c>
      <c r="H5" s="8"/>
      <c r="I5" s="7">
        <v>1</v>
      </c>
      <c r="J5" s="6">
        <v>1</v>
      </c>
      <c r="K5" s="7">
        <v>1</v>
      </c>
      <c r="L5" s="6">
        <v>1</v>
      </c>
      <c r="M5" s="7">
        <v>1</v>
      </c>
      <c r="N5" s="7">
        <v>1</v>
      </c>
    </row>
    <row r="6" spans="1:17" x14ac:dyDescent="0.25">
      <c r="A6" s="2"/>
      <c r="B6" s="37"/>
      <c r="C6" s="38"/>
      <c r="D6" s="37" t="s">
        <v>65</v>
      </c>
      <c r="E6" s="38">
        <v>2</v>
      </c>
      <c r="F6" s="39" t="s">
        <v>114</v>
      </c>
      <c r="G6" s="36">
        <v>1</v>
      </c>
      <c r="H6" s="8"/>
      <c r="P6" t="s">
        <v>150</v>
      </c>
      <c r="Q6">
        <v>10</v>
      </c>
    </row>
    <row r="7" spans="1:17" x14ac:dyDescent="0.25">
      <c r="A7" s="3"/>
      <c r="B7" s="40"/>
      <c r="C7" s="41"/>
      <c r="D7" s="40" t="s">
        <v>66</v>
      </c>
      <c r="E7" s="41">
        <v>3</v>
      </c>
      <c r="F7" s="42" t="s">
        <v>115</v>
      </c>
      <c r="G7" s="43">
        <v>3</v>
      </c>
      <c r="H7" s="8"/>
      <c r="P7" t="s">
        <v>6</v>
      </c>
      <c r="Q7" s="5">
        <f>AvgIntervalRows(I:I,17,2)</f>
        <v>1</v>
      </c>
    </row>
    <row r="8" spans="1:17" x14ac:dyDescent="0.25">
      <c r="A8" s="4" t="s">
        <v>5</v>
      </c>
      <c r="B8" s="33" t="s">
        <v>4</v>
      </c>
      <c r="C8" s="34">
        <v>1</v>
      </c>
      <c r="D8" s="33" t="s">
        <v>4</v>
      </c>
      <c r="E8" s="34">
        <v>1</v>
      </c>
      <c r="F8" s="35" t="s">
        <v>116</v>
      </c>
      <c r="G8" s="36">
        <v>1</v>
      </c>
      <c r="H8" s="8"/>
      <c r="P8" t="s">
        <v>5</v>
      </c>
      <c r="Q8" s="5">
        <f>AvgIntervalRows(J:J,17,2)</f>
        <v>1</v>
      </c>
    </row>
    <row r="9" spans="1:17" x14ac:dyDescent="0.25">
      <c r="A9" s="2"/>
      <c r="B9" s="37"/>
      <c r="C9" s="38"/>
      <c r="D9" s="37"/>
      <c r="E9" s="38"/>
      <c r="F9" s="39"/>
      <c r="G9" s="36"/>
      <c r="H9" s="8"/>
      <c r="P9" t="s">
        <v>7</v>
      </c>
      <c r="Q9" s="5">
        <f>AvgIntervalRows(K:K,17,2)</f>
        <v>1</v>
      </c>
    </row>
    <row r="10" spans="1:17" x14ac:dyDescent="0.25">
      <c r="A10" s="3"/>
      <c r="B10" s="40"/>
      <c r="C10" s="41"/>
      <c r="D10" s="40"/>
      <c r="E10" s="41"/>
      <c r="F10" s="42"/>
      <c r="G10" s="43"/>
      <c r="H10" s="8"/>
      <c r="P10" t="s">
        <v>8</v>
      </c>
      <c r="Q10" s="5">
        <f>AvgIntervalRows(L:L,17,2)</f>
        <v>1</v>
      </c>
    </row>
    <row r="11" spans="1:17" x14ac:dyDescent="0.25">
      <c r="A11" s="4" t="s">
        <v>7</v>
      </c>
      <c r="B11" s="33" t="s">
        <v>10</v>
      </c>
      <c r="C11" s="34">
        <v>1</v>
      </c>
      <c r="D11" s="33" t="s">
        <v>67</v>
      </c>
      <c r="E11" s="34" t="s">
        <v>1072</v>
      </c>
      <c r="F11" s="35" t="s">
        <v>67</v>
      </c>
      <c r="G11" s="36" t="s">
        <v>1072</v>
      </c>
      <c r="H11" s="8"/>
      <c r="P11" t="s">
        <v>9</v>
      </c>
      <c r="Q11" s="5">
        <f>AvgIntervalRows(M:M,17,2)</f>
        <v>1</v>
      </c>
    </row>
    <row r="12" spans="1:17" x14ac:dyDescent="0.25">
      <c r="A12" s="2"/>
      <c r="B12" s="37" t="s">
        <v>11</v>
      </c>
      <c r="C12" s="38" t="s">
        <v>1072</v>
      </c>
      <c r="D12" s="37"/>
      <c r="E12" s="38"/>
      <c r="F12" s="39" t="s">
        <v>117</v>
      </c>
      <c r="G12" s="36">
        <v>1</v>
      </c>
      <c r="H12" s="8"/>
      <c r="P12">
        <f>AvgIntervalRows(I:I,17,2)</f>
        <v>1</v>
      </c>
    </row>
    <row r="13" spans="1:17" x14ac:dyDescent="0.25">
      <c r="A13" s="3"/>
      <c r="B13" s="40"/>
      <c r="C13" s="41"/>
      <c r="D13" s="40"/>
      <c r="E13" s="41"/>
      <c r="F13" s="42"/>
      <c r="G13" s="43"/>
      <c r="H13" s="8"/>
      <c r="P13" t="e">
        <f ca="1">test(I:I,1,4)</f>
        <v>#NAME?</v>
      </c>
    </row>
    <row r="14" spans="1:17" x14ac:dyDescent="0.25">
      <c r="A14" s="4" t="s">
        <v>8</v>
      </c>
      <c r="B14" s="33" t="s">
        <v>12</v>
      </c>
      <c r="C14" s="34">
        <v>1</v>
      </c>
      <c r="D14" s="33" t="s">
        <v>68</v>
      </c>
      <c r="E14" s="34">
        <v>3</v>
      </c>
      <c r="F14" s="35" t="s">
        <v>68</v>
      </c>
      <c r="G14" s="36">
        <v>3</v>
      </c>
      <c r="H14" s="8"/>
    </row>
    <row r="15" spans="1:17" x14ac:dyDescent="0.25">
      <c r="A15" s="2"/>
      <c r="B15" s="37" t="s">
        <v>13</v>
      </c>
      <c r="C15" s="38">
        <v>2</v>
      </c>
      <c r="D15" s="37" t="s">
        <v>17</v>
      </c>
      <c r="E15" s="38">
        <v>1</v>
      </c>
      <c r="F15" s="39" t="s">
        <v>17</v>
      </c>
      <c r="G15" s="36">
        <v>1</v>
      </c>
      <c r="H15" s="8"/>
    </row>
    <row r="16" spans="1:17" x14ac:dyDescent="0.25">
      <c r="A16" s="3"/>
      <c r="B16" s="40"/>
      <c r="C16" s="41"/>
      <c r="D16" s="40" t="s">
        <v>69</v>
      </c>
      <c r="E16" s="41">
        <v>4</v>
      </c>
      <c r="F16" s="42"/>
      <c r="G16" s="43"/>
      <c r="H16" s="8"/>
    </row>
    <row r="17" spans="1:17" x14ac:dyDescent="0.25">
      <c r="A17" s="2" t="s">
        <v>9</v>
      </c>
      <c r="B17" s="37" t="s">
        <v>14</v>
      </c>
      <c r="C17" s="38">
        <v>1</v>
      </c>
      <c r="D17" s="37" t="s">
        <v>70</v>
      </c>
      <c r="E17" s="38">
        <v>2</v>
      </c>
      <c r="F17" s="39" t="s">
        <v>70</v>
      </c>
      <c r="G17" s="36">
        <v>2</v>
      </c>
      <c r="H17" s="8"/>
    </row>
    <row r="18" spans="1:17" x14ac:dyDescent="0.25">
      <c r="A18" s="2"/>
      <c r="B18" s="44" t="s">
        <v>149</v>
      </c>
      <c r="C18" s="38" t="s">
        <v>1072</v>
      </c>
      <c r="D18" s="37"/>
      <c r="E18" s="38"/>
      <c r="F18" s="39"/>
      <c r="G18" s="36"/>
      <c r="H18" s="8"/>
      <c r="Q18" s="5">
        <f>SUM(I:I)/25</f>
        <v>3.48</v>
      </c>
    </row>
    <row r="19" spans="1:17" x14ac:dyDescent="0.25">
      <c r="A19" s="3"/>
      <c r="B19" s="40"/>
      <c r="C19" s="41"/>
      <c r="D19" s="40"/>
      <c r="E19" s="41"/>
      <c r="F19" s="42"/>
      <c r="G19" s="43"/>
      <c r="H19" s="8"/>
      <c r="Q19" s="5">
        <f>SUM(J:J)/25</f>
        <v>3.399999999999999</v>
      </c>
    </row>
    <row r="20" spans="1:17" x14ac:dyDescent="0.25">
      <c r="A20" s="2" t="s">
        <v>1224</v>
      </c>
      <c r="B20" s="37" t="s">
        <v>1230</v>
      </c>
      <c r="C20" s="38" t="s">
        <v>1074</v>
      </c>
      <c r="D20" s="39" t="s">
        <v>320</v>
      </c>
      <c r="E20" s="38" t="s">
        <v>1072</v>
      </c>
      <c r="F20" s="39" t="s">
        <v>1237</v>
      </c>
      <c r="G20" s="36" t="s">
        <v>1074</v>
      </c>
      <c r="H20" s="8"/>
      <c r="Q20" s="5">
        <f>SUM(K:K)/25</f>
        <v>3.4666666666666668</v>
      </c>
    </row>
    <row r="21" spans="1:17" x14ac:dyDescent="0.25">
      <c r="A21" s="2"/>
      <c r="B21" s="44" t="s">
        <v>1231</v>
      </c>
      <c r="C21" s="38" t="s">
        <v>1073</v>
      </c>
      <c r="D21" s="37" t="s">
        <v>1238</v>
      </c>
      <c r="E21" s="38" t="s">
        <v>1074</v>
      </c>
      <c r="F21" s="39" t="s">
        <v>320</v>
      </c>
      <c r="G21" s="36" t="s">
        <v>1072</v>
      </c>
      <c r="H21" s="8"/>
      <c r="Q21" s="5">
        <f>SUM(L:L)/25</f>
        <v>3.6399999999999992</v>
      </c>
    </row>
    <row r="22" spans="1:17" x14ac:dyDescent="0.25">
      <c r="A22" s="3"/>
      <c r="B22" s="40"/>
      <c r="C22" s="41"/>
      <c r="D22" s="40"/>
      <c r="E22" s="41"/>
      <c r="F22" s="42"/>
      <c r="G22" s="43"/>
      <c r="H22" s="8"/>
      <c r="Q22" s="5">
        <f>SUM(M:M)/25</f>
        <v>2.5733333333333341</v>
      </c>
    </row>
    <row r="24" spans="1:17" x14ac:dyDescent="0.25">
      <c r="A24" s="1">
        <v>2</v>
      </c>
      <c r="B24" s="29" t="s">
        <v>1119</v>
      </c>
      <c r="C24" s="30"/>
      <c r="D24" s="29" t="s">
        <v>1218</v>
      </c>
      <c r="E24" s="30"/>
      <c r="F24" s="31" t="s">
        <v>1218</v>
      </c>
      <c r="G24" s="32"/>
      <c r="H24" s="8"/>
    </row>
    <row r="25" spans="1:17" x14ac:dyDescent="0.25">
      <c r="A25" s="4" t="s">
        <v>6</v>
      </c>
      <c r="B25" s="33" t="s">
        <v>15</v>
      </c>
      <c r="C25" s="34">
        <v>1</v>
      </c>
      <c r="D25" s="33" t="s">
        <v>71</v>
      </c>
      <c r="E25" s="34">
        <v>2</v>
      </c>
      <c r="F25" s="35" t="s">
        <v>15</v>
      </c>
      <c r="G25" s="36">
        <v>1</v>
      </c>
      <c r="H25" s="8"/>
      <c r="I25" s="7">
        <v>1</v>
      </c>
      <c r="J25" s="6">
        <v>1</v>
      </c>
      <c r="K25" s="7">
        <v>1</v>
      </c>
      <c r="L25" s="6">
        <v>1</v>
      </c>
      <c r="M25" s="7">
        <v>1</v>
      </c>
      <c r="N25" s="7">
        <v>1</v>
      </c>
    </row>
    <row r="26" spans="1:17" x14ac:dyDescent="0.25">
      <c r="A26" s="2"/>
      <c r="B26" s="37"/>
      <c r="C26" s="38"/>
      <c r="D26" s="37" t="s">
        <v>72</v>
      </c>
      <c r="E26" s="38">
        <v>1</v>
      </c>
      <c r="F26" s="39"/>
      <c r="G26" s="36"/>
      <c r="H26" s="8"/>
    </row>
    <row r="27" spans="1:17" x14ac:dyDescent="0.25">
      <c r="A27" s="3"/>
      <c r="B27" s="40"/>
      <c r="C27" s="41"/>
      <c r="D27" s="40" t="s">
        <v>73</v>
      </c>
      <c r="E27" s="41">
        <v>3</v>
      </c>
      <c r="F27" s="42"/>
      <c r="G27" s="43"/>
      <c r="H27" s="8"/>
    </row>
    <row r="28" spans="1:17" x14ac:dyDescent="0.25">
      <c r="A28" s="4" t="s">
        <v>5</v>
      </c>
      <c r="B28" s="33" t="s">
        <v>16</v>
      </c>
      <c r="C28" s="34">
        <v>1</v>
      </c>
      <c r="D28" s="33" t="s">
        <v>74</v>
      </c>
      <c r="E28" s="34">
        <v>1</v>
      </c>
      <c r="F28" s="35" t="s">
        <v>16</v>
      </c>
      <c r="G28" s="36">
        <v>1</v>
      </c>
      <c r="H28" s="8"/>
    </row>
    <row r="29" spans="1:17" x14ac:dyDescent="0.25">
      <c r="A29" s="2"/>
      <c r="B29" s="37"/>
      <c r="C29" s="38"/>
      <c r="D29" s="37"/>
      <c r="E29" s="38"/>
      <c r="F29" s="39"/>
      <c r="G29" s="36"/>
      <c r="H29" s="8"/>
    </row>
    <row r="30" spans="1:17" x14ac:dyDescent="0.25">
      <c r="A30" s="3"/>
      <c r="B30" s="40"/>
      <c r="C30" s="41"/>
      <c r="D30" s="40"/>
      <c r="E30" s="41"/>
      <c r="F30" s="42"/>
      <c r="G30" s="43"/>
      <c r="H30" s="8"/>
    </row>
    <row r="31" spans="1:17" x14ac:dyDescent="0.25">
      <c r="A31" s="4" t="s">
        <v>7</v>
      </c>
      <c r="B31" s="33" t="s">
        <v>10</v>
      </c>
      <c r="C31" s="34">
        <v>1</v>
      </c>
      <c r="D31" s="33" t="s">
        <v>75</v>
      </c>
      <c r="E31" s="34">
        <v>1</v>
      </c>
      <c r="F31" s="35" t="s">
        <v>118</v>
      </c>
      <c r="G31" s="36">
        <v>1</v>
      </c>
      <c r="H31" s="8"/>
    </row>
    <row r="32" spans="1:17" x14ac:dyDescent="0.25">
      <c r="A32" s="2"/>
      <c r="B32" s="37" t="s">
        <v>11</v>
      </c>
      <c r="C32" s="38">
        <v>2</v>
      </c>
      <c r="D32" s="37"/>
      <c r="E32" s="38"/>
      <c r="F32" s="39"/>
      <c r="G32" s="36"/>
      <c r="H32" s="8"/>
    </row>
    <row r="33" spans="1:17" x14ac:dyDescent="0.25">
      <c r="A33" s="3"/>
      <c r="B33" s="40"/>
      <c r="C33" s="41"/>
      <c r="D33" s="40"/>
      <c r="E33" s="41"/>
      <c r="F33" s="42"/>
      <c r="G33" s="43"/>
      <c r="H33" s="8"/>
    </row>
    <row r="34" spans="1:17" x14ac:dyDescent="0.25">
      <c r="A34" s="4" t="s">
        <v>8</v>
      </c>
      <c r="B34" s="33" t="s">
        <v>17</v>
      </c>
      <c r="C34" s="34">
        <v>1</v>
      </c>
      <c r="D34" s="33" t="s">
        <v>17</v>
      </c>
      <c r="E34" s="34">
        <v>1</v>
      </c>
      <c r="F34" s="35" t="s">
        <v>17</v>
      </c>
      <c r="G34" s="36">
        <v>1</v>
      </c>
      <c r="H34" s="8"/>
    </row>
    <row r="35" spans="1:17" x14ac:dyDescent="0.25">
      <c r="A35" s="2"/>
      <c r="B35" s="37" t="s">
        <v>18</v>
      </c>
      <c r="C35" s="38">
        <v>2</v>
      </c>
      <c r="D35" s="37" t="s">
        <v>76</v>
      </c>
      <c r="E35" s="38">
        <v>3</v>
      </c>
      <c r="F35" s="39" t="s">
        <v>119</v>
      </c>
      <c r="G35" s="36">
        <v>4</v>
      </c>
      <c r="H35" s="8"/>
    </row>
    <row r="36" spans="1:17" x14ac:dyDescent="0.25">
      <c r="A36" s="3"/>
      <c r="B36" s="40"/>
      <c r="C36" s="41"/>
      <c r="D36" s="40"/>
      <c r="E36" s="41"/>
      <c r="F36" s="42"/>
      <c r="G36" s="43"/>
      <c r="H36" s="8"/>
    </row>
    <row r="37" spans="1:17" x14ac:dyDescent="0.25">
      <c r="A37" s="2" t="s">
        <v>9</v>
      </c>
      <c r="B37" s="37" t="s">
        <v>19</v>
      </c>
      <c r="C37" s="38">
        <v>1</v>
      </c>
      <c r="D37" s="45" t="s">
        <v>120</v>
      </c>
      <c r="E37" s="38">
        <v>3</v>
      </c>
      <c r="F37" s="39" t="s">
        <v>120</v>
      </c>
      <c r="G37" s="36">
        <v>3</v>
      </c>
      <c r="H37" s="8"/>
    </row>
    <row r="38" spans="1:17" x14ac:dyDescent="0.25">
      <c r="A38" s="2"/>
      <c r="B38" s="37" t="s">
        <v>20</v>
      </c>
      <c r="C38" s="38">
        <v>2</v>
      </c>
      <c r="D38" s="37"/>
      <c r="E38" s="38"/>
      <c r="F38" s="39"/>
      <c r="G38" s="36"/>
      <c r="H38" s="8"/>
    </row>
    <row r="39" spans="1:17" x14ac:dyDescent="0.25">
      <c r="A39" s="3"/>
      <c r="B39" s="46" t="s">
        <v>148</v>
      </c>
      <c r="C39" s="41">
        <v>3</v>
      </c>
      <c r="D39" s="40"/>
      <c r="E39" s="41"/>
      <c r="F39" s="42"/>
      <c r="G39" s="43"/>
      <c r="H39" s="8"/>
    </row>
    <row r="40" spans="1:17" x14ac:dyDescent="0.25">
      <c r="A40" s="2" t="s">
        <v>1224</v>
      </c>
      <c r="B40" s="37" t="s">
        <v>1232</v>
      </c>
      <c r="C40" s="38" t="s">
        <v>1074</v>
      </c>
      <c r="D40" s="39" t="s">
        <v>1232</v>
      </c>
      <c r="E40" s="38" t="s">
        <v>1074</v>
      </c>
      <c r="F40" s="39" t="s">
        <v>1232</v>
      </c>
      <c r="G40" s="36" t="s">
        <v>1074</v>
      </c>
      <c r="H40" s="8"/>
      <c r="Q40" s="5">
        <f>SUM(K:K)/25</f>
        <v>3.4666666666666668</v>
      </c>
    </row>
    <row r="41" spans="1:17" x14ac:dyDescent="0.25">
      <c r="A41" s="2"/>
      <c r="B41" s="44" t="s">
        <v>1233</v>
      </c>
      <c r="C41" s="38" t="s">
        <v>1072</v>
      </c>
      <c r="D41" s="37"/>
      <c r="E41" s="38"/>
      <c r="F41" s="39"/>
      <c r="G41" s="36"/>
      <c r="H41" s="8"/>
      <c r="Q41" s="5">
        <f>SUM(L:L)/25</f>
        <v>3.6399999999999992</v>
      </c>
    </row>
    <row r="42" spans="1:17" x14ac:dyDescent="0.25">
      <c r="A42" s="3"/>
      <c r="B42" s="40"/>
      <c r="C42" s="41"/>
      <c r="D42" s="40"/>
      <c r="E42" s="41"/>
      <c r="F42" s="42"/>
      <c r="G42" s="43"/>
      <c r="H42" s="8"/>
      <c r="Q42" s="5">
        <f>SUM(M:M)/25</f>
        <v>2.5733333333333341</v>
      </c>
    </row>
    <row r="44" spans="1:17" x14ac:dyDescent="0.25">
      <c r="A44" s="1">
        <v>3</v>
      </c>
      <c r="B44" s="29" t="s">
        <v>1120</v>
      </c>
      <c r="C44" s="30"/>
      <c r="D44" s="29" t="s">
        <v>1218</v>
      </c>
      <c r="E44" s="30"/>
      <c r="F44" s="31" t="s">
        <v>1218</v>
      </c>
      <c r="G44" s="32"/>
      <c r="H44" s="8"/>
    </row>
    <row r="45" spans="1:17" x14ac:dyDescent="0.25">
      <c r="A45" s="4" t="s">
        <v>6</v>
      </c>
      <c r="B45" s="33" t="s">
        <v>21</v>
      </c>
      <c r="C45" s="34">
        <v>1</v>
      </c>
      <c r="D45" s="33" t="s">
        <v>21</v>
      </c>
      <c r="E45" s="34">
        <v>1</v>
      </c>
      <c r="F45" s="35" t="s">
        <v>121</v>
      </c>
      <c r="G45" s="36">
        <v>1</v>
      </c>
      <c r="H45" s="8"/>
      <c r="I45" s="7">
        <v>1</v>
      </c>
      <c r="J45" s="6">
        <v>1</v>
      </c>
      <c r="K45" s="7">
        <v>1</v>
      </c>
      <c r="L45" s="6">
        <v>1</v>
      </c>
      <c r="M45" s="7">
        <v>0.33333333333333337</v>
      </c>
      <c r="N45" s="7">
        <v>0.33333333333333337</v>
      </c>
    </row>
    <row r="46" spans="1:17" x14ac:dyDescent="0.25">
      <c r="A46" s="2"/>
      <c r="B46" s="37" t="s">
        <v>22</v>
      </c>
      <c r="C46" s="38">
        <v>2</v>
      </c>
      <c r="E46" s="38"/>
      <c r="F46" s="39" t="s">
        <v>122</v>
      </c>
      <c r="G46" s="36">
        <v>4</v>
      </c>
      <c r="H46" s="8"/>
    </row>
    <row r="47" spans="1:17" x14ac:dyDescent="0.25">
      <c r="A47" s="3"/>
      <c r="B47" s="40"/>
      <c r="C47" s="41"/>
      <c r="D47" s="40"/>
      <c r="E47" s="41"/>
      <c r="F47" s="42"/>
      <c r="G47" s="43"/>
      <c r="H47" s="8"/>
    </row>
    <row r="48" spans="1:17" x14ac:dyDescent="0.25">
      <c r="A48" s="4" t="s">
        <v>5</v>
      </c>
      <c r="B48" s="33" t="s">
        <v>23</v>
      </c>
      <c r="C48" s="34">
        <v>1</v>
      </c>
      <c r="D48" s="33" t="s">
        <v>23</v>
      </c>
      <c r="E48" s="34">
        <v>1</v>
      </c>
      <c r="F48" s="35" t="s">
        <v>23</v>
      </c>
      <c r="G48" s="36">
        <v>1</v>
      </c>
      <c r="H48" s="8"/>
    </row>
    <row r="49" spans="1:8" x14ac:dyDescent="0.25">
      <c r="A49" s="2"/>
      <c r="B49" s="37"/>
      <c r="C49" s="38"/>
      <c r="D49" s="37"/>
      <c r="E49" s="38"/>
      <c r="F49" s="39" t="s">
        <v>123</v>
      </c>
      <c r="G49" s="36">
        <v>2</v>
      </c>
      <c r="H49" s="8"/>
    </row>
    <row r="50" spans="1:8" x14ac:dyDescent="0.25">
      <c r="A50" s="3"/>
      <c r="B50" s="40"/>
      <c r="C50" s="41"/>
      <c r="D50" s="40"/>
      <c r="E50" s="41"/>
      <c r="F50" s="42"/>
      <c r="G50" s="43"/>
      <c r="H50" s="8"/>
    </row>
    <row r="51" spans="1:8" x14ac:dyDescent="0.25">
      <c r="A51" s="4" t="s">
        <v>7</v>
      </c>
      <c r="B51" s="33" t="s">
        <v>24</v>
      </c>
      <c r="C51" s="34">
        <v>1</v>
      </c>
      <c r="D51" s="33" t="s">
        <v>77</v>
      </c>
      <c r="E51" s="34">
        <v>1</v>
      </c>
      <c r="F51" s="35" t="s">
        <v>124</v>
      </c>
      <c r="G51" s="36">
        <v>2</v>
      </c>
      <c r="H51" s="8"/>
    </row>
    <row r="52" spans="1:8" x14ac:dyDescent="0.25">
      <c r="A52" s="2"/>
      <c r="B52" s="37" t="s">
        <v>25</v>
      </c>
      <c r="C52" s="38">
        <v>2</v>
      </c>
      <c r="D52" s="37" t="s">
        <v>25</v>
      </c>
      <c r="E52" s="38">
        <v>2</v>
      </c>
      <c r="F52" s="39"/>
      <c r="G52" s="36"/>
      <c r="H52" s="8"/>
    </row>
    <row r="53" spans="1:8" x14ac:dyDescent="0.25">
      <c r="A53" s="3"/>
      <c r="B53" s="40"/>
      <c r="C53" s="41"/>
      <c r="D53" s="40"/>
      <c r="E53" s="41"/>
      <c r="F53" s="42"/>
      <c r="G53" s="43"/>
      <c r="H53" s="8"/>
    </row>
    <row r="54" spans="1:8" x14ac:dyDescent="0.25">
      <c r="A54" s="4" t="s">
        <v>8</v>
      </c>
      <c r="B54" s="33" t="s">
        <v>26</v>
      </c>
      <c r="C54" s="34">
        <v>1</v>
      </c>
      <c r="D54" s="33" t="s">
        <v>26</v>
      </c>
      <c r="E54" s="34">
        <v>1</v>
      </c>
      <c r="F54" s="35" t="s">
        <v>26</v>
      </c>
      <c r="G54" s="36">
        <v>1</v>
      </c>
      <c r="H54" s="8"/>
    </row>
    <row r="55" spans="1:8" x14ac:dyDescent="0.25">
      <c r="A55" s="2"/>
      <c r="B55" s="37" t="s">
        <v>27</v>
      </c>
      <c r="C55" s="38">
        <v>2</v>
      </c>
      <c r="D55" s="37"/>
      <c r="E55" s="38"/>
      <c r="F55" s="39" t="s">
        <v>125</v>
      </c>
      <c r="G55" s="36">
        <v>3</v>
      </c>
      <c r="H55" s="8"/>
    </row>
    <row r="56" spans="1:8" x14ac:dyDescent="0.25">
      <c r="A56" s="3"/>
      <c r="B56" s="40"/>
      <c r="C56" s="41"/>
      <c r="D56" s="40"/>
      <c r="E56" s="41"/>
      <c r="F56" s="42"/>
      <c r="G56" s="43"/>
      <c r="H56" s="8"/>
    </row>
    <row r="57" spans="1:8" x14ac:dyDescent="0.25">
      <c r="A57" s="2" t="s">
        <v>9</v>
      </c>
      <c r="B57" s="37" t="s">
        <v>28</v>
      </c>
      <c r="C57" s="38">
        <v>1</v>
      </c>
      <c r="D57" s="37" t="s">
        <v>28</v>
      </c>
      <c r="E57" s="38">
        <v>1</v>
      </c>
      <c r="F57" s="39"/>
      <c r="G57" s="36"/>
      <c r="H57" s="8"/>
    </row>
    <row r="58" spans="1:8" x14ac:dyDescent="0.25">
      <c r="A58" s="2"/>
      <c r="B58" s="37"/>
      <c r="C58" s="38"/>
      <c r="D58" s="37"/>
      <c r="E58" s="38"/>
      <c r="F58" s="39"/>
      <c r="G58" s="36"/>
      <c r="H58" s="8"/>
    </row>
    <row r="59" spans="1:8" x14ac:dyDescent="0.25">
      <c r="A59" s="3"/>
      <c r="B59" s="40"/>
      <c r="C59" s="41"/>
      <c r="D59" s="40"/>
      <c r="E59" s="41"/>
      <c r="F59" s="42"/>
      <c r="G59" s="43"/>
      <c r="H59" s="8"/>
    </row>
    <row r="60" spans="1:8" x14ac:dyDescent="0.25">
      <c r="A60" s="2" t="s">
        <v>1224</v>
      </c>
      <c r="B60" s="37" t="s">
        <v>28</v>
      </c>
      <c r="C60" s="38" t="s">
        <v>1074</v>
      </c>
      <c r="D60" s="37" t="s">
        <v>862</v>
      </c>
      <c r="E60" s="38" t="s">
        <v>1074</v>
      </c>
      <c r="F60" s="39" t="s">
        <v>28</v>
      </c>
      <c r="G60" s="36" t="s">
        <v>1074</v>
      </c>
      <c r="H60" s="8"/>
    </row>
    <row r="61" spans="1:8" x14ac:dyDescent="0.25">
      <c r="A61" s="2"/>
      <c r="B61" s="44" t="s">
        <v>1234</v>
      </c>
      <c r="C61" s="38" t="s">
        <v>1072</v>
      </c>
      <c r="D61" s="37"/>
      <c r="E61" s="38"/>
      <c r="F61" s="39"/>
      <c r="G61" s="36"/>
      <c r="H61" s="8"/>
    </row>
    <row r="62" spans="1:8" x14ac:dyDescent="0.25">
      <c r="A62" s="3"/>
      <c r="B62" s="40"/>
      <c r="C62" s="41"/>
      <c r="D62" s="40"/>
      <c r="E62" s="41"/>
      <c r="F62" s="42"/>
      <c r="G62" s="43"/>
      <c r="H62" s="8"/>
    </row>
    <row r="64" spans="1:8" x14ac:dyDescent="0.25">
      <c r="A64" s="1">
        <v>4</v>
      </c>
      <c r="B64" s="29" t="s">
        <v>1121</v>
      </c>
      <c r="C64" s="30"/>
      <c r="D64" s="29" t="s">
        <v>1218</v>
      </c>
      <c r="E64" s="30"/>
      <c r="F64" s="31" t="s">
        <v>1218</v>
      </c>
      <c r="G64" s="32"/>
      <c r="H64" s="8"/>
    </row>
    <row r="65" spans="1:14" x14ac:dyDescent="0.25">
      <c r="A65" s="4" t="s">
        <v>6</v>
      </c>
      <c r="B65" s="33" t="s">
        <v>29</v>
      </c>
      <c r="C65" s="34">
        <v>1</v>
      </c>
      <c r="D65" s="33" t="s">
        <v>78</v>
      </c>
      <c r="E65" s="34">
        <v>1</v>
      </c>
      <c r="F65" s="35" t="s">
        <v>78</v>
      </c>
      <c r="G65" s="36">
        <v>1</v>
      </c>
      <c r="H65" s="8"/>
      <c r="I65" s="7">
        <v>1</v>
      </c>
      <c r="J65" s="6">
        <v>1</v>
      </c>
      <c r="K65" s="7">
        <v>1</v>
      </c>
      <c r="L65" s="6">
        <v>1</v>
      </c>
      <c r="M65" s="7">
        <v>1</v>
      </c>
      <c r="N65" s="7">
        <v>1</v>
      </c>
    </row>
    <row r="66" spans="1:14" x14ac:dyDescent="0.25">
      <c r="A66" s="2"/>
      <c r="B66" s="37" t="s">
        <v>30</v>
      </c>
      <c r="C66" s="38">
        <v>2</v>
      </c>
      <c r="D66" s="37" t="s">
        <v>30</v>
      </c>
      <c r="E66" s="38">
        <v>2</v>
      </c>
      <c r="F66" s="39"/>
      <c r="G66" s="36"/>
      <c r="H66" s="8"/>
    </row>
    <row r="67" spans="1:14" x14ac:dyDescent="0.25">
      <c r="A67" s="3"/>
      <c r="B67" s="40"/>
      <c r="C67" s="41"/>
      <c r="D67" s="40"/>
      <c r="E67" s="41"/>
      <c r="F67" s="42"/>
      <c r="G67" s="43"/>
      <c r="H67" s="8"/>
    </row>
    <row r="68" spans="1:14" x14ac:dyDescent="0.25">
      <c r="A68" s="4" t="s">
        <v>5</v>
      </c>
      <c r="B68" s="33" t="s">
        <v>23</v>
      </c>
      <c r="C68" s="34">
        <v>1</v>
      </c>
      <c r="D68" s="33" t="s">
        <v>23</v>
      </c>
      <c r="E68" s="34">
        <v>1</v>
      </c>
      <c r="F68" s="35" t="s">
        <v>23</v>
      </c>
      <c r="G68" s="36">
        <v>1</v>
      </c>
      <c r="H68" s="8"/>
    </row>
    <row r="69" spans="1:14" x14ac:dyDescent="0.25">
      <c r="A69" s="2"/>
      <c r="B69" s="37"/>
      <c r="C69" s="38"/>
      <c r="D69" s="37"/>
      <c r="E69" s="38"/>
      <c r="F69" s="39"/>
      <c r="G69" s="36"/>
      <c r="H69" s="8"/>
    </row>
    <row r="70" spans="1:14" x14ac:dyDescent="0.25">
      <c r="A70" s="3"/>
      <c r="B70" s="40"/>
      <c r="C70" s="41"/>
      <c r="D70" s="40"/>
      <c r="E70" s="41"/>
      <c r="F70" s="42"/>
      <c r="G70" s="43"/>
      <c r="H70" s="8"/>
    </row>
    <row r="71" spans="1:14" x14ac:dyDescent="0.25">
      <c r="A71" s="4" t="s">
        <v>7</v>
      </c>
      <c r="B71" s="33" t="s">
        <v>31</v>
      </c>
      <c r="C71" s="34">
        <v>1</v>
      </c>
      <c r="D71" s="33" t="s">
        <v>79</v>
      </c>
      <c r="E71" s="34">
        <v>2</v>
      </c>
      <c r="F71" s="35" t="s">
        <v>31</v>
      </c>
      <c r="G71" s="36">
        <v>1</v>
      </c>
      <c r="H71" s="8"/>
    </row>
    <row r="72" spans="1:14" x14ac:dyDescent="0.25">
      <c r="A72" s="2"/>
      <c r="B72" s="37"/>
      <c r="C72" s="38"/>
      <c r="D72" s="37" t="s">
        <v>31</v>
      </c>
      <c r="E72" s="38">
        <v>1</v>
      </c>
      <c r="F72" s="39"/>
      <c r="G72" s="36"/>
      <c r="H72" s="8"/>
    </row>
    <row r="73" spans="1:14" x14ac:dyDescent="0.25">
      <c r="A73" s="3"/>
      <c r="B73" s="40"/>
      <c r="C73" s="41"/>
      <c r="D73" s="40"/>
      <c r="E73" s="41"/>
      <c r="F73" s="42"/>
      <c r="G73" s="43"/>
      <c r="H73" s="8"/>
    </row>
    <row r="74" spans="1:14" x14ac:dyDescent="0.25">
      <c r="A74" s="4" t="s">
        <v>8</v>
      </c>
      <c r="B74" s="33" t="s">
        <v>32</v>
      </c>
      <c r="C74" s="34">
        <v>1</v>
      </c>
      <c r="D74" s="33" t="s">
        <v>32</v>
      </c>
      <c r="E74" s="34">
        <v>1</v>
      </c>
      <c r="F74" s="35" t="s">
        <v>32</v>
      </c>
      <c r="G74" s="36">
        <v>1</v>
      </c>
      <c r="H74" s="8"/>
    </row>
    <row r="75" spans="1:14" x14ac:dyDescent="0.25">
      <c r="A75" s="2"/>
      <c r="B75" s="37" t="s">
        <v>33</v>
      </c>
      <c r="C75" s="38">
        <v>2</v>
      </c>
      <c r="D75" s="37"/>
      <c r="E75" s="38"/>
      <c r="F75" s="39"/>
      <c r="G75" s="36"/>
      <c r="H75" s="8"/>
    </row>
    <row r="76" spans="1:14" x14ac:dyDescent="0.25">
      <c r="A76" s="3"/>
      <c r="B76" s="40"/>
      <c r="C76" s="41"/>
      <c r="D76" s="40"/>
      <c r="E76" s="41"/>
      <c r="F76" s="42"/>
      <c r="G76" s="43"/>
      <c r="H76" s="8"/>
    </row>
    <row r="77" spans="1:14" x14ac:dyDescent="0.25">
      <c r="A77" s="2" t="s">
        <v>9</v>
      </c>
      <c r="B77" s="37" t="s">
        <v>34</v>
      </c>
      <c r="C77" s="38">
        <v>1</v>
      </c>
      <c r="D77" s="37" t="s">
        <v>80</v>
      </c>
      <c r="E77" s="38">
        <v>1</v>
      </c>
      <c r="F77" s="39" t="s">
        <v>147</v>
      </c>
      <c r="G77" s="36" t="s">
        <v>1074</v>
      </c>
      <c r="H77" s="8"/>
    </row>
    <row r="78" spans="1:14" x14ac:dyDescent="0.25">
      <c r="A78" s="2"/>
      <c r="B78" s="37" t="s">
        <v>35</v>
      </c>
      <c r="C78" s="38">
        <v>2</v>
      </c>
      <c r="D78" s="37" t="s">
        <v>81</v>
      </c>
      <c r="E78" s="38">
        <v>2</v>
      </c>
      <c r="F78" s="39"/>
      <c r="G78" s="36"/>
      <c r="H78" s="8"/>
    </row>
    <row r="79" spans="1:14" x14ac:dyDescent="0.25">
      <c r="A79" s="3"/>
      <c r="B79" s="40"/>
      <c r="C79" s="41"/>
      <c r="D79" s="40"/>
      <c r="E79" s="41"/>
      <c r="F79" s="42"/>
      <c r="G79" s="43"/>
      <c r="H79" s="8"/>
    </row>
    <row r="80" spans="1:14" x14ac:dyDescent="0.25">
      <c r="A80" s="2" t="s">
        <v>1224</v>
      </c>
      <c r="B80" s="37" t="s">
        <v>852</v>
      </c>
      <c r="C80" s="38" t="s">
        <v>1074</v>
      </c>
      <c r="D80" s="44" t="s">
        <v>853</v>
      </c>
      <c r="E80" s="38" t="s">
        <v>1073</v>
      </c>
      <c r="F80" s="39" t="s">
        <v>147</v>
      </c>
      <c r="G80" s="36" t="s">
        <v>1074</v>
      </c>
      <c r="H80" s="8"/>
    </row>
    <row r="81" spans="1:14" x14ac:dyDescent="0.25">
      <c r="A81" s="2"/>
      <c r="B81" s="44" t="s">
        <v>853</v>
      </c>
      <c r="C81" s="38" t="s">
        <v>1073</v>
      </c>
      <c r="D81" s="37" t="s">
        <v>1239</v>
      </c>
      <c r="E81" s="38" t="s">
        <v>1072</v>
      </c>
      <c r="F81" s="39" t="s">
        <v>81</v>
      </c>
      <c r="G81" s="36" t="s">
        <v>1072</v>
      </c>
      <c r="H81" s="8"/>
    </row>
    <row r="82" spans="1:14" x14ac:dyDescent="0.25">
      <c r="A82" s="3"/>
      <c r="B82" s="40" t="s">
        <v>1235</v>
      </c>
      <c r="C82" s="41" t="s">
        <v>1072</v>
      </c>
      <c r="D82" s="40"/>
      <c r="E82" s="41"/>
      <c r="F82" s="42"/>
      <c r="G82" s="43"/>
      <c r="H82" s="8"/>
    </row>
    <row r="84" spans="1:14" x14ac:dyDescent="0.25">
      <c r="A84" s="1">
        <v>5</v>
      </c>
      <c r="B84" s="29" t="s">
        <v>1122</v>
      </c>
      <c r="C84" s="30"/>
      <c r="D84" s="29" t="s">
        <v>1218</v>
      </c>
      <c r="E84" s="30"/>
      <c r="F84" s="31" t="s">
        <v>1218</v>
      </c>
      <c r="G84" s="32"/>
      <c r="H84" s="8"/>
    </row>
    <row r="85" spans="1:14" x14ac:dyDescent="0.25">
      <c r="A85" s="4" t="s">
        <v>6</v>
      </c>
      <c r="B85" s="33" t="s">
        <v>36</v>
      </c>
      <c r="C85" s="34">
        <v>1</v>
      </c>
      <c r="D85" s="33" t="s">
        <v>40</v>
      </c>
      <c r="E85" s="34">
        <v>2</v>
      </c>
      <c r="F85" s="35" t="s">
        <v>126</v>
      </c>
      <c r="G85" s="36">
        <v>2</v>
      </c>
      <c r="H85" s="8"/>
      <c r="I85" s="7">
        <v>1</v>
      </c>
      <c r="J85" s="6">
        <v>1</v>
      </c>
      <c r="K85" s="7">
        <v>1</v>
      </c>
      <c r="L85" s="6">
        <v>0</v>
      </c>
      <c r="M85" s="7">
        <v>0.33333333333333337</v>
      </c>
      <c r="N85" s="7">
        <v>0.33333333333333337</v>
      </c>
    </row>
    <row r="86" spans="1:14" x14ac:dyDescent="0.25">
      <c r="A86" s="2"/>
      <c r="B86" s="37"/>
      <c r="C86" s="38"/>
      <c r="D86" s="37" t="s">
        <v>82</v>
      </c>
      <c r="E86" s="38">
        <v>1</v>
      </c>
      <c r="F86" s="39" t="s">
        <v>82</v>
      </c>
      <c r="G86" s="36">
        <v>1</v>
      </c>
      <c r="H86" s="8"/>
    </row>
    <row r="87" spans="1:14" x14ac:dyDescent="0.25">
      <c r="A87" s="3"/>
      <c r="B87" s="40"/>
      <c r="C87" s="41"/>
      <c r="D87" s="40" t="s">
        <v>83</v>
      </c>
      <c r="E87" s="41">
        <v>3</v>
      </c>
      <c r="F87" s="42"/>
      <c r="G87" s="43"/>
      <c r="H87" s="8"/>
    </row>
    <row r="88" spans="1:14" x14ac:dyDescent="0.25">
      <c r="A88" s="4" t="s">
        <v>5</v>
      </c>
      <c r="B88" s="33" t="s">
        <v>37</v>
      </c>
      <c r="C88" s="34">
        <v>1</v>
      </c>
      <c r="D88" s="33" t="s">
        <v>37</v>
      </c>
      <c r="E88" s="34">
        <v>1</v>
      </c>
      <c r="F88" s="35" t="s">
        <v>37</v>
      </c>
      <c r="G88" s="36">
        <v>1</v>
      </c>
      <c r="H88" s="8"/>
    </row>
    <row r="89" spans="1:14" x14ac:dyDescent="0.25">
      <c r="A89" s="2"/>
      <c r="B89" s="37"/>
      <c r="C89" s="38"/>
      <c r="D89" s="37"/>
      <c r="E89" s="38"/>
      <c r="F89" s="39"/>
      <c r="G89" s="36"/>
      <c r="H89" s="8"/>
    </row>
    <row r="90" spans="1:14" x14ac:dyDescent="0.25">
      <c r="A90" s="3"/>
      <c r="B90" s="40"/>
      <c r="C90" s="41"/>
      <c r="D90" s="40"/>
      <c r="E90" s="41"/>
      <c r="F90" s="42"/>
      <c r="G90" s="43"/>
      <c r="H90" s="8"/>
    </row>
    <row r="91" spans="1:14" x14ac:dyDescent="0.25">
      <c r="A91" s="4" t="s">
        <v>7</v>
      </c>
      <c r="B91" s="33" t="s">
        <v>38</v>
      </c>
      <c r="C91" s="34">
        <v>1</v>
      </c>
      <c r="D91" s="33" t="s">
        <v>84</v>
      </c>
      <c r="E91" s="34">
        <v>1</v>
      </c>
      <c r="F91" s="35" t="s">
        <v>39</v>
      </c>
      <c r="G91" s="36">
        <v>2</v>
      </c>
      <c r="H91" s="8"/>
    </row>
    <row r="92" spans="1:14" x14ac:dyDescent="0.25">
      <c r="A92" s="2"/>
      <c r="B92" s="37" t="s">
        <v>39</v>
      </c>
      <c r="C92" s="38">
        <v>2</v>
      </c>
      <c r="D92" s="37"/>
      <c r="E92" s="38"/>
      <c r="F92" s="39" t="s">
        <v>38</v>
      </c>
      <c r="G92" s="36">
        <v>1</v>
      </c>
      <c r="H92" s="8"/>
    </row>
    <row r="93" spans="1:14" x14ac:dyDescent="0.25">
      <c r="A93" s="3"/>
      <c r="B93" s="40"/>
      <c r="C93" s="41"/>
      <c r="D93" s="40"/>
      <c r="E93" s="41"/>
      <c r="F93" s="42"/>
      <c r="G93" s="43"/>
      <c r="H93" s="8"/>
    </row>
    <row r="94" spans="1:14" x14ac:dyDescent="0.25">
      <c r="A94" s="4" t="s">
        <v>8</v>
      </c>
      <c r="B94" s="33"/>
      <c r="C94" s="34"/>
      <c r="D94" s="33" t="s">
        <v>85</v>
      </c>
      <c r="E94" s="34">
        <v>1</v>
      </c>
      <c r="F94" s="35" t="s">
        <v>127</v>
      </c>
      <c r="G94" s="36">
        <v>2</v>
      </c>
      <c r="H94" s="8"/>
    </row>
    <row r="95" spans="1:14" x14ac:dyDescent="0.25">
      <c r="A95" s="2"/>
      <c r="B95" s="37"/>
      <c r="C95" s="38"/>
      <c r="D95" s="37"/>
      <c r="E95" s="38"/>
      <c r="F95" s="39"/>
      <c r="G95" s="36"/>
      <c r="H95" s="8"/>
    </row>
    <row r="96" spans="1:14" x14ac:dyDescent="0.25">
      <c r="A96" s="3"/>
      <c r="B96" s="40"/>
      <c r="C96" s="41"/>
      <c r="D96" s="40"/>
      <c r="E96" s="41"/>
      <c r="F96" s="42"/>
      <c r="G96" s="43"/>
      <c r="H96" s="8"/>
    </row>
    <row r="97" spans="1:14" x14ac:dyDescent="0.25">
      <c r="A97" s="2" t="s">
        <v>9</v>
      </c>
      <c r="B97" s="37" t="s">
        <v>40</v>
      </c>
      <c r="C97" s="38">
        <v>1</v>
      </c>
      <c r="D97" s="37" t="s">
        <v>86</v>
      </c>
      <c r="E97" s="38">
        <v>2</v>
      </c>
      <c r="F97" s="39" t="s">
        <v>128</v>
      </c>
      <c r="G97" s="36">
        <v>2</v>
      </c>
      <c r="H97" s="8"/>
    </row>
    <row r="98" spans="1:14" x14ac:dyDescent="0.25">
      <c r="A98" s="2"/>
      <c r="B98" s="37"/>
      <c r="C98" s="38"/>
      <c r="D98" s="37"/>
      <c r="E98" s="38"/>
      <c r="F98" s="39"/>
      <c r="G98" s="36"/>
      <c r="H98" s="8"/>
    </row>
    <row r="99" spans="1:14" x14ac:dyDescent="0.25">
      <c r="A99" s="3"/>
      <c r="B99" s="40"/>
      <c r="C99" s="41"/>
      <c r="D99" s="40"/>
      <c r="E99" s="41"/>
      <c r="F99" s="42"/>
      <c r="G99" s="43"/>
      <c r="H99" s="8"/>
    </row>
    <row r="100" spans="1:14" x14ac:dyDescent="0.25">
      <c r="A100" s="2" t="s">
        <v>1224</v>
      </c>
      <c r="B100" s="37" t="s">
        <v>1236</v>
      </c>
      <c r="C100" s="38" t="s">
        <v>1072</v>
      </c>
      <c r="D100" s="39" t="s">
        <v>128</v>
      </c>
      <c r="E100" s="38" t="s">
        <v>1074</v>
      </c>
      <c r="F100" s="39" t="s">
        <v>128</v>
      </c>
      <c r="G100" s="36" t="s">
        <v>1074</v>
      </c>
      <c r="H100" s="8"/>
    </row>
    <row r="101" spans="1:14" x14ac:dyDescent="0.25">
      <c r="A101" s="2"/>
      <c r="B101" s="44"/>
      <c r="C101" s="38"/>
      <c r="D101" s="37"/>
      <c r="E101" s="38"/>
      <c r="F101" s="39" t="s">
        <v>887</v>
      </c>
      <c r="G101" s="36" t="s">
        <v>1072</v>
      </c>
      <c r="H101" s="8"/>
    </row>
    <row r="102" spans="1:14" x14ac:dyDescent="0.25">
      <c r="A102" s="3"/>
      <c r="B102" s="40"/>
      <c r="C102" s="41"/>
      <c r="D102" s="40"/>
      <c r="E102" s="41"/>
      <c r="F102" s="42"/>
      <c r="G102" s="43"/>
      <c r="H102" s="8"/>
    </row>
    <row r="104" spans="1:14" x14ac:dyDescent="0.25">
      <c r="A104" s="1">
        <v>6</v>
      </c>
      <c r="B104" s="29" t="s">
        <v>1123</v>
      </c>
      <c r="C104" s="30"/>
      <c r="D104" s="29" t="s">
        <v>1218</v>
      </c>
      <c r="E104" s="30"/>
      <c r="F104" s="31" t="s">
        <v>1218</v>
      </c>
      <c r="G104" s="32"/>
      <c r="H104" s="8"/>
    </row>
    <row r="105" spans="1:14" x14ac:dyDescent="0.25">
      <c r="A105" s="4" t="s">
        <v>6</v>
      </c>
      <c r="B105" s="33" t="s">
        <v>41</v>
      </c>
      <c r="C105" s="34">
        <v>1</v>
      </c>
      <c r="D105" s="33" t="s">
        <v>87</v>
      </c>
      <c r="E105" s="34">
        <v>1</v>
      </c>
      <c r="F105" s="35" t="s">
        <v>129</v>
      </c>
      <c r="G105" s="36">
        <v>1</v>
      </c>
      <c r="H105" s="8"/>
      <c r="I105" s="7">
        <v>1</v>
      </c>
      <c r="J105" s="6">
        <v>1</v>
      </c>
      <c r="K105" s="7">
        <v>1</v>
      </c>
      <c r="L105" s="6">
        <v>0.33333333333333337</v>
      </c>
      <c r="M105" s="7">
        <v>1</v>
      </c>
      <c r="N105" s="7">
        <v>1</v>
      </c>
    </row>
    <row r="106" spans="1:14" x14ac:dyDescent="0.25">
      <c r="A106" s="2"/>
      <c r="B106" s="37" t="s">
        <v>42</v>
      </c>
      <c r="C106" s="38" t="s">
        <v>1074</v>
      </c>
      <c r="D106" s="37" t="s">
        <v>88</v>
      </c>
      <c r="E106" s="38">
        <v>2</v>
      </c>
      <c r="F106" s="39"/>
      <c r="G106" s="36"/>
      <c r="H106" s="8"/>
    </row>
    <row r="107" spans="1:14" x14ac:dyDescent="0.25">
      <c r="A107" s="3"/>
      <c r="B107" s="40"/>
      <c r="C107" s="41"/>
      <c r="D107" s="40" t="s">
        <v>89</v>
      </c>
      <c r="E107" s="41">
        <v>3</v>
      </c>
      <c r="F107" s="42"/>
      <c r="G107" s="43"/>
      <c r="H107" s="8"/>
    </row>
    <row r="108" spans="1:14" x14ac:dyDescent="0.25">
      <c r="A108" s="4" t="s">
        <v>5</v>
      </c>
      <c r="B108" s="33" t="s">
        <v>43</v>
      </c>
      <c r="C108" s="34">
        <v>1</v>
      </c>
      <c r="D108" s="33" t="s">
        <v>37</v>
      </c>
      <c r="E108" s="34">
        <v>1</v>
      </c>
      <c r="F108" s="35" t="s">
        <v>43</v>
      </c>
      <c r="G108" s="36">
        <v>1</v>
      </c>
      <c r="H108" s="8"/>
    </row>
    <row r="109" spans="1:14" x14ac:dyDescent="0.25">
      <c r="A109" s="2"/>
      <c r="B109" s="37"/>
      <c r="C109" s="38"/>
      <c r="D109" s="37"/>
      <c r="E109" s="38"/>
      <c r="F109" s="39" t="s">
        <v>37</v>
      </c>
      <c r="G109" s="36">
        <v>1</v>
      </c>
      <c r="H109" s="8"/>
    </row>
    <row r="110" spans="1:14" x14ac:dyDescent="0.25">
      <c r="A110" s="3"/>
      <c r="B110" s="40"/>
      <c r="C110" s="41"/>
      <c r="D110" s="40"/>
      <c r="E110" s="41"/>
      <c r="F110" s="42"/>
      <c r="G110" s="43"/>
      <c r="H110" s="8"/>
    </row>
    <row r="111" spans="1:14" x14ac:dyDescent="0.25">
      <c r="A111" s="4" t="s">
        <v>7</v>
      </c>
      <c r="B111" s="33" t="s">
        <v>44</v>
      </c>
      <c r="C111" s="34">
        <v>1</v>
      </c>
      <c r="D111" s="33" t="s">
        <v>90</v>
      </c>
      <c r="E111" s="34">
        <v>2</v>
      </c>
      <c r="F111" s="35" t="s">
        <v>90</v>
      </c>
      <c r="G111" s="36">
        <v>2</v>
      </c>
      <c r="H111" s="8"/>
    </row>
    <row r="112" spans="1:14" x14ac:dyDescent="0.25">
      <c r="A112" s="2"/>
      <c r="B112" s="37" t="s">
        <v>45</v>
      </c>
      <c r="C112" s="38">
        <v>2</v>
      </c>
      <c r="D112" s="37" t="s">
        <v>91</v>
      </c>
      <c r="E112" s="38">
        <v>1</v>
      </c>
      <c r="F112" s="39" t="s">
        <v>130</v>
      </c>
      <c r="G112" s="36">
        <v>1</v>
      </c>
      <c r="H112" s="8"/>
    </row>
    <row r="113" spans="1:14" x14ac:dyDescent="0.25">
      <c r="A113" s="3"/>
      <c r="B113" s="40"/>
      <c r="C113" s="41"/>
      <c r="D113" s="40"/>
      <c r="E113" s="41"/>
      <c r="F113" s="42"/>
      <c r="G113" s="43"/>
      <c r="H113" s="8"/>
    </row>
    <row r="114" spans="1:14" x14ac:dyDescent="0.25">
      <c r="A114" s="4" t="s">
        <v>8</v>
      </c>
      <c r="B114" s="33"/>
      <c r="C114" s="34"/>
      <c r="D114" s="33" t="s">
        <v>92</v>
      </c>
      <c r="E114" s="34">
        <v>1</v>
      </c>
      <c r="F114" s="35" t="s">
        <v>131</v>
      </c>
      <c r="G114" s="36">
        <v>1</v>
      </c>
      <c r="H114" s="8"/>
    </row>
    <row r="115" spans="1:14" x14ac:dyDescent="0.25">
      <c r="A115" s="2"/>
      <c r="B115" s="37"/>
      <c r="C115" s="38"/>
      <c r="D115" s="37" t="s">
        <v>93</v>
      </c>
      <c r="E115" s="38">
        <v>2</v>
      </c>
      <c r="F115" s="39"/>
      <c r="G115" s="36"/>
      <c r="H115" s="8"/>
    </row>
    <row r="116" spans="1:14" x14ac:dyDescent="0.25">
      <c r="A116" s="3"/>
      <c r="B116" s="40"/>
      <c r="C116" s="41"/>
      <c r="D116" s="40"/>
      <c r="E116" s="41"/>
      <c r="F116" s="42"/>
      <c r="G116" s="43"/>
      <c r="H116" s="8"/>
    </row>
    <row r="117" spans="1:14" x14ac:dyDescent="0.25">
      <c r="A117" s="2" t="s">
        <v>9</v>
      </c>
      <c r="B117" s="37" t="s">
        <v>46</v>
      </c>
      <c r="C117" s="38">
        <v>1</v>
      </c>
      <c r="D117" s="37" t="s">
        <v>94</v>
      </c>
      <c r="E117" s="38">
        <v>1</v>
      </c>
      <c r="F117" s="39" t="s">
        <v>132</v>
      </c>
      <c r="G117" s="36">
        <v>1</v>
      </c>
      <c r="H117" s="8"/>
    </row>
    <row r="118" spans="1:14" x14ac:dyDescent="0.25">
      <c r="A118" s="2"/>
      <c r="B118" s="37"/>
      <c r="C118" s="38"/>
      <c r="D118" s="37"/>
      <c r="E118" s="38"/>
      <c r="F118" s="39"/>
      <c r="G118" s="36"/>
      <c r="H118" s="8"/>
    </row>
    <row r="119" spans="1:14" x14ac:dyDescent="0.25">
      <c r="A119" s="3"/>
      <c r="B119" s="40"/>
      <c r="C119" s="41"/>
      <c r="D119" s="40"/>
      <c r="E119" s="41"/>
      <c r="F119" s="42"/>
      <c r="G119" s="43"/>
      <c r="H119" s="8"/>
    </row>
    <row r="120" spans="1:14" x14ac:dyDescent="0.25">
      <c r="A120" s="2" t="s">
        <v>1224</v>
      </c>
      <c r="B120" s="37" t="s">
        <v>887</v>
      </c>
      <c r="C120" s="38" t="s">
        <v>1072</v>
      </c>
      <c r="D120" s="37" t="s">
        <v>1293</v>
      </c>
      <c r="E120" s="38" t="s">
        <v>1074</v>
      </c>
      <c r="F120" s="37" t="s">
        <v>887</v>
      </c>
      <c r="G120" s="36" t="s">
        <v>1072</v>
      </c>
      <c r="H120" s="8"/>
    </row>
    <row r="121" spans="1:14" x14ac:dyDescent="0.25">
      <c r="A121" s="2"/>
      <c r="B121" s="44" t="s">
        <v>1240</v>
      </c>
      <c r="C121" s="38" t="s">
        <v>1074</v>
      </c>
      <c r="D121" s="37"/>
      <c r="E121" s="38"/>
      <c r="F121" s="39"/>
      <c r="G121" s="36"/>
      <c r="H121" s="8"/>
    </row>
    <row r="122" spans="1:14" x14ac:dyDescent="0.25">
      <c r="A122" s="3"/>
      <c r="B122" s="40" t="s">
        <v>1241</v>
      </c>
      <c r="C122" s="41" t="s">
        <v>1073</v>
      </c>
      <c r="D122" s="40"/>
      <c r="E122" s="41"/>
      <c r="F122" s="42"/>
      <c r="G122" s="43"/>
      <c r="H122" s="8"/>
    </row>
    <row r="124" spans="1:14" x14ac:dyDescent="0.25">
      <c r="A124" s="1">
        <v>7</v>
      </c>
      <c r="B124" s="29" t="s">
        <v>1124</v>
      </c>
      <c r="C124" s="30"/>
      <c r="D124" s="29" t="s">
        <v>1218</v>
      </c>
      <c r="E124" s="30"/>
      <c r="F124" s="31" t="s">
        <v>1218</v>
      </c>
      <c r="G124" s="32"/>
      <c r="H124" s="8"/>
    </row>
    <row r="125" spans="1:14" x14ac:dyDescent="0.25">
      <c r="A125" s="4" t="s">
        <v>6</v>
      </c>
      <c r="B125" s="33" t="s">
        <v>95</v>
      </c>
      <c r="C125" s="34">
        <v>1</v>
      </c>
      <c r="D125" s="33" t="s">
        <v>95</v>
      </c>
      <c r="E125" s="34" t="s">
        <v>1074</v>
      </c>
      <c r="F125" s="35" t="s">
        <v>95</v>
      </c>
      <c r="G125" s="36" t="s">
        <v>1074</v>
      </c>
      <c r="H125" s="8"/>
      <c r="I125" s="7">
        <v>1</v>
      </c>
      <c r="J125" s="6">
        <v>1</v>
      </c>
      <c r="K125" s="7">
        <v>1</v>
      </c>
      <c r="L125" s="6">
        <v>1</v>
      </c>
      <c r="M125" s="7">
        <v>0.33333333333333337</v>
      </c>
      <c r="N125" s="7">
        <v>0.33333333333333337</v>
      </c>
    </row>
    <row r="126" spans="1:14" x14ac:dyDescent="0.25">
      <c r="A126" s="2"/>
      <c r="B126" s="37"/>
      <c r="C126" s="38"/>
      <c r="D126" s="37" t="s">
        <v>96</v>
      </c>
      <c r="E126" s="38" t="s">
        <v>1072</v>
      </c>
      <c r="F126" s="39" t="s">
        <v>97</v>
      </c>
      <c r="G126" s="36" t="s">
        <v>1073</v>
      </c>
      <c r="H126" s="8"/>
    </row>
    <row r="127" spans="1:14" x14ac:dyDescent="0.25">
      <c r="A127" s="3"/>
      <c r="B127" s="40"/>
      <c r="C127" s="41"/>
      <c r="D127" s="40" t="s">
        <v>97</v>
      </c>
      <c r="E127" s="41" t="s">
        <v>1073</v>
      </c>
      <c r="F127" s="42"/>
      <c r="G127" s="43"/>
      <c r="H127" s="8"/>
    </row>
    <row r="128" spans="1:14" x14ac:dyDescent="0.25">
      <c r="A128" s="4" t="s">
        <v>5</v>
      </c>
      <c r="B128" s="33"/>
      <c r="C128" s="34"/>
      <c r="D128" s="33"/>
      <c r="E128" s="34"/>
      <c r="F128" s="35"/>
      <c r="G128" s="36"/>
      <c r="H128" s="8"/>
    </row>
    <row r="129" spans="1:8" x14ac:dyDescent="0.25">
      <c r="A129" s="2"/>
      <c r="B129" s="37"/>
      <c r="C129" s="38"/>
      <c r="D129" s="37"/>
      <c r="E129" s="38"/>
      <c r="F129" s="39"/>
      <c r="G129" s="36"/>
      <c r="H129" s="8"/>
    </row>
    <row r="130" spans="1:8" x14ac:dyDescent="0.25">
      <c r="A130" s="3"/>
      <c r="B130" s="40"/>
      <c r="C130" s="41"/>
      <c r="D130" s="40"/>
      <c r="E130" s="41"/>
      <c r="F130" s="42"/>
      <c r="G130" s="43"/>
      <c r="H130" s="8"/>
    </row>
    <row r="131" spans="1:8" x14ac:dyDescent="0.25">
      <c r="A131" s="4" t="s">
        <v>7</v>
      </c>
      <c r="B131" s="33" t="s">
        <v>50</v>
      </c>
      <c r="C131" s="34"/>
      <c r="D131" s="33" t="s">
        <v>50</v>
      </c>
      <c r="E131" s="34">
        <v>1</v>
      </c>
      <c r="F131" s="35" t="s">
        <v>101</v>
      </c>
      <c r="G131" s="36">
        <v>2</v>
      </c>
      <c r="H131" s="8"/>
    </row>
    <row r="132" spans="1:8" x14ac:dyDescent="0.25">
      <c r="A132" s="2"/>
      <c r="B132" s="37"/>
      <c r="C132" s="38"/>
      <c r="D132" s="37"/>
      <c r="E132" s="38"/>
      <c r="F132" s="39" t="s">
        <v>50</v>
      </c>
      <c r="G132" s="36">
        <v>1</v>
      </c>
      <c r="H132" s="8"/>
    </row>
    <row r="133" spans="1:8" x14ac:dyDescent="0.25">
      <c r="A133" s="3"/>
      <c r="B133" s="40"/>
      <c r="C133" s="41"/>
      <c r="D133" s="40"/>
      <c r="E133" s="41"/>
      <c r="F133" s="42" t="s">
        <v>133</v>
      </c>
      <c r="G133" s="43">
        <v>3</v>
      </c>
      <c r="H133" s="8"/>
    </row>
    <row r="134" spans="1:8" x14ac:dyDescent="0.25">
      <c r="A134" s="4" t="s">
        <v>8</v>
      </c>
      <c r="B134" s="33" t="s">
        <v>47</v>
      </c>
      <c r="C134" s="34">
        <v>1</v>
      </c>
      <c r="D134" s="33" t="s">
        <v>47</v>
      </c>
      <c r="E134" s="34">
        <v>1</v>
      </c>
      <c r="F134" s="35" t="s">
        <v>47</v>
      </c>
      <c r="G134" s="36">
        <v>1</v>
      </c>
      <c r="H134" s="8"/>
    </row>
    <row r="135" spans="1:8" x14ac:dyDescent="0.25">
      <c r="A135" s="2"/>
      <c r="B135" s="37"/>
      <c r="C135" s="38"/>
      <c r="D135" s="37" t="s">
        <v>48</v>
      </c>
      <c r="E135" s="38">
        <v>2</v>
      </c>
      <c r="F135" s="39" t="s">
        <v>48</v>
      </c>
      <c r="G135" s="36">
        <v>2</v>
      </c>
      <c r="H135" s="8"/>
    </row>
    <row r="136" spans="1:8" x14ac:dyDescent="0.25">
      <c r="A136" s="3"/>
      <c r="B136" s="40"/>
      <c r="C136" s="41"/>
      <c r="D136" s="40"/>
      <c r="E136" s="41"/>
      <c r="F136" s="42"/>
      <c r="G136" s="43"/>
      <c r="H136" s="8"/>
    </row>
    <row r="137" spans="1:8" x14ac:dyDescent="0.25">
      <c r="A137" s="2" t="s">
        <v>9</v>
      </c>
      <c r="B137" s="37" t="s">
        <v>259</v>
      </c>
      <c r="C137" s="38">
        <v>1</v>
      </c>
      <c r="D137" s="37" t="s">
        <v>98</v>
      </c>
      <c r="E137" s="38">
        <v>2</v>
      </c>
      <c r="F137" s="39" t="s">
        <v>98</v>
      </c>
      <c r="G137" s="36">
        <v>2</v>
      </c>
      <c r="H137" s="8"/>
    </row>
    <row r="138" spans="1:8" x14ac:dyDescent="0.25">
      <c r="A138" s="2"/>
      <c r="B138" s="37"/>
      <c r="C138" s="38"/>
      <c r="D138" s="37"/>
      <c r="E138" s="38"/>
      <c r="F138" s="39"/>
      <c r="G138" s="36"/>
      <c r="H138" s="8"/>
    </row>
    <row r="139" spans="1:8" x14ac:dyDescent="0.25">
      <c r="A139" s="3"/>
      <c r="B139" s="40"/>
      <c r="C139" s="41"/>
      <c r="D139" s="40"/>
      <c r="E139" s="41"/>
      <c r="F139" s="42"/>
      <c r="G139" s="43"/>
      <c r="H139" s="8"/>
    </row>
    <row r="140" spans="1:8" x14ac:dyDescent="0.25">
      <c r="A140" s="2" t="s">
        <v>1224</v>
      </c>
      <c r="B140" s="37"/>
      <c r="C140" s="38"/>
      <c r="D140" s="37" t="s">
        <v>1294</v>
      </c>
      <c r="E140" s="38" t="s">
        <v>1074</v>
      </c>
      <c r="F140" s="39"/>
      <c r="G140" s="36"/>
      <c r="H140" s="8"/>
    </row>
    <row r="141" spans="1:8" x14ac:dyDescent="0.25">
      <c r="A141" s="2"/>
      <c r="B141" s="44"/>
      <c r="C141" s="38"/>
      <c r="D141" s="37"/>
      <c r="E141" s="38"/>
      <c r="F141" s="39"/>
      <c r="G141" s="36"/>
      <c r="H141" s="8"/>
    </row>
    <row r="142" spans="1:8" x14ac:dyDescent="0.25">
      <c r="A142" s="3"/>
      <c r="B142" s="40"/>
      <c r="C142" s="41"/>
      <c r="D142" s="40"/>
      <c r="E142" s="41"/>
      <c r="F142" s="42"/>
      <c r="G142" s="43"/>
      <c r="H142" s="8"/>
    </row>
    <row r="144" spans="1:8" x14ac:dyDescent="0.25">
      <c r="A144" s="1">
        <v>8</v>
      </c>
      <c r="B144" s="29" t="s">
        <v>1125</v>
      </c>
      <c r="C144" s="30"/>
      <c r="D144" s="29" t="s">
        <v>1218</v>
      </c>
      <c r="E144" s="30"/>
      <c r="F144" s="31" t="s">
        <v>1218</v>
      </c>
      <c r="G144" s="32"/>
      <c r="H144" s="8"/>
    </row>
    <row r="145" spans="1:14" x14ac:dyDescent="0.25">
      <c r="A145" s="4" t="s">
        <v>6</v>
      </c>
      <c r="B145" s="33" t="s">
        <v>49</v>
      </c>
      <c r="C145" s="34">
        <v>1</v>
      </c>
      <c r="D145" s="33" t="s">
        <v>49</v>
      </c>
      <c r="E145" s="34">
        <v>1</v>
      </c>
      <c r="F145" s="35" t="s">
        <v>49</v>
      </c>
      <c r="G145" s="36">
        <v>1</v>
      </c>
      <c r="H145" s="8"/>
      <c r="I145" s="7">
        <v>1</v>
      </c>
      <c r="J145" s="6">
        <v>0.33333333333333337</v>
      </c>
      <c r="K145" s="7">
        <v>1</v>
      </c>
      <c r="L145" s="6">
        <v>1</v>
      </c>
      <c r="M145" s="7">
        <v>1</v>
      </c>
      <c r="N145" s="7">
        <v>1</v>
      </c>
    </row>
    <row r="146" spans="1:14" x14ac:dyDescent="0.25">
      <c r="A146" s="2"/>
      <c r="B146" s="37"/>
      <c r="C146" s="38"/>
      <c r="D146" s="37"/>
      <c r="E146" s="38"/>
      <c r="F146" s="39" t="s">
        <v>134</v>
      </c>
      <c r="G146" s="36">
        <v>2</v>
      </c>
      <c r="H146" s="8"/>
    </row>
    <row r="147" spans="1:14" x14ac:dyDescent="0.25">
      <c r="A147" s="3"/>
      <c r="B147" s="40"/>
      <c r="C147" s="41"/>
      <c r="D147" s="40"/>
      <c r="E147" s="41"/>
      <c r="F147" s="42" t="s">
        <v>135</v>
      </c>
      <c r="G147" s="43">
        <v>3</v>
      </c>
      <c r="H147" s="8"/>
    </row>
    <row r="148" spans="1:14" x14ac:dyDescent="0.25">
      <c r="A148" s="4" t="s">
        <v>5</v>
      </c>
      <c r="B148" s="33"/>
      <c r="C148" s="34"/>
      <c r="D148" s="33" t="s">
        <v>99</v>
      </c>
      <c r="E148" s="34">
        <v>1</v>
      </c>
      <c r="F148" s="35"/>
      <c r="G148" s="36"/>
      <c r="H148" s="8"/>
    </row>
    <row r="149" spans="1:14" x14ac:dyDescent="0.25">
      <c r="A149" s="2"/>
      <c r="B149" s="37"/>
      <c r="C149" s="38"/>
      <c r="D149" s="37" t="s">
        <v>100</v>
      </c>
      <c r="E149" s="38">
        <v>2</v>
      </c>
      <c r="F149" s="39"/>
      <c r="G149" s="36"/>
      <c r="H149" s="8"/>
    </row>
    <row r="150" spans="1:14" x14ac:dyDescent="0.25">
      <c r="A150" s="3"/>
      <c r="B150" s="40"/>
      <c r="C150" s="41"/>
      <c r="D150" s="40"/>
      <c r="E150" s="41"/>
      <c r="F150" s="42"/>
      <c r="G150" s="43"/>
      <c r="H150" s="8"/>
    </row>
    <row r="151" spans="1:14" x14ac:dyDescent="0.25">
      <c r="A151" s="4" t="s">
        <v>7</v>
      </c>
      <c r="B151" s="33" t="s">
        <v>50</v>
      </c>
      <c r="C151" s="34">
        <v>1</v>
      </c>
      <c r="D151" s="33" t="s">
        <v>101</v>
      </c>
      <c r="E151" s="34">
        <v>2</v>
      </c>
      <c r="F151" s="35" t="s">
        <v>133</v>
      </c>
      <c r="G151" s="36">
        <v>3</v>
      </c>
      <c r="H151" s="8"/>
    </row>
    <row r="152" spans="1:14" x14ac:dyDescent="0.25">
      <c r="A152" s="2"/>
      <c r="B152" s="37"/>
      <c r="C152" s="38"/>
      <c r="D152" s="37" t="s">
        <v>50</v>
      </c>
      <c r="E152" s="38">
        <v>1</v>
      </c>
      <c r="F152" s="39" t="s">
        <v>50</v>
      </c>
      <c r="G152" s="36">
        <v>1</v>
      </c>
      <c r="H152" s="8"/>
    </row>
    <row r="153" spans="1:14" x14ac:dyDescent="0.25">
      <c r="A153" s="3"/>
      <c r="B153" s="40"/>
      <c r="C153" s="41"/>
      <c r="D153" s="40"/>
      <c r="E153" s="41"/>
      <c r="F153" s="42"/>
      <c r="G153" s="43"/>
      <c r="H153" s="8"/>
    </row>
    <row r="154" spans="1:14" x14ac:dyDescent="0.25">
      <c r="A154" s="4" t="s">
        <v>8</v>
      </c>
      <c r="B154" s="33" t="s">
        <v>51</v>
      </c>
      <c r="C154" s="34">
        <v>1</v>
      </c>
      <c r="D154" s="33" t="s">
        <v>102</v>
      </c>
      <c r="E154" s="34" t="s">
        <v>145</v>
      </c>
      <c r="F154" s="35" t="s">
        <v>102</v>
      </c>
      <c r="G154" s="47" t="s">
        <v>145</v>
      </c>
      <c r="H154" s="8"/>
    </row>
    <row r="155" spans="1:14" x14ac:dyDescent="0.25">
      <c r="A155" s="2"/>
      <c r="B155" s="37" t="s">
        <v>52</v>
      </c>
      <c r="C155" s="38">
        <v>2</v>
      </c>
      <c r="D155" s="37" t="s">
        <v>47</v>
      </c>
      <c r="E155" s="38">
        <v>3</v>
      </c>
      <c r="F155" s="39" t="s">
        <v>47</v>
      </c>
      <c r="G155" s="36">
        <v>3</v>
      </c>
      <c r="H155" s="8"/>
    </row>
    <row r="156" spans="1:14" x14ac:dyDescent="0.25">
      <c r="A156" s="3"/>
      <c r="B156" s="40" t="s">
        <v>53</v>
      </c>
      <c r="C156" s="41">
        <v>3</v>
      </c>
      <c r="D156" s="40"/>
      <c r="E156" s="41"/>
      <c r="F156" s="42" t="s">
        <v>136</v>
      </c>
      <c r="G156" s="43">
        <v>4</v>
      </c>
      <c r="H156" s="8"/>
    </row>
    <row r="157" spans="1:14" x14ac:dyDescent="0.25">
      <c r="A157" s="2" t="s">
        <v>9</v>
      </c>
      <c r="B157" s="37" t="s">
        <v>54</v>
      </c>
      <c r="C157" s="38">
        <v>1</v>
      </c>
      <c r="D157" s="37" t="s">
        <v>54</v>
      </c>
      <c r="E157" s="38">
        <v>1</v>
      </c>
      <c r="F157" s="37" t="s">
        <v>54</v>
      </c>
      <c r="G157" s="36">
        <v>2</v>
      </c>
      <c r="H157" s="8"/>
    </row>
    <row r="158" spans="1:14" x14ac:dyDescent="0.25">
      <c r="A158" s="2"/>
      <c r="B158" s="37"/>
      <c r="C158" s="38"/>
      <c r="D158" s="37"/>
      <c r="E158" s="38"/>
      <c r="F158" s="39" t="s">
        <v>137</v>
      </c>
      <c r="G158" s="36">
        <v>3</v>
      </c>
      <c r="H158" s="8"/>
    </row>
    <row r="159" spans="1:14" x14ac:dyDescent="0.25">
      <c r="A159" s="3"/>
      <c r="B159" s="40"/>
      <c r="C159" s="41"/>
      <c r="D159" s="40"/>
      <c r="E159" s="41"/>
      <c r="F159" s="42" t="s">
        <v>138</v>
      </c>
      <c r="G159" s="43">
        <v>4</v>
      </c>
      <c r="H159" s="8"/>
    </row>
    <row r="160" spans="1:14" x14ac:dyDescent="0.25">
      <c r="A160" s="2" t="s">
        <v>1224</v>
      </c>
      <c r="B160" s="37" t="s">
        <v>1242</v>
      </c>
      <c r="C160" s="38" t="s">
        <v>1072</v>
      </c>
      <c r="D160" s="37" t="s">
        <v>49</v>
      </c>
      <c r="E160" s="38" t="s">
        <v>1072</v>
      </c>
      <c r="F160" s="44" t="s">
        <v>1243</v>
      </c>
      <c r="G160" s="36" t="s">
        <v>1074</v>
      </c>
      <c r="H160" s="8"/>
    </row>
    <row r="161" spans="1:14" x14ac:dyDescent="0.25">
      <c r="A161" s="2"/>
      <c r="B161" s="44" t="s">
        <v>1243</v>
      </c>
      <c r="C161" s="38" t="s">
        <v>1074</v>
      </c>
      <c r="D161" s="37"/>
      <c r="E161" s="38"/>
      <c r="F161" s="39"/>
      <c r="G161" s="36"/>
      <c r="H161" s="8"/>
    </row>
    <row r="162" spans="1:14" x14ac:dyDescent="0.25">
      <c r="A162" s="3"/>
      <c r="B162" s="40"/>
      <c r="C162" s="41"/>
      <c r="D162" s="40"/>
      <c r="E162" s="41"/>
      <c r="F162" s="42"/>
      <c r="G162" s="43"/>
      <c r="H162" s="8"/>
    </row>
    <row r="164" spans="1:14" x14ac:dyDescent="0.25">
      <c r="A164" s="1">
        <v>9</v>
      </c>
      <c r="B164" s="29" t="s">
        <v>1126</v>
      </c>
      <c r="C164" s="30"/>
      <c r="D164" s="29" t="s">
        <v>1218</v>
      </c>
      <c r="E164" s="30"/>
      <c r="F164" s="31" t="s">
        <v>1218</v>
      </c>
      <c r="G164" s="32"/>
      <c r="H164" s="8"/>
    </row>
    <row r="165" spans="1:14" x14ac:dyDescent="0.25">
      <c r="A165" s="4" t="s">
        <v>6</v>
      </c>
      <c r="B165" s="33" t="s">
        <v>55</v>
      </c>
      <c r="C165" s="34">
        <v>1</v>
      </c>
      <c r="D165" s="33" t="s">
        <v>103</v>
      </c>
      <c r="E165" s="34">
        <v>2</v>
      </c>
      <c r="F165" s="35" t="s">
        <v>103</v>
      </c>
      <c r="G165" s="36">
        <v>2</v>
      </c>
      <c r="H165" s="8"/>
      <c r="I165" s="7">
        <v>0.66666666666666674</v>
      </c>
      <c r="J165" s="6">
        <v>1</v>
      </c>
      <c r="K165" s="7">
        <v>0.66666666666666674</v>
      </c>
      <c r="L165" s="6">
        <v>1</v>
      </c>
      <c r="M165" s="7">
        <v>0.66666666666666674</v>
      </c>
      <c r="N165" s="7">
        <v>0.66666666666666674</v>
      </c>
    </row>
    <row r="166" spans="1:14" x14ac:dyDescent="0.25">
      <c r="A166" s="2"/>
      <c r="B166" s="37"/>
      <c r="C166" s="38"/>
      <c r="D166" s="37" t="s">
        <v>55</v>
      </c>
      <c r="E166" s="38">
        <v>1</v>
      </c>
      <c r="F166" s="39" t="s">
        <v>139</v>
      </c>
      <c r="G166" s="36">
        <v>4</v>
      </c>
      <c r="H166" s="8"/>
    </row>
    <row r="167" spans="1:14" x14ac:dyDescent="0.25">
      <c r="A167" s="3"/>
      <c r="B167" s="40"/>
      <c r="C167" s="41"/>
      <c r="D167" s="40" t="s">
        <v>104</v>
      </c>
      <c r="E167" s="41">
        <v>3</v>
      </c>
      <c r="F167" s="42"/>
      <c r="G167" s="43"/>
      <c r="H167" s="8"/>
    </row>
    <row r="168" spans="1:14" x14ac:dyDescent="0.25">
      <c r="A168" s="4" t="s">
        <v>5</v>
      </c>
      <c r="B168" s="33" t="s">
        <v>56</v>
      </c>
      <c r="C168" s="34">
        <v>1</v>
      </c>
      <c r="D168" s="33" t="s">
        <v>105</v>
      </c>
      <c r="E168" s="34">
        <v>1</v>
      </c>
      <c r="F168" s="35" t="s">
        <v>23</v>
      </c>
      <c r="G168" s="36">
        <v>1</v>
      </c>
      <c r="H168" s="8"/>
    </row>
    <row r="169" spans="1:14" x14ac:dyDescent="0.25">
      <c r="A169" s="2"/>
      <c r="B169" s="37"/>
      <c r="C169" s="38"/>
      <c r="D169" s="37" t="s">
        <v>106</v>
      </c>
      <c r="E169" s="38">
        <v>2</v>
      </c>
      <c r="F169" s="39">
        <v>2016</v>
      </c>
      <c r="G169" s="36">
        <v>3</v>
      </c>
      <c r="H169" s="8"/>
    </row>
    <row r="170" spans="1:14" x14ac:dyDescent="0.25">
      <c r="A170" s="3"/>
      <c r="B170" s="40"/>
      <c r="C170" s="41"/>
      <c r="D170" s="40"/>
      <c r="E170" s="41"/>
      <c r="F170" s="42"/>
      <c r="G170" s="43"/>
      <c r="H170" s="8"/>
    </row>
    <row r="171" spans="1:14" x14ac:dyDescent="0.25">
      <c r="A171" s="4" t="s">
        <v>7</v>
      </c>
      <c r="B171" s="33" t="s">
        <v>50</v>
      </c>
      <c r="C171" s="34">
        <v>1</v>
      </c>
      <c r="D171" s="33" t="s">
        <v>107</v>
      </c>
      <c r="E171" s="34">
        <v>1</v>
      </c>
      <c r="F171" s="35" t="s">
        <v>101</v>
      </c>
      <c r="G171" s="36">
        <v>3</v>
      </c>
      <c r="H171" s="8"/>
    </row>
    <row r="172" spans="1:14" x14ac:dyDescent="0.25">
      <c r="A172" s="2"/>
      <c r="B172" s="37" t="s">
        <v>57</v>
      </c>
      <c r="C172" s="38">
        <v>2</v>
      </c>
      <c r="D172" s="37"/>
      <c r="E172" s="38"/>
      <c r="F172" s="39"/>
      <c r="G172" s="36"/>
      <c r="H172" s="8"/>
    </row>
    <row r="173" spans="1:14" x14ac:dyDescent="0.25">
      <c r="A173" s="3"/>
      <c r="B173" s="40"/>
      <c r="C173" s="41"/>
      <c r="D173" s="40"/>
      <c r="E173" s="41"/>
      <c r="F173" s="42"/>
      <c r="G173" s="43"/>
      <c r="H173" s="8"/>
    </row>
    <row r="174" spans="1:14" x14ac:dyDescent="0.25">
      <c r="A174" s="4" t="s">
        <v>8</v>
      </c>
      <c r="B174" s="33" t="s">
        <v>53</v>
      </c>
      <c r="C174" s="34">
        <v>1</v>
      </c>
      <c r="D174" s="33" t="s">
        <v>108</v>
      </c>
      <c r="E174" s="34">
        <v>1</v>
      </c>
      <c r="F174" s="35" t="s">
        <v>53</v>
      </c>
      <c r="G174" s="36">
        <v>1</v>
      </c>
      <c r="H174" s="8"/>
    </row>
    <row r="175" spans="1:14" x14ac:dyDescent="0.25">
      <c r="A175" s="2"/>
      <c r="B175" s="37"/>
      <c r="C175" s="38"/>
      <c r="D175" s="37"/>
      <c r="E175" s="38"/>
      <c r="F175" s="39"/>
      <c r="G175" s="36"/>
      <c r="H175" s="8"/>
    </row>
    <row r="176" spans="1:14" x14ac:dyDescent="0.25">
      <c r="A176" s="3"/>
      <c r="B176" s="40"/>
      <c r="C176" s="41"/>
      <c r="D176" s="40"/>
      <c r="E176" s="41"/>
      <c r="F176" s="42"/>
      <c r="G176" s="43"/>
      <c r="H176" s="8"/>
    </row>
    <row r="177" spans="1:14" x14ac:dyDescent="0.25">
      <c r="A177" s="2" t="s">
        <v>9</v>
      </c>
      <c r="B177" s="37" t="s">
        <v>58</v>
      </c>
      <c r="C177" s="38">
        <v>1</v>
      </c>
      <c r="D177" s="37" t="s">
        <v>109</v>
      </c>
      <c r="E177" s="38">
        <v>2</v>
      </c>
      <c r="F177" s="39" t="s">
        <v>109</v>
      </c>
      <c r="G177" s="36">
        <v>2</v>
      </c>
      <c r="H177" s="8"/>
    </row>
    <row r="178" spans="1:14" x14ac:dyDescent="0.25">
      <c r="A178" s="2"/>
      <c r="B178" s="37"/>
      <c r="C178" s="38"/>
      <c r="D178" s="37"/>
      <c r="E178" s="38"/>
      <c r="F178" s="39" t="s">
        <v>140</v>
      </c>
      <c r="G178" s="36">
        <v>1</v>
      </c>
      <c r="H178" s="8"/>
    </row>
    <row r="179" spans="1:14" x14ac:dyDescent="0.25">
      <c r="A179" s="3"/>
      <c r="B179" s="40"/>
      <c r="C179" s="41"/>
      <c r="D179" s="40"/>
      <c r="E179" s="41"/>
      <c r="F179" s="42"/>
      <c r="G179" s="43"/>
      <c r="H179" s="8"/>
    </row>
    <row r="180" spans="1:14" x14ac:dyDescent="0.25">
      <c r="A180" s="2" t="s">
        <v>1224</v>
      </c>
      <c r="B180" s="44" t="s">
        <v>1243</v>
      </c>
      <c r="C180" s="38" t="s">
        <v>1074</v>
      </c>
      <c r="D180" s="37" t="s">
        <v>109</v>
      </c>
      <c r="E180" s="38" t="s">
        <v>1074</v>
      </c>
      <c r="F180" s="37" t="s">
        <v>109</v>
      </c>
      <c r="G180" s="36" t="s">
        <v>1074</v>
      </c>
      <c r="H180" s="8"/>
    </row>
    <row r="181" spans="1:14" x14ac:dyDescent="0.25">
      <c r="A181" s="2"/>
      <c r="B181" s="44"/>
      <c r="C181" s="38"/>
      <c r="D181" s="37"/>
      <c r="E181" s="38"/>
      <c r="F181" s="39"/>
      <c r="G181" s="36"/>
      <c r="H181" s="8"/>
    </row>
    <row r="182" spans="1:14" x14ac:dyDescent="0.25">
      <c r="A182" s="3"/>
      <c r="B182" s="40"/>
      <c r="C182" s="41"/>
      <c r="D182" s="40"/>
      <c r="E182" s="41"/>
      <c r="F182" s="42"/>
      <c r="G182" s="43"/>
      <c r="H182" s="8"/>
    </row>
    <row r="184" spans="1:14" x14ac:dyDescent="0.25">
      <c r="A184" s="1">
        <v>10</v>
      </c>
      <c r="B184" s="29" t="s">
        <v>1127</v>
      </c>
      <c r="C184" s="30"/>
      <c r="D184" s="29" t="s">
        <v>1218</v>
      </c>
      <c r="E184" s="30"/>
      <c r="F184" s="31" t="s">
        <v>1218</v>
      </c>
      <c r="G184" s="32"/>
      <c r="H184" s="8"/>
    </row>
    <row r="185" spans="1:14" x14ac:dyDescent="0.25">
      <c r="A185" s="4" t="s">
        <v>6</v>
      </c>
      <c r="B185" s="33" t="s">
        <v>59</v>
      </c>
      <c r="C185" s="34">
        <v>1</v>
      </c>
      <c r="D185" s="33" t="s">
        <v>110</v>
      </c>
      <c r="E185" s="34">
        <v>1</v>
      </c>
      <c r="F185" s="35" t="s">
        <v>110</v>
      </c>
      <c r="G185" s="36">
        <v>1</v>
      </c>
      <c r="H185" s="8"/>
      <c r="I185" s="7">
        <v>1</v>
      </c>
      <c r="J185" s="6">
        <v>0.33333333333333337</v>
      </c>
      <c r="K185" s="7">
        <v>1</v>
      </c>
      <c r="L185" s="6">
        <v>1</v>
      </c>
      <c r="M185" s="7">
        <v>1</v>
      </c>
      <c r="N185" s="7">
        <v>1</v>
      </c>
    </row>
    <row r="186" spans="1:14" x14ac:dyDescent="0.25">
      <c r="A186" s="2"/>
      <c r="B186" s="37"/>
      <c r="C186" s="38"/>
      <c r="D186" s="37" t="s">
        <v>111</v>
      </c>
      <c r="E186" s="38">
        <v>2</v>
      </c>
      <c r="F186" s="39" t="s">
        <v>141</v>
      </c>
      <c r="G186" s="36">
        <v>3</v>
      </c>
      <c r="H186" s="8"/>
    </row>
    <row r="187" spans="1:14" x14ac:dyDescent="0.25">
      <c r="A187" s="3"/>
      <c r="B187" s="40"/>
      <c r="C187" s="41"/>
      <c r="D187" s="40"/>
      <c r="E187" s="41"/>
      <c r="F187" s="42" t="s">
        <v>142</v>
      </c>
      <c r="G187" s="43">
        <v>4</v>
      </c>
      <c r="H187" s="8"/>
    </row>
    <row r="188" spans="1:14" x14ac:dyDescent="0.25">
      <c r="A188" s="4" t="s">
        <v>5</v>
      </c>
      <c r="B188" s="33" t="s">
        <v>60</v>
      </c>
      <c r="C188" s="34">
        <v>1</v>
      </c>
      <c r="D188" s="33"/>
      <c r="E188" s="34"/>
      <c r="F188" s="35" t="s">
        <v>143</v>
      </c>
      <c r="G188" s="36">
        <v>1</v>
      </c>
      <c r="H188" s="8"/>
    </row>
    <row r="189" spans="1:14" x14ac:dyDescent="0.25">
      <c r="A189" s="2"/>
      <c r="B189" s="37"/>
      <c r="C189" s="38"/>
      <c r="D189" s="37"/>
      <c r="E189" s="38"/>
      <c r="F189" s="39"/>
      <c r="G189" s="36"/>
      <c r="H189" s="8"/>
    </row>
    <row r="190" spans="1:14" x14ac:dyDescent="0.25">
      <c r="A190" s="3"/>
      <c r="B190" s="40"/>
      <c r="C190" s="41"/>
      <c r="D190" s="40"/>
      <c r="E190" s="41"/>
      <c r="F190" s="42"/>
      <c r="G190" s="43"/>
      <c r="H190" s="8"/>
    </row>
    <row r="191" spans="1:14" x14ac:dyDescent="0.25">
      <c r="A191" s="4" t="s">
        <v>7</v>
      </c>
      <c r="B191" s="33" t="s">
        <v>61</v>
      </c>
      <c r="C191" s="34">
        <v>1</v>
      </c>
      <c r="D191" s="33" t="s">
        <v>61</v>
      </c>
      <c r="E191" s="34">
        <v>1</v>
      </c>
      <c r="F191" s="35" t="s">
        <v>61</v>
      </c>
      <c r="G191" s="36">
        <v>1</v>
      </c>
      <c r="H191" s="8"/>
    </row>
    <row r="192" spans="1:14" x14ac:dyDescent="0.25">
      <c r="A192" s="2"/>
      <c r="B192" s="37"/>
      <c r="C192" s="38"/>
      <c r="D192" s="37" t="s">
        <v>101</v>
      </c>
      <c r="E192" s="38">
        <v>2</v>
      </c>
      <c r="F192" s="39" t="s">
        <v>101</v>
      </c>
      <c r="G192" s="36">
        <v>2</v>
      </c>
      <c r="H192" s="8"/>
    </row>
    <row r="193" spans="1:14" x14ac:dyDescent="0.25">
      <c r="A193" s="3"/>
      <c r="B193" s="40"/>
      <c r="C193" s="41"/>
      <c r="D193" s="40"/>
      <c r="E193" s="41"/>
      <c r="F193" s="42"/>
      <c r="G193" s="43"/>
      <c r="H193" s="8"/>
    </row>
    <row r="194" spans="1:14" x14ac:dyDescent="0.25">
      <c r="A194" s="4" t="s">
        <v>8</v>
      </c>
      <c r="B194" s="33" t="s">
        <v>62</v>
      </c>
      <c r="C194" s="34">
        <v>1</v>
      </c>
      <c r="D194" s="33" t="s">
        <v>62</v>
      </c>
      <c r="E194" s="34">
        <v>1</v>
      </c>
      <c r="F194" s="35" t="s">
        <v>62</v>
      </c>
      <c r="G194" s="36">
        <v>1</v>
      </c>
      <c r="H194" s="8"/>
    </row>
    <row r="195" spans="1:14" x14ac:dyDescent="0.25">
      <c r="A195" s="2"/>
      <c r="B195" s="37" t="s">
        <v>51</v>
      </c>
      <c r="C195" s="38">
        <v>2</v>
      </c>
      <c r="D195" s="37" t="s">
        <v>51</v>
      </c>
      <c r="E195" s="38">
        <v>2</v>
      </c>
      <c r="F195" s="39"/>
      <c r="G195" s="36">
        <v>2</v>
      </c>
      <c r="H195" s="8"/>
    </row>
    <row r="196" spans="1:14" x14ac:dyDescent="0.25">
      <c r="A196" s="3"/>
      <c r="B196" s="40"/>
      <c r="C196" s="41"/>
      <c r="D196" s="40"/>
      <c r="E196" s="41"/>
      <c r="F196" s="42"/>
      <c r="G196" s="43"/>
      <c r="H196" s="8"/>
    </row>
    <row r="197" spans="1:14" x14ac:dyDescent="0.25">
      <c r="A197" s="2" t="s">
        <v>9</v>
      </c>
      <c r="B197" s="37" t="s">
        <v>63</v>
      </c>
      <c r="C197" s="38">
        <v>1</v>
      </c>
      <c r="D197" s="37" t="s">
        <v>112</v>
      </c>
      <c r="E197" s="38">
        <v>2</v>
      </c>
      <c r="F197" s="39" t="s">
        <v>144</v>
      </c>
      <c r="G197" s="36">
        <v>3</v>
      </c>
      <c r="H197" s="8"/>
    </row>
    <row r="198" spans="1:14" x14ac:dyDescent="0.25">
      <c r="A198" s="2"/>
      <c r="B198" s="37" t="s">
        <v>54</v>
      </c>
      <c r="C198" s="38">
        <v>2</v>
      </c>
      <c r="D198" s="37"/>
      <c r="E198" s="38"/>
      <c r="F198" s="48" t="s">
        <v>146</v>
      </c>
      <c r="G198" s="36" t="s">
        <v>1072</v>
      </c>
      <c r="H198" s="8"/>
    </row>
    <row r="199" spans="1:14" x14ac:dyDescent="0.25">
      <c r="A199" s="3"/>
      <c r="B199" s="40"/>
      <c r="C199" s="41"/>
      <c r="D199" s="40"/>
      <c r="E199" s="41"/>
      <c r="F199" s="42"/>
      <c r="G199" s="43"/>
      <c r="H199" s="8"/>
    </row>
    <row r="200" spans="1:14" x14ac:dyDescent="0.25">
      <c r="A200" s="2" t="s">
        <v>1224</v>
      </c>
      <c r="B200" s="37" t="s">
        <v>1244</v>
      </c>
      <c r="C200" s="38" t="s">
        <v>1074</v>
      </c>
      <c r="D200" s="37" t="s">
        <v>110</v>
      </c>
      <c r="E200" s="38" t="s">
        <v>1074</v>
      </c>
      <c r="F200" s="37" t="s">
        <v>1244</v>
      </c>
      <c r="G200" s="36" t="s">
        <v>1074</v>
      </c>
      <c r="H200" s="8"/>
    </row>
    <row r="201" spans="1:14" x14ac:dyDescent="0.25">
      <c r="A201" s="2"/>
      <c r="B201" s="44"/>
      <c r="C201" s="38"/>
      <c r="D201" s="37"/>
      <c r="E201" s="38"/>
      <c r="F201" s="39"/>
      <c r="G201" s="36"/>
      <c r="H201" s="8"/>
    </row>
    <row r="202" spans="1:14" x14ac:dyDescent="0.25">
      <c r="A202" s="3"/>
      <c r="B202" s="40"/>
      <c r="C202" s="41"/>
      <c r="D202" s="40"/>
      <c r="E202" s="41"/>
      <c r="F202" s="42"/>
      <c r="G202" s="43"/>
      <c r="H202" s="8"/>
    </row>
    <row r="204" spans="1:14" x14ac:dyDescent="0.25">
      <c r="A204" s="1">
        <v>11</v>
      </c>
      <c r="B204" s="29" t="s">
        <v>1128</v>
      </c>
      <c r="C204" s="30"/>
      <c r="D204" s="29" t="s">
        <v>1218</v>
      </c>
      <c r="E204" s="30"/>
      <c r="F204" s="31" t="s">
        <v>1218</v>
      </c>
      <c r="G204" s="32"/>
      <c r="H204" s="8"/>
    </row>
    <row r="205" spans="1:14" x14ac:dyDescent="0.25">
      <c r="A205" s="4" t="s">
        <v>6</v>
      </c>
      <c r="B205" s="33" t="s">
        <v>151</v>
      </c>
      <c r="C205" s="34">
        <v>1</v>
      </c>
      <c r="D205" s="33" t="s">
        <v>256</v>
      </c>
      <c r="E205" s="34">
        <v>2</v>
      </c>
      <c r="F205" s="35" t="s">
        <v>256</v>
      </c>
      <c r="G205" s="36">
        <v>2</v>
      </c>
      <c r="H205" s="8"/>
      <c r="I205" s="7">
        <v>1</v>
      </c>
      <c r="J205" s="6">
        <v>1</v>
      </c>
      <c r="K205" s="7">
        <v>1</v>
      </c>
      <c r="L205" s="6">
        <v>1</v>
      </c>
      <c r="M205" s="7">
        <v>1</v>
      </c>
      <c r="N205" s="7">
        <v>1</v>
      </c>
    </row>
    <row r="206" spans="1:14" x14ac:dyDescent="0.25">
      <c r="A206" s="2"/>
      <c r="B206" s="37"/>
      <c r="C206" s="38"/>
      <c r="D206" s="37" t="s">
        <v>257</v>
      </c>
      <c r="E206" s="38">
        <v>1</v>
      </c>
      <c r="F206" s="39" t="s">
        <v>257</v>
      </c>
      <c r="G206" s="36">
        <v>1</v>
      </c>
      <c r="H206" s="8"/>
    </row>
    <row r="207" spans="1:14" x14ac:dyDescent="0.25">
      <c r="A207" s="3"/>
      <c r="B207" s="40"/>
      <c r="C207" s="41"/>
      <c r="D207" s="40"/>
      <c r="E207" s="41"/>
      <c r="F207" s="42"/>
      <c r="G207" s="43"/>
      <c r="H207" s="8"/>
    </row>
    <row r="208" spans="1:14" x14ac:dyDescent="0.25">
      <c r="A208" s="4" t="s">
        <v>5</v>
      </c>
      <c r="B208" s="33">
        <v>2016</v>
      </c>
      <c r="C208" s="34">
        <v>1</v>
      </c>
      <c r="D208" s="33">
        <v>2016</v>
      </c>
      <c r="E208" s="34">
        <v>1</v>
      </c>
      <c r="F208" s="35">
        <v>2016</v>
      </c>
      <c r="G208" s="36">
        <v>1</v>
      </c>
      <c r="H208" s="8"/>
    </row>
    <row r="209" spans="1:8" x14ac:dyDescent="0.25">
      <c r="A209" s="2"/>
      <c r="B209" s="37"/>
      <c r="C209" s="38"/>
      <c r="D209" s="37"/>
      <c r="E209" s="38"/>
      <c r="F209" s="39"/>
      <c r="G209" s="36"/>
      <c r="H209" s="8"/>
    </row>
    <row r="210" spans="1:8" x14ac:dyDescent="0.25">
      <c r="A210" s="3"/>
      <c r="B210" s="40"/>
      <c r="C210" s="41"/>
      <c r="D210" s="40"/>
      <c r="E210" s="41"/>
      <c r="F210" s="42"/>
      <c r="G210" s="43"/>
      <c r="H210" s="8"/>
    </row>
    <row r="211" spans="1:8" x14ac:dyDescent="0.25">
      <c r="A211" s="4" t="s">
        <v>7</v>
      </c>
      <c r="B211" s="33"/>
      <c r="C211" s="34"/>
      <c r="E211" s="34"/>
      <c r="F211" s="35"/>
      <c r="G211" s="36"/>
      <c r="H211" s="8"/>
    </row>
    <row r="212" spans="1:8" x14ac:dyDescent="0.25">
      <c r="A212" s="2"/>
      <c r="B212" s="37"/>
      <c r="C212" s="38"/>
      <c r="E212" s="38"/>
      <c r="F212" s="39"/>
      <c r="G212" s="36"/>
      <c r="H212" s="8"/>
    </row>
    <row r="213" spans="1:8" x14ac:dyDescent="0.25">
      <c r="A213" s="3"/>
      <c r="B213" s="40"/>
      <c r="C213" s="41"/>
      <c r="D213" s="40"/>
      <c r="E213" s="41"/>
      <c r="F213" s="42"/>
      <c r="G213" s="43"/>
      <c r="H213" s="8"/>
    </row>
    <row r="214" spans="1:8" x14ac:dyDescent="0.25">
      <c r="A214" s="4" t="s">
        <v>8</v>
      </c>
      <c r="B214" s="33" t="s">
        <v>152</v>
      </c>
      <c r="C214" s="34">
        <v>1</v>
      </c>
      <c r="D214" s="33" t="s">
        <v>152</v>
      </c>
      <c r="E214" s="34">
        <v>1</v>
      </c>
      <c r="F214" s="35" t="s">
        <v>152</v>
      </c>
      <c r="G214" s="36">
        <v>1</v>
      </c>
      <c r="H214" s="8"/>
    </row>
    <row r="215" spans="1:8" x14ac:dyDescent="0.25">
      <c r="A215" s="2"/>
      <c r="B215" s="37"/>
      <c r="C215" s="38"/>
      <c r="D215" s="37" t="s">
        <v>258</v>
      </c>
      <c r="E215" s="38">
        <v>2</v>
      </c>
      <c r="F215" s="39"/>
      <c r="G215" s="36"/>
      <c r="H215" s="8"/>
    </row>
    <row r="216" spans="1:8" x14ac:dyDescent="0.25">
      <c r="A216" s="3"/>
      <c r="B216" s="40"/>
      <c r="C216" s="41"/>
      <c r="D216" s="40"/>
      <c r="E216" s="41"/>
      <c r="F216" s="42"/>
      <c r="G216" s="43"/>
      <c r="H216" s="8"/>
    </row>
    <row r="217" spans="1:8" x14ac:dyDescent="0.25">
      <c r="A217" s="2" t="s">
        <v>9</v>
      </c>
      <c r="B217" s="37"/>
      <c r="C217" s="38"/>
      <c r="D217" s="37"/>
      <c r="E217" s="38"/>
      <c r="F217" s="39"/>
      <c r="G217" s="36"/>
      <c r="H217" s="8"/>
    </row>
    <row r="218" spans="1:8" x14ac:dyDescent="0.25">
      <c r="A218" s="2"/>
      <c r="B218" s="37"/>
      <c r="C218" s="38"/>
      <c r="D218" s="37"/>
      <c r="E218" s="38"/>
      <c r="F218" s="48"/>
      <c r="G218" s="36"/>
      <c r="H218" s="8"/>
    </row>
    <row r="219" spans="1:8" x14ac:dyDescent="0.25">
      <c r="A219" s="3"/>
      <c r="B219" s="40"/>
      <c r="C219" s="41"/>
      <c r="D219" s="40"/>
      <c r="E219" s="41"/>
      <c r="F219" s="42"/>
      <c r="G219" s="43"/>
      <c r="H219" s="8"/>
    </row>
    <row r="220" spans="1:8" x14ac:dyDescent="0.25">
      <c r="A220" s="2" t="s">
        <v>1224</v>
      </c>
      <c r="B220" s="37" t="s">
        <v>1245</v>
      </c>
      <c r="C220" s="38" t="s">
        <v>1074</v>
      </c>
      <c r="D220" s="37" t="s">
        <v>1295</v>
      </c>
      <c r="E220" s="38" t="s">
        <v>1074</v>
      </c>
      <c r="F220" s="39" t="s">
        <v>256</v>
      </c>
      <c r="G220" s="36" t="s">
        <v>1074</v>
      </c>
      <c r="H220" s="8"/>
    </row>
    <row r="221" spans="1:8" x14ac:dyDescent="0.25">
      <c r="A221" s="2"/>
      <c r="B221" s="44"/>
      <c r="C221" s="38"/>
      <c r="D221" s="37"/>
      <c r="E221" s="38"/>
      <c r="F221" s="39"/>
      <c r="G221" s="36"/>
      <c r="H221" s="8"/>
    </row>
    <row r="222" spans="1:8" x14ac:dyDescent="0.25">
      <c r="A222" s="3"/>
      <c r="B222" s="40"/>
      <c r="C222" s="41"/>
      <c r="D222" s="40"/>
      <c r="E222" s="41"/>
      <c r="F222" s="42"/>
      <c r="G222" s="43"/>
      <c r="H222" s="8"/>
    </row>
    <row r="224" spans="1:8" x14ac:dyDescent="0.25">
      <c r="A224" s="1">
        <v>12</v>
      </c>
      <c r="B224" s="29" t="s">
        <v>1129</v>
      </c>
      <c r="C224" s="30"/>
      <c r="D224" s="29" t="s">
        <v>1218</v>
      </c>
      <c r="E224" s="30"/>
      <c r="F224" s="31" t="s">
        <v>1218</v>
      </c>
      <c r="G224" s="32"/>
      <c r="H224" s="8"/>
    </row>
    <row r="225" spans="1:14" x14ac:dyDescent="0.25">
      <c r="A225" s="4" t="s">
        <v>6</v>
      </c>
      <c r="B225" s="33" t="s">
        <v>153</v>
      </c>
      <c r="C225" s="34">
        <v>1</v>
      </c>
      <c r="D225" s="33" t="s">
        <v>246</v>
      </c>
      <c r="E225" s="34">
        <v>2</v>
      </c>
      <c r="F225" s="35" t="s">
        <v>307</v>
      </c>
      <c r="G225" s="36">
        <v>5</v>
      </c>
      <c r="H225" s="8"/>
      <c r="I225" s="7">
        <v>0</v>
      </c>
      <c r="J225" s="6">
        <v>1</v>
      </c>
      <c r="K225" s="7">
        <v>0</v>
      </c>
      <c r="L225" s="6">
        <v>0.66666666666666674</v>
      </c>
      <c r="M225" s="7">
        <v>0.33333333333333337</v>
      </c>
      <c r="N225" s="7">
        <v>0.33333333333333337</v>
      </c>
    </row>
    <row r="226" spans="1:14" x14ac:dyDescent="0.25">
      <c r="A226" s="2"/>
      <c r="B226" s="37"/>
      <c r="C226" s="38"/>
      <c r="D226" s="37" t="s">
        <v>247</v>
      </c>
      <c r="E226" s="38">
        <v>3</v>
      </c>
      <c r="F226" s="39"/>
      <c r="G226" s="36"/>
      <c r="H226" s="8"/>
    </row>
    <row r="227" spans="1:14" x14ac:dyDescent="0.25">
      <c r="A227" s="3"/>
      <c r="B227" s="40"/>
      <c r="C227" s="41"/>
      <c r="D227" s="40" t="s">
        <v>248</v>
      </c>
      <c r="E227" s="41">
        <v>4</v>
      </c>
      <c r="F227" s="42"/>
      <c r="G227" s="43"/>
      <c r="H227" s="8"/>
    </row>
    <row r="228" spans="1:14" x14ac:dyDescent="0.25">
      <c r="A228" s="4" t="s">
        <v>5</v>
      </c>
      <c r="B228" s="33" t="s">
        <v>37</v>
      </c>
      <c r="C228" s="34">
        <v>1</v>
      </c>
      <c r="D228" s="33">
        <v>2016</v>
      </c>
      <c r="E228" s="34">
        <v>2</v>
      </c>
      <c r="F228" s="35" t="s">
        <v>37</v>
      </c>
      <c r="G228" s="36">
        <v>1</v>
      </c>
      <c r="H228" s="8"/>
    </row>
    <row r="229" spans="1:14" x14ac:dyDescent="0.25">
      <c r="A229" s="2"/>
      <c r="B229" s="37"/>
      <c r="C229" s="38"/>
      <c r="D229" s="37" t="s">
        <v>37</v>
      </c>
      <c r="E229" s="38">
        <v>1</v>
      </c>
      <c r="F229" s="39" t="s">
        <v>308</v>
      </c>
      <c r="G229" s="36">
        <v>3</v>
      </c>
      <c r="H229" s="8"/>
    </row>
    <row r="230" spans="1:14" x14ac:dyDescent="0.25">
      <c r="A230" s="3"/>
      <c r="B230" s="40"/>
      <c r="C230" s="41"/>
      <c r="D230" s="40"/>
      <c r="E230" s="41"/>
      <c r="F230" s="42"/>
      <c r="G230" s="43"/>
      <c r="H230" s="8"/>
    </row>
    <row r="231" spans="1:14" x14ac:dyDescent="0.25">
      <c r="A231" s="4" t="s">
        <v>7</v>
      </c>
      <c r="B231" s="33" t="s">
        <v>154</v>
      </c>
      <c r="C231" s="34">
        <v>1</v>
      </c>
      <c r="D231" s="33" t="s">
        <v>249</v>
      </c>
      <c r="E231" s="34">
        <v>2</v>
      </c>
      <c r="F231" s="35" t="s">
        <v>309</v>
      </c>
      <c r="G231" s="36">
        <v>3</v>
      </c>
      <c r="H231" s="8"/>
    </row>
    <row r="232" spans="1:14" x14ac:dyDescent="0.25">
      <c r="A232" s="2"/>
      <c r="B232" s="37"/>
      <c r="C232" s="38"/>
      <c r="D232" s="37"/>
      <c r="E232" s="38"/>
      <c r="F232" s="39"/>
      <c r="G232" s="36"/>
      <c r="H232" s="8"/>
    </row>
    <row r="233" spans="1:14" x14ac:dyDescent="0.25">
      <c r="A233" s="3"/>
      <c r="B233" s="40"/>
      <c r="C233" s="41"/>
      <c r="D233" s="40"/>
      <c r="E233" s="41"/>
      <c r="F233" s="42"/>
      <c r="G233" s="43"/>
      <c r="H233" s="8"/>
    </row>
    <row r="234" spans="1:14" x14ac:dyDescent="0.25">
      <c r="A234" s="4" t="s">
        <v>8</v>
      </c>
      <c r="B234" s="33" t="s">
        <v>152</v>
      </c>
      <c r="C234" s="34">
        <v>1</v>
      </c>
      <c r="D234" s="33" t="s">
        <v>250</v>
      </c>
      <c r="E234" s="34">
        <v>2</v>
      </c>
      <c r="F234" s="35" t="s">
        <v>250</v>
      </c>
      <c r="G234" s="36">
        <v>2</v>
      </c>
      <c r="H234" s="8"/>
    </row>
    <row r="235" spans="1:14" x14ac:dyDescent="0.25">
      <c r="A235" s="2"/>
      <c r="B235" s="37"/>
      <c r="C235" s="38"/>
      <c r="D235" s="37" t="s">
        <v>251</v>
      </c>
      <c r="E235" s="38">
        <v>1</v>
      </c>
      <c r="F235" s="39"/>
      <c r="G235" s="36"/>
      <c r="H235" s="8"/>
    </row>
    <row r="236" spans="1:14" x14ac:dyDescent="0.25">
      <c r="A236" s="3"/>
      <c r="B236" s="40"/>
      <c r="C236" s="41"/>
      <c r="D236" s="40"/>
      <c r="E236" s="41"/>
      <c r="F236" s="42"/>
      <c r="G236" s="43"/>
      <c r="H236" s="8"/>
    </row>
    <row r="237" spans="1:14" x14ac:dyDescent="0.25">
      <c r="A237" s="2" t="s">
        <v>9</v>
      </c>
      <c r="B237" s="37"/>
      <c r="C237" s="38"/>
      <c r="D237" s="37" t="s">
        <v>153</v>
      </c>
      <c r="E237" s="38">
        <v>1</v>
      </c>
      <c r="F237" s="39" t="s">
        <v>310</v>
      </c>
      <c r="G237" s="36">
        <v>1</v>
      </c>
      <c r="H237" s="8"/>
    </row>
    <row r="238" spans="1:14" x14ac:dyDescent="0.25">
      <c r="A238" s="2"/>
      <c r="B238" s="37"/>
      <c r="C238" s="38"/>
      <c r="D238" s="37"/>
      <c r="E238" s="38"/>
      <c r="F238" s="48"/>
      <c r="G238" s="36"/>
      <c r="H238" s="8"/>
    </row>
    <row r="239" spans="1:14" x14ac:dyDescent="0.25">
      <c r="A239" s="3"/>
      <c r="B239" s="40"/>
      <c r="C239" s="41"/>
      <c r="D239" s="40"/>
      <c r="E239" s="41"/>
      <c r="F239" s="42"/>
      <c r="G239" s="43"/>
      <c r="H239" s="8"/>
    </row>
    <row r="240" spans="1:14" x14ac:dyDescent="0.25">
      <c r="A240" s="2" t="s">
        <v>1224</v>
      </c>
      <c r="B240" s="37" t="s">
        <v>1246</v>
      </c>
      <c r="C240" s="38" t="s">
        <v>1074</v>
      </c>
      <c r="D240" s="37" t="s">
        <v>1296</v>
      </c>
      <c r="E240" s="38" t="s">
        <v>1074</v>
      </c>
      <c r="F240" s="39"/>
      <c r="G240" s="36"/>
      <c r="H240" s="8"/>
    </row>
    <row r="241" spans="1:14" x14ac:dyDescent="0.25">
      <c r="A241" s="2"/>
      <c r="B241" s="44"/>
      <c r="C241" s="38"/>
      <c r="D241" s="37"/>
      <c r="E241" s="38"/>
      <c r="F241" s="39"/>
      <c r="G241" s="36"/>
      <c r="H241" s="8"/>
    </row>
    <row r="242" spans="1:14" x14ac:dyDescent="0.25">
      <c r="A242" s="3"/>
      <c r="B242" s="40"/>
      <c r="C242" s="41"/>
      <c r="D242" s="40"/>
      <c r="E242" s="41"/>
      <c r="F242" s="42"/>
      <c r="G242" s="43"/>
      <c r="H242" s="8"/>
    </row>
    <row r="244" spans="1:14" x14ac:dyDescent="0.25">
      <c r="A244" s="1">
        <v>13</v>
      </c>
      <c r="B244" s="29" t="s">
        <v>1130</v>
      </c>
      <c r="C244" s="30"/>
      <c r="D244" s="29" t="s">
        <v>1218</v>
      </c>
      <c r="E244" s="30"/>
      <c r="F244" s="31" t="s">
        <v>1218</v>
      </c>
      <c r="G244" s="32"/>
      <c r="H244" s="8"/>
    </row>
    <row r="245" spans="1:14" x14ac:dyDescent="0.25">
      <c r="A245" s="4" t="s">
        <v>6</v>
      </c>
      <c r="B245" s="33" t="s">
        <v>155</v>
      </c>
      <c r="C245" s="34">
        <v>1</v>
      </c>
      <c r="D245" s="33" t="s">
        <v>252</v>
      </c>
      <c r="E245" s="34">
        <v>1</v>
      </c>
      <c r="F245" s="35" t="s">
        <v>260</v>
      </c>
      <c r="G245" s="36">
        <v>4</v>
      </c>
      <c r="H245" s="8"/>
      <c r="I245" s="7">
        <v>0.33333333333333337</v>
      </c>
      <c r="J245" s="6">
        <v>1</v>
      </c>
      <c r="K245" s="7">
        <v>1</v>
      </c>
      <c r="L245" s="6">
        <v>1</v>
      </c>
      <c r="M245" s="7">
        <v>0</v>
      </c>
      <c r="N245" s="7">
        <v>0</v>
      </c>
    </row>
    <row r="246" spans="1:14" x14ac:dyDescent="0.25">
      <c r="A246" s="2"/>
      <c r="B246" s="37"/>
      <c r="C246" s="38"/>
      <c r="D246" s="37" t="s">
        <v>253</v>
      </c>
      <c r="E246" s="38">
        <v>2</v>
      </c>
      <c r="F246" s="39"/>
      <c r="G246" s="36"/>
      <c r="H246" s="8"/>
    </row>
    <row r="247" spans="1:14" x14ac:dyDescent="0.25">
      <c r="A247" s="3"/>
      <c r="B247" s="40"/>
      <c r="C247" s="41"/>
      <c r="D247" s="40" t="s">
        <v>254</v>
      </c>
      <c r="E247" s="41">
        <v>3</v>
      </c>
      <c r="F247" s="42"/>
      <c r="G247" s="43"/>
      <c r="H247" s="8"/>
    </row>
    <row r="248" spans="1:14" x14ac:dyDescent="0.25">
      <c r="A248" s="4" t="s">
        <v>5</v>
      </c>
      <c r="B248" s="33" t="s">
        <v>156</v>
      </c>
      <c r="C248" s="34">
        <v>1</v>
      </c>
      <c r="D248" s="33" t="s">
        <v>255</v>
      </c>
      <c r="E248" s="34">
        <v>1</v>
      </c>
      <c r="F248" s="35" t="s">
        <v>1106</v>
      </c>
      <c r="G248" s="36">
        <v>2</v>
      </c>
      <c r="H248" s="8"/>
    </row>
    <row r="249" spans="1:14" x14ac:dyDescent="0.25">
      <c r="A249" s="2"/>
      <c r="B249" s="37"/>
      <c r="C249" s="38"/>
      <c r="D249" s="37" t="s">
        <v>1106</v>
      </c>
      <c r="E249" s="38">
        <v>2</v>
      </c>
      <c r="F249" s="39" t="s">
        <v>261</v>
      </c>
      <c r="G249" s="36">
        <v>1</v>
      </c>
      <c r="H249" s="8"/>
    </row>
    <row r="250" spans="1:14" x14ac:dyDescent="0.25">
      <c r="A250" s="3"/>
      <c r="B250" s="40"/>
      <c r="C250" s="41"/>
      <c r="D250" s="40"/>
      <c r="E250" s="41"/>
      <c r="F250" s="42"/>
      <c r="G250" s="43"/>
      <c r="H250" s="8"/>
    </row>
    <row r="251" spans="1:14" x14ac:dyDescent="0.25">
      <c r="A251" s="4" t="s">
        <v>7</v>
      </c>
      <c r="B251" s="33"/>
      <c r="C251" s="34"/>
      <c r="D251" s="33"/>
      <c r="E251" s="34"/>
      <c r="F251" s="35"/>
      <c r="G251" s="36"/>
      <c r="H251" s="8"/>
    </row>
    <row r="252" spans="1:14" x14ac:dyDescent="0.25">
      <c r="A252" s="2"/>
      <c r="B252" s="37"/>
      <c r="C252" s="38"/>
      <c r="D252" s="37"/>
      <c r="E252" s="38"/>
      <c r="F252" s="39"/>
      <c r="G252" s="36"/>
      <c r="H252" s="8"/>
    </row>
    <row r="253" spans="1:14" x14ac:dyDescent="0.25">
      <c r="A253" s="3"/>
      <c r="B253" s="40"/>
      <c r="C253" s="41"/>
      <c r="D253" s="40"/>
      <c r="E253" s="41"/>
      <c r="F253" s="42"/>
      <c r="G253" s="43"/>
      <c r="H253" s="8"/>
    </row>
    <row r="254" spans="1:14" x14ac:dyDescent="0.25">
      <c r="A254" s="4" t="s">
        <v>8</v>
      </c>
      <c r="B254" s="33" t="s">
        <v>152</v>
      </c>
      <c r="C254" s="34">
        <v>1</v>
      </c>
      <c r="D254" s="33" t="s">
        <v>152</v>
      </c>
      <c r="E254" s="34">
        <v>1</v>
      </c>
      <c r="F254" s="35" t="s">
        <v>262</v>
      </c>
      <c r="G254" s="36">
        <v>1</v>
      </c>
      <c r="H254" s="8"/>
    </row>
    <row r="255" spans="1:14" x14ac:dyDescent="0.25">
      <c r="A255" s="2"/>
      <c r="B255" s="37"/>
      <c r="C255" s="38"/>
      <c r="D255" s="37"/>
      <c r="E255" s="38"/>
      <c r="F255" s="39"/>
      <c r="G255" s="36"/>
      <c r="H255" s="8"/>
    </row>
    <row r="256" spans="1:14" x14ac:dyDescent="0.25">
      <c r="A256" s="3"/>
      <c r="B256" s="40"/>
      <c r="C256" s="41"/>
      <c r="D256" s="40"/>
      <c r="E256" s="41"/>
      <c r="F256" s="42"/>
      <c r="G256" s="43"/>
      <c r="H256" s="8"/>
    </row>
    <row r="257" spans="1:14" x14ac:dyDescent="0.25">
      <c r="A257" s="2" t="s">
        <v>9</v>
      </c>
      <c r="B257" s="37" t="s">
        <v>157</v>
      </c>
      <c r="C257" s="38">
        <v>1</v>
      </c>
      <c r="D257" s="37"/>
      <c r="E257" s="38"/>
      <c r="F257" s="39" t="s">
        <v>263</v>
      </c>
      <c r="G257" s="36">
        <v>2</v>
      </c>
      <c r="H257" s="8"/>
    </row>
    <row r="258" spans="1:14" x14ac:dyDescent="0.25">
      <c r="A258" s="2"/>
      <c r="B258" s="37"/>
      <c r="C258" s="38"/>
      <c r="D258" s="37"/>
      <c r="E258" s="38"/>
      <c r="F258" s="48" t="s">
        <v>264</v>
      </c>
      <c r="G258" s="36">
        <v>3</v>
      </c>
      <c r="H258" s="8"/>
    </row>
    <row r="259" spans="1:14" x14ac:dyDescent="0.25">
      <c r="A259" s="3"/>
      <c r="B259" s="40"/>
      <c r="C259" s="41"/>
      <c r="D259" s="40"/>
      <c r="E259" s="41"/>
      <c r="F259" s="42"/>
      <c r="G259" s="43"/>
      <c r="H259" s="8"/>
    </row>
    <row r="260" spans="1:14" x14ac:dyDescent="0.25">
      <c r="A260" s="2" t="s">
        <v>1224</v>
      </c>
      <c r="B260" s="37" t="s">
        <v>1247</v>
      </c>
      <c r="C260" s="38" t="s">
        <v>1074</v>
      </c>
      <c r="D260" s="37" t="s">
        <v>1297</v>
      </c>
      <c r="E260" s="38" t="s">
        <v>1074</v>
      </c>
      <c r="F260" s="37" t="s">
        <v>1247</v>
      </c>
      <c r="G260" s="36" t="s">
        <v>1074</v>
      </c>
      <c r="H260" s="8"/>
    </row>
    <row r="261" spans="1:14" x14ac:dyDescent="0.25">
      <c r="A261" s="2"/>
      <c r="B261" s="44"/>
      <c r="C261" s="38"/>
      <c r="D261" s="37" t="s">
        <v>1298</v>
      </c>
      <c r="E261" s="38" t="s">
        <v>1072</v>
      </c>
      <c r="F261" s="39"/>
      <c r="G261" s="36"/>
      <c r="H261" s="8"/>
    </row>
    <row r="262" spans="1:14" x14ac:dyDescent="0.25">
      <c r="A262" s="3"/>
      <c r="B262" s="40"/>
      <c r="C262" s="41"/>
      <c r="D262" s="40"/>
      <c r="E262" s="41"/>
      <c r="F262" s="42"/>
      <c r="G262" s="43"/>
      <c r="H262" s="8"/>
    </row>
    <row r="264" spans="1:14" x14ac:dyDescent="0.25">
      <c r="A264" s="1">
        <v>14</v>
      </c>
      <c r="B264" s="29" t="s">
        <v>1131</v>
      </c>
      <c r="C264" s="30"/>
      <c r="D264" s="29" t="s">
        <v>1218</v>
      </c>
      <c r="E264" s="30"/>
      <c r="F264" s="31" t="s">
        <v>1218</v>
      </c>
      <c r="G264" s="32"/>
      <c r="H264" s="8"/>
    </row>
    <row r="265" spans="1:14" x14ac:dyDescent="0.25">
      <c r="A265" s="4" t="s">
        <v>6</v>
      </c>
      <c r="B265" s="33" t="s">
        <v>158</v>
      </c>
      <c r="C265" s="34">
        <v>1</v>
      </c>
      <c r="D265" s="33" t="s">
        <v>241</v>
      </c>
      <c r="E265" s="34">
        <v>2</v>
      </c>
      <c r="F265" s="35" t="s">
        <v>241</v>
      </c>
      <c r="G265" s="36">
        <v>2</v>
      </c>
      <c r="H265" s="8"/>
      <c r="I265" s="7">
        <v>0.66666666666666674</v>
      </c>
      <c r="J265" s="6">
        <v>1</v>
      </c>
      <c r="K265" s="7">
        <v>1</v>
      </c>
      <c r="L265" s="6">
        <v>1</v>
      </c>
      <c r="M265" s="7">
        <v>1</v>
      </c>
      <c r="N265" s="7">
        <v>1</v>
      </c>
    </row>
    <row r="266" spans="1:14" x14ac:dyDescent="0.25">
      <c r="A266" s="2"/>
      <c r="B266" s="37"/>
      <c r="C266" s="38"/>
      <c r="D266" s="37" t="s">
        <v>242</v>
      </c>
      <c r="E266" s="38">
        <v>3</v>
      </c>
      <c r="F266" s="39" t="s">
        <v>158</v>
      </c>
      <c r="G266" s="36">
        <v>1</v>
      </c>
      <c r="H266" s="8"/>
    </row>
    <row r="267" spans="1:14" x14ac:dyDescent="0.25">
      <c r="A267" s="3"/>
      <c r="B267" s="40"/>
      <c r="C267" s="41"/>
      <c r="D267" s="40"/>
      <c r="E267" s="41"/>
      <c r="F267" s="42"/>
      <c r="G267" s="43"/>
      <c r="H267" s="8"/>
    </row>
    <row r="268" spans="1:14" x14ac:dyDescent="0.25">
      <c r="A268" s="4" t="s">
        <v>5</v>
      </c>
      <c r="B268" s="33" t="s">
        <v>265</v>
      </c>
      <c r="C268" s="34">
        <v>1</v>
      </c>
      <c r="D268" s="33" t="s">
        <v>265</v>
      </c>
      <c r="E268" s="34">
        <v>1</v>
      </c>
      <c r="F268" s="35" t="s">
        <v>265</v>
      </c>
      <c r="G268" s="36">
        <v>1</v>
      </c>
      <c r="H268" s="8"/>
    </row>
    <row r="269" spans="1:14" x14ac:dyDescent="0.25">
      <c r="A269" s="2"/>
      <c r="B269" s="37"/>
      <c r="C269" s="38"/>
      <c r="D269" s="37"/>
      <c r="E269" s="38"/>
      <c r="F269" s="39"/>
      <c r="G269" s="36"/>
      <c r="H269" s="8"/>
    </row>
    <row r="270" spans="1:14" x14ac:dyDescent="0.25">
      <c r="A270" s="3"/>
      <c r="B270" s="40"/>
      <c r="C270" s="41"/>
      <c r="D270" s="40"/>
      <c r="E270" s="41"/>
      <c r="F270" s="42"/>
      <c r="G270" s="43"/>
      <c r="H270" s="8"/>
    </row>
    <row r="271" spans="1:14" x14ac:dyDescent="0.25">
      <c r="A271" s="4" t="s">
        <v>7</v>
      </c>
      <c r="B271" s="33" t="s">
        <v>223</v>
      </c>
      <c r="C271" s="34">
        <v>1</v>
      </c>
      <c r="D271" s="33" t="s">
        <v>223</v>
      </c>
      <c r="E271" s="34">
        <v>1</v>
      </c>
      <c r="F271" s="35" t="s">
        <v>223</v>
      </c>
      <c r="G271" s="36">
        <v>1</v>
      </c>
      <c r="H271" s="8"/>
    </row>
    <row r="272" spans="1:14" x14ac:dyDescent="0.25">
      <c r="A272" s="2"/>
      <c r="B272" s="37"/>
      <c r="C272" s="38"/>
      <c r="D272" s="37"/>
      <c r="E272" s="38"/>
      <c r="F272" s="39"/>
      <c r="G272" s="36"/>
      <c r="H272" s="8"/>
    </row>
    <row r="273" spans="1:14" x14ac:dyDescent="0.25">
      <c r="A273" s="3"/>
      <c r="B273" s="40"/>
      <c r="C273" s="41"/>
      <c r="D273" s="40"/>
      <c r="E273" s="41"/>
      <c r="F273" s="42"/>
      <c r="G273" s="43"/>
      <c r="H273" s="8"/>
    </row>
    <row r="274" spans="1:14" x14ac:dyDescent="0.25">
      <c r="A274" s="4" t="s">
        <v>8</v>
      </c>
      <c r="B274" s="33" t="s">
        <v>159</v>
      </c>
      <c r="C274" s="34">
        <v>1</v>
      </c>
      <c r="D274" s="33" t="s">
        <v>159</v>
      </c>
      <c r="E274" s="34">
        <v>1</v>
      </c>
      <c r="F274" s="35" t="s">
        <v>159</v>
      </c>
      <c r="G274" s="36">
        <v>1</v>
      </c>
      <c r="H274" s="8"/>
    </row>
    <row r="275" spans="1:14" x14ac:dyDescent="0.25">
      <c r="A275" s="2"/>
      <c r="B275" s="37"/>
      <c r="C275" s="38"/>
      <c r="D275" s="37" t="s">
        <v>243</v>
      </c>
      <c r="E275" s="38">
        <v>2</v>
      </c>
      <c r="F275" s="39" t="s">
        <v>225</v>
      </c>
      <c r="G275" s="36">
        <v>2</v>
      </c>
      <c r="H275" s="8"/>
    </row>
    <row r="276" spans="1:14" x14ac:dyDescent="0.25">
      <c r="A276" s="3"/>
      <c r="B276" s="40"/>
      <c r="C276" s="41"/>
      <c r="D276" s="40"/>
      <c r="E276" s="41"/>
      <c r="F276" s="42"/>
      <c r="G276" s="43"/>
      <c r="H276" s="8"/>
    </row>
    <row r="277" spans="1:14" x14ac:dyDescent="0.25">
      <c r="A277" s="2" t="s">
        <v>9</v>
      </c>
      <c r="B277" s="37" t="s">
        <v>160</v>
      </c>
      <c r="C277" s="38">
        <v>1</v>
      </c>
      <c r="D277" s="37" t="s">
        <v>244</v>
      </c>
      <c r="E277" s="38">
        <v>1</v>
      </c>
      <c r="F277" s="39" t="s">
        <v>244</v>
      </c>
      <c r="G277" s="36">
        <v>1</v>
      </c>
      <c r="H277" s="8"/>
    </row>
    <row r="278" spans="1:14" x14ac:dyDescent="0.25">
      <c r="A278" s="2"/>
      <c r="B278" s="37"/>
      <c r="C278" s="38"/>
      <c r="D278" s="37" t="s">
        <v>245</v>
      </c>
      <c r="E278" s="38">
        <v>2</v>
      </c>
      <c r="F278" s="48" t="s">
        <v>160</v>
      </c>
      <c r="G278" s="36">
        <v>1</v>
      </c>
      <c r="H278" s="8"/>
    </row>
    <row r="279" spans="1:14" x14ac:dyDescent="0.25">
      <c r="A279" s="3"/>
      <c r="B279" s="40"/>
      <c r="C279" s="41"/>
      <c r="D279" s="40"/>
      <c r="E279" s="41"/>
      <c r="F279" s="42" t="s">
        <v>266</v>
      </c>
      <c r="G279" s="43">
        <v>2</v>
      </c>
      <c r="H279" s="8"/>
    </row>
    <row r="280" spans="1:14" x14ac:dyDescent="0.25">
      <c r="A280" s="2" t="s">
        <v>1224</v>
      </c>
      <c r="B280" s="37" t="s">
        <v>160</v>
      </c>
      <c r="C280" s="38"/>
      <c r="D280" s="37" t="s">
        <v>1299</v>
      </c>
      <c r="E280" s="38" t="s">
        <v>1074</v>
      </c>
      <c r="F280" s="37" t="s">
        <v>1299</v>
      </c>
      <c r="G280" s="36" t="s">
        <v>1074</v>
      </c>
      <c r="H280" s="8"/>
    </row>
    <row r="281" spans="1:14" x14ac:dyDescent="0.25">
      <c r="A281" s="2"/>
      <c r="B281" s="44"/>
      <c r="C281" s="38"/>
      <c r="D281" s="37"/>
      <c r="E281" s="38"/>
      <c r="F281" s="39"/>
      <c r="G281" s="36"/>
      <c r="H281" s="8"/>
    </row>
    <row r="282" spans="1:14" x14ac:dyDescent="0.25">
      <c r="A282" s="3"/>
      <c r="B282" s="40"/>
      <c r="C282" s="41"/>
      <c r="D282" s="40"/>
      <c r="E282" s="41"/>
      <c r="F282" s="42"/>
      <c r="G282" s="43"/>
      <c r="H282" s="8"/>
    </row>
    <row r="284" spans="1:14" x14ac:dyDescent="0.25">
      <c r="A284" s="1">
        <v>15</v>
      </c>
      <c r="B284" s="29" t="s">
        <v>1132</v>
      </c>
      <c r="C284" s="30"/>
      <c r="D284" s="29" t="s">
        <v>1218</v>
      </c>
      <c r="E284" s="30"/>
      <c r="F284" s="31" t="s">
        <v>1218</v>
      </c>
      <c r="G284" s="32"/>
      <c r="H284" s="8"/>
    </row>
    <row r="285" spans="1:14" x14ac:dyDescent="0.25">
      <c r="A285" s="4" t="s">
        <v>6</v>
      </c>
      <c r="B285" s="33" t="s">
        <v>161</v>
      </c>
      <c r="C285" s="34">
        <v>1</v>
      </c>
      <c r="D285" s="33" t="s">
        <v>238</v>
      </c>
      <c r="E285" s="34">
        <v>1</v>
      </c>
      <c r="F285" s="35" t="s">
        <v>267</v>
      </c>
      <c r="G285" s="36">
        <v>2</v>
      </c>
      <c r="H285" s="8"/>
      <c r="I285" s="7">
        <v>0.33333333333333337</v>
      </c>
      <c r="J285" s="6">
        <v>1</v>
      </c>
      <c r="K285" s="7">
        <v>1</v>
      </c>
      <c r="L285" s="6">
        <v>0.66666666666666674</v>
      </c>
      <c r="M285" s="7">
        <v>0.66666666666666674</v>
      </c>
      <c r="N285" s="7">
        <v>0.66666666666666674</v>
      </c>
    </row>
    <row r="286" spans="1:14" x14ac:dyDescent="0.25">
      <c r="A286" s="2"/>
      <c r="B286" s="37"/>
      <c r="C286" s="38"/>
      <c r="D286" s="37"/>
      <c r="E286" s="38"/>
      <c r="F286" s="39" t="s">
        <v>268</v>
      </c>
      <c r="G286" s="36">
        <v>3</v>
      </c>
      <c r="H286" s="8"/>
    </row>
    <row r="287" spans="1:14" x14ac:dyDescent="0.25">
      <c r="A287" s="3"/>
      <c r="B287" s="40"/>
      <c r="C287" s="41"/>
      <c r="D287" s="40"/>
      <c r="E287" s="41"/>
      <c r="F287" s="42"/>
      <c r="G287" s="43"/>
      <c r="H287" s="8"/>
    </row>
    <row r="288" spans="1:14" x14ac:dyDescent="0.25">
      <c r="A288" s="4" t="s">
        <v>5</v>
      </c>
      <c r="B288" s="33" t="s">
        <v>270</v>
      </c>
      <c r="C288" s="34"/>
      <c r="D288" s="33" t="s">
        <v>270</v>
      </c>
      <c r="E288" s="34"/>
      <c r="F288" s="35" t="s">
        <v>269</v>
      </c>
      <c r="G288" s="36">
        <v>1</v>
      </c>
      <c r="H288" s="8"/>
    </row>
    <row r="289" spans="1:8" x14ac:dyDescent="0.25">
      <c r="A289" s="2"/>
      <c r="B289" s="37"/>
      <c r="C289" s="38"/>
      <c r="D289" s="37" t="s">
        <v>265</v>
      </c>
      <c r="E289" s="38"/>
      <c r="F289" s="39" t="s">
        <v>270</v>
      </c>
      <c r="G289" s="36">
        <v>2</v>
      </c>
      <c r="H289" s="8"/>
    </row>
    <row r="290" spans="1:8" x14ac:dyDescent="0.25">
      <c r="A290" s="3"/>
      <c r="B290" s="40"/>
      <c r="C290" s="41"/>
      <c r="D290" s="40"/>
      <c r="E290" s="41"/>
      <c r="F290" s="42" t="s">
        <v>265</v>
      </c>
      <c r="G290" s="43">
        <v>3</v>
      </c>
      <c r="H290" s="8"/>
    </row>
    <row r="291" spans="1:8" x14ac:dyDescent="0.25">
      <c r="A291" s="4" t="s">
        <v>7</v>
      </c>
      <c r="B291" s="33" t="s">
        <v>223</v>
      </c>
      <c r="C291" s="34"/>
      <c r="D291" s="33" t="s">
        <v>223</v>
      </c>
      <c r="E291" s="34">
        <v>1</v>
      </c>
      <c r="F291" s="35" t="s">
        <v>223</v>
      </c>
      <c r="G291" s="36">
        <v>1</v>
      </c>
      <c r="H291" s="8"/>
    </row>
    <row r="292" spans="1:8" x14ac:dyDescent="0.25">
      <c r="A292" s="2"/>
      <c r="B292" s="37"/>
      <c r="C292" s="38"/>
      <c r="D292" s="37"/>
      <c r="E292" s="38"/>
      <c r="F292" s="39"/>
      <c r="G292" s="36"/>
      <c r="H292" s="8"/>
    </row>
    <row r="293" spans="1:8" x14ac:dyDescent="0.25">
      <c r="A293" s="3"/>
      <c r="B293" s="40"/>
      <c r="C293" s="41"/>
      <c r="D293" s="40"/>
      <c r="E293" s="41"/>
      <c r="F293" s="42"/>
      <c r="G293" s="43"/>
      <c r="H293" s="8"/>
    </row>
    <row r="294" spans="1:8" x14ac:dyDescent="0.25">
      <c r="A294" s="4" t="s">
        <v>8</v>
      </c>
      <c r="B294" s="33" t="s">
        <v>159</v>
      </c>
      <c r="C294" s="34">
        <v>1</v>
      </c>
      <c r="D294" s="33" t="s">
        <v>159</v>
      </c>
      <c r="E294" s="34">
        <v>1</v>
      </c>
      <c r="F294" s="35" t="s">
        <v>271</v>
      </c>
      <c r="G294" s="36">
        <v>2</v>
      </c>
      <c r="H294" s="8"/>
    </row>
    <row r="295" spans="1:8" x14ac:dyDescent="0.25">
      <c r="A295" s="2"/>
      <c r="B295" s="37"/>
      <c r="C295" s="38"/>
      <c r="D295" s="37" t="s">
        <v>239</v>
      </c>
      <c r="E295" s="38">
        <v>2</v>
      </c>
      <c r="F295" s="39" t="s">
        <v>225</v>
      </c>
      <c r="G295" s="36">
        <v>3</v>
      </c>
      <c r="H295" s="8"/>
    </row>
    <row r="296" spans="1:8" x14ac:dyDescent="0.25">
      <c r="A296" s="3"/>
      <c r="B296" s="40"/>
      <c r="C296" s="41"/>
      <c r="D296" s="40" t="s">
        <v>225</v>
      </c>
      <c r="E296" s="41">
        <v>3</v>
      </c>
      <c r="F296" s="42"/>
      <c r="G296" s="43"/>
      <c r="H296" s="8"/>
    </row>
    <row r="297" spans="1:8" x14ac:dyDescent="0.25">
      <c r="A297" s="2" t="s">
        <v>9</v>
      </c>
      <c r="B297" s="37" t="s">
        <v>162</v>
      </c>
      <c r="C297" s="38">
        <v>1</v>
      </c>
      <c r="D297" s="37" t="s">
        <v>240</v>
      </c>
      <c r="E297" s="38">
        <v>2</v>
      </c>
      <c r="F297" s="39" t="s">
        <v>272</v>
      </c>
      <c r="G297" s="36">
        <v>1</v>
      </c>
      <c r="H297" s="8"/>
    </row>
    <row r="298" spans="1:8" x14ac:dyDescent="0.25">
      <c r="A298" s="2"/>
      <c r="B298" s="37"/>
      <c r="C298" s="38"/>
      <c r="D298" s="37"/>
      <c r="E298" s="38"/>
      <c r="F298" s="48" t="s">
        <v>240</v>
      </c>
      <c r="G298" s="36">
        <v>2</v>
      </c>
      <c r="H298" s="8"/>
    </row>
    <row r="299" spans="1:8" x14ac:dyDescent="0.25">
      <c r="A299" s="3"/>
      <c r="B299" s="40"/>
      <c r="C299" s="41"/>
      <c r="D299" s="40"/>
      <c r="E299" s="41"/>
      <c r="F299" s="42"/>
      <c r="G299" s="43"/>
      <c r="H299" s="8"/>
    </row>
    <row r="300" spans="1:8" x14ac:dyDescent="0.25">
      <c r="A300" s="2" t="s">
        <v>1224</v>
      </c>
      <c r="B300" s="37" t="s">
        <v>1248</v>
      </c>
      <c r="C300" s="38" t="s">
        <v>1074</v>
      </c>
      <c r="D300" s="37" t="s">
        <v>1300</v>
      </c>
      <c r="E300" s="38" t="s">
        <v>1074</v>
      </c>
      <c r="F300" s="39" t="s">
        <v>1368</v>
      </c>
      <c r="G300" s="36" t="s">
        <v>1074</v>
      </c>
      <c r="H300" s="8"/>
    </row>
    <row r="301" spans="1:8" x14ac:dyDescent="0.25">
      <c r="A301" s="2"/>
      <c r="B301" s="44"/>
      <c r="C301" s="38"/>
      <c r="D301" s="37"/>
      <c r="E301" s="38"/>
      <c r="F301" s="39"/>
      <c r="G301" s="36"/>
      <c r="H301" s="8"/>
    </row>
    <row r="302" spans="1:8" x14ac:dyDescent="0.25">
      <c r="A302" s="3"/>
      <c r="B302" s="40"/>
      <c r="C302" s="41"/>
      <c r="D302" s="40"/>
      <c r="E302" s="41"/>
      <c r="F302" s="42"/>
      <c r="G302" s="43"/>
      <c r="H302" s="8"/>
    </row>
    <row r="304" spans="1:8" x14ac:dyDescent="0.25">
      <c r="A304" s="1">
        <v>16</v>
      </c>
      <c r="B304" s="29" t="s">
        <v>1133</v>
      </c>
      <c r="C304" s="30"/>
      <c r="D304" s="29" t="s">
        <v>1218</v>
      </c>
      <c r="E304" s="30"/>
      <c r="F304" s="31" t="s">
        <v>1218</v>
      </c>
      <c r="G304" s="32"/>
      <c r="H304" s="8"/>
    </row>
    <row r="305" spans="1:14" x14ac:dyDescent="0.25">
      <c r="A305" s="4" t="s">
        <v>6</v>
      </c>
      <c r="B305" s="33" t="s">
        <v>163</v>
      </c>
      <c r="C305" s="34">
        <v>1</v>
      </c>
      <c r="D305" s="33" t="s">
        <v>234</v>
      </c>
      <c r="E305" s="34">
        <v>2</v>
      </c>
      <c r="F305" s="35" t="s">
        <v>273</v>
      </c>
      <c r="G305" s="36">
        <v>2</v>
      </c>
      <c r="H305" s="8"/>
      <c r="I305" s="7">
        <v>0.66666666666666674</v>
      </c>
      <c r="J305" s="6">
        <v>1</v>
      </c>
      <c r="K305" s="7">
        <v>1</v>
      </c>
      <c r="L305" s="6">
        <v>1</v>
      </c>
      <c r="M305" s="7">
        <v>0.66666666666666674</v>
      </c>
      <c r="N305" s="7">
        <v>0.66666666666666674</v>
      </c>
    </row>
    <row r="306" spans="1:14" x14ac:dyDescent="0.25">
      <c r="A306" s="2"/>
      <c r="B306" s="37"/>
      <c r="C306" s="38"/>
      <c r="D306" s="37" t="s">
        <v>235</v>
      </c>
      <c r="E306" s="38">
        <v>1</v>
      </c>
      <c r="F306" s="39" t="s">
        <v>274</v>
      </c>
      <c r="G306" s="36">
        <v>3</v>
      </c>
      <c r="H306" s="8"/>
    </row>
    <row r="307" spans="1:14" x14ac:dyDescent="0.25">
      <c r="A307" s="3"/>
      <c r="B307" s="40"/>
      <c r="C307" s="41"/>
      <c r="D307" s="40"/>
      <c r="E307" s="41"/>
      <c r="F307" s="42"/>
      <c r="G307" s="43"/>
      <c r="H307" s="8"/>
    </row>
    <row r="308" spans="1:14" x14ac:dyDescent="0.25">
      <c r="A308" s="4" t="s">
        <v>5</v>
      </c>
      <c r="B308" s="33"/>
      <c r="C308" s="34"/>
      <c r="D308" s="33"/>
      <c r="E308" s="34"/>
      <c r="F308" s="35"/>
      <c r="G308" s="36"/>
      <c r="H308" s="8"/>
    </row>
    <row r="309" spans="1:14" x14ac:dyDescent="0.25">
      <c r="A309" s="2"/>
      <c r="B309" s="37"/>
      <c r="C309" s="38"/>
      <c r="D309" s="37"/>
      <c r="E309" s="38"/>
      <c r="F309" s="39"/>
      <c r="G309" s="36"/>
      <c r="H309" s="8"/>
    </row>
    <row r="310" spans="1:14" x14ac:dyDescent="0.25">
      <c r="A310" s="3"/>
      <c r="B310" s="40"/>
      <c r="C310" s="41"/>
      <c r="D310" s="40"/>
      <c r="E310" s="41"/>
      <c r="F310" s="42"/>
      <c r="G310" s="43"/>
      <c r="H310" s="8"/>
    </row>
    <row r="311" spans="1:14" x14ac:dyDescent="0.25">
      <c r="A311" s="4" t="s">
        <v>7</v>
      </c>
      <c r="B311" s="33" t="s">
        <v>223</v>
      </c>
      <c r="C311" s="34"/>
      <c r="D311" s="33" t="s">
        <v>223</v>
      </c>
      <c r="E311" s="34">
        <v>1</v>
      </c>
      <c r="F311" s="35" t="s">
        <v>223</v>
      </c>
      <c r="G311" s="36">
        <v>1</v>
      </c>
      <c r="H311" s="8"/>
    </row>
    <row r="312" spans="1:14" x14ac:dyDescent="0.25">
      <c r="A312" s="2"/>
      <c r="B312" s="37"/>
      <c r="C312" s="38"/>
      <c r="D312" s="37"/>
      <c r="E312" s="38"/>
      <c r="F312" s="39"/>
      <c r="G312" s="36"/>
      <c r="H312" s="8"/>
    </row>
    <row r="313" spans="1:14" x14ac:dyDescent="0.25">
      <c r="A313" s="3"/>
      <c r="B313" s="40"/>
      <c r="C313" s="41"/>
      <c r="D313" s="40"/>
      <c r="E313" s="41"/>
      <c r="F313" s="42"/>
      <c r="G313" s="43"/>
      <c r="H313" s="8"/>
    </row>
    <row r="314" spans="1:14" x14ac:dyDescent="0.25">
      <c r="A314" s="4" t="s">
        <v>8</v>
      </c>
      <c r="B314" s="33" t="s">
        <v>159</v>
      </c>
      <c r="C314" s="34">
        <v>1</v>
      </c>
      <c r="D314" s="33" t="s">
        <v>236</v>
      </c>
      <c r="E314" s="34">
        <v>2</v>
      </c>
      <c r="F314" s="35" t="s">
        <v>236</v>
      </c>
      <c r="G314" s="36">
        <v>2</v>
      </c>
      <c r="H314" s="8"/>
    </row>
    <row r="315" spans="1:14" x14ac:dyDescent="0.25">
      <c r="A315" s="2"/>
      <c r="B315" s="37"/>
      <c r="C315" s="38"/>
      <c r="D315" s="37" t="s">
        <v>159</v>
      </c>
      <c r="E315" s="38">
        <v>1</v>
      </c>
      <c r="F315" s="39" t="s">
        <v>159</v>
      </c>
      <c r="G315" s="36">
        <v>1</v>
      </c>
      <c r="H315" s="8"/>
    </row>
    <row r="316" spans="1:14" x14ac:dyDescent="0.25">
      <c r="A316" s="3"/>
      <c r="B316" s="40"/>
      <c r="C316" s="41"/>
      <c r="D316" s="40" t="s">
        <v>225</v>
      </c>
      <c r="E316" s="41">
        <v>3</v>
      </c>
      <c r="F316" s="42"/>
      <c r="G316" s="43"/>
      <c r="H316" s="8"/>
    </row>
    <row r="317" spans="1:14" x14ac:dyDescent="0.25">
      <c r="A317" s="2" t="s">
        <v>9</v>
      </c>
      <c r="B317" s="37" t="s">
        <v>164</v>
      </c>
      <c r="C317" s="38">
        <v>1</v>
      </c>
      <c r="D317" s="37" t="s">
        <v>163</v>
      </c>
      <c r="E317" s="38">
        <v>2</v>
      </c>
      <c r="F317" s="39" t="s">
        <v>275</v>
      </c>
      <c r="G317" s="36">
        <v>2</v>
      </c>
      <c r="H317" s="8"/>
    </row>
    <row r="318" spans="1:14" x14ac:dyDescent="0.25">
      <c r="A318" s="2"/>
      <c r="B318" s="37"/>
      <c r="C318" s="38"/>
      <c r="D318" s="37" t="s">
        <v>237</v>
      </c>
      <c r="E318" s="38">
        <v>1</v>
      </c>
      <c r="F318" s="48" t="s">
        <v>276</v>
      </c>
      <c r="G318" s="36">
        <v>2</v>
      </c>
      <c r="H318" s="8"/>
    </row>
    <row r="319" spans="1:14" x14ac:dyDescent="0.25">
      <c r="A319" s="3"/>
      <c r="B319" s="40"/>
      <c r="C319" s="41"/>
      <c r="D319" s="40"/>
      <c r="E319" s="41"/>
      <c r="F319" s="42"/>
      <c r="G319" s="43"/>
      <c r="H319" s="8"/>
    </row>
    <row r="320" spans="1:14" x14ac:dyDescent="0.25">
      <c r="A320" s="2" t="s">
        <v>1224</v>
      </c>
      <c r="B320" s="37"/>
      <c r="C320" s="38"/>
      <c r="D320" s="37" t="s">
        <v>1302</v>
      </c>
      <c r="E320" s="38" t="s">
        <v>1074</v>
      </c>
      <c r="F320" s="39" t="s">
        <v>1369</v>
      </c>
      <c r="G320" s="36" t="s">
        <v>1074</v>
      </c>
      <c r="H320" s="8"/>
    </row>
    <row r="321" spans="1:14" x14ac:dyDescent="0.25">
      <c r="A321" s="2"/>
      <c r="B321" s="44"/>
      <c r="C321" s="38"/>
      <c r="D321" s="37" t="s">
        <v>1303</v>
      </c>
      <c r="E321" s="38" t="s">
        <v>1072</v>
      </c>
      <c r="F321" s="39"/>
      <c r="G321" s="36"/>
      <c r="H321" s="8"/>
    </row>
    <row r="322" spans="1:14" x14ac:dyDescent="0.25">
      <c r="A322" s="3"/>
      <c r="B322" s="40"/>
      <c r="C322" s="41"/>
      <c r="D322" s="40"/>
      <c r="E322" s="41"/>
      <c r="F322" s="42"/>
      <c r="G322" s="43"/>
      <c r="H322" s="8"/>
    </row>
    <row r="324" spans="1:14" x14ac:dyDescent="0.25">
      <c r="A324" s="1">
        <v>17</v>
      </c>
      <c r="B324" s="29" t="s">
        <v>1134</v>
      </c>
      <c r="C324" s="30"/>
      <c r="D324" s="29" t="s">
        <v>1218</v>
      </c>
      <c r="E324" s="30"/>
      <c r="F324" s="31" t="s">
        <v>1218</v>
      </c>
      <c r="G324" s="32"/>
      <c r="H324" s="8"/>
    </row>
    <row r="325" spans="1:14" x14ac:dyDescent="0.25">
      <c r="A325" s="4" t="s">
        <v>6</v>
      </c>
      <c r="B325" s="33" t="s">
        <v>165</v>
      </c>
      <c r="C325" s="34">
        <v>1</v>
      </c>
      <c r="D325" s="33" t="s">
        <v>220</v>
      </c>
      <c r="E325" s="34">
        <v>1</v>
      </c>
      <c r="F325" s="35" t="s">
        <v>165</v>
      </c>
      <c r="G325" s="36">
        <v>1</v>
      </c>
      <c r="H325" s="8"/>
      <c r="I325" s="7">
        <v>1</v>
      </c>
      <c r="J325" s="6">
        <v>1</v>
      </c>
      <c r="K325" s="7">
        <v>0.33333333333333337</v>
      </c>
      <c r="L325" s="6">
        <v>1</v>
      </c>
      <c r="M325" s="7">
        <v>1</v>
      </c>
      <c r="N325" s="7">
        <v>1</v>
      </c>
    </row>
    <row r="326" spans="1:14" x14ac:dyDescent="0.25">
      <c r="A326" s="2"/>
      <c r="B326" s="37"/>
      <c r="C326" s="38"/>
      <c r="D326" s="37" t="s">
        <v>221</v>
      </c>
      <c r="E326" s="38">
        <v>2</v>
      </c>
      <c r="F326" s="39" t="s">
        <v>221</v>
      </c>
      <c r="G326" s="36">
        <v>2</v>
      </c>
      <c r="H326" s="8"/>
    </row>
    <row r="327" spans="1:14" x14ac:dyDescent="0.25">
      <c r="A327" s="3"/>
      <c r="B327" s="40"/>
      <c r="C327" s="41"/>
      <c r="D327" s="40" t="s">
        <v>222</v>
      </c>
      <c r="E327" s="41">
        <v>3</v>
      </c>
      <c r="F327" s="42" t="s">
        <v>277</v>
      </c>
      <c r="G327" s="43">
        <v>3</v>
      </c>
      <c r="H327" s="8"/>
    </row>
    <row r="328" spans="1:14" x14ac:dyDescent="0.25">
      <c r="A328" s="4" t="s">
        <v>5</v>
      </c>
      <c r="B328" s="33"/>
      <c r="C328" s="34"/>
      <c r="D328" s="33"/>
      <c r="E328" s="34"/>
      <c r="F328" s="35"/>
      <c r="G328" s="36"/>
      <c r="H328" s="8"/>
    </row>
    <row r="329" spans="1:14" x14ac:dyDescent="0.25">
      <c r="A329" s="2"/>
      <c r="B329" s="37"/>
      <c r="C329" s="38"/>
      <c r="D329" s="37"/>
      <c r="E329" s="38"/>
      <c r="F329" s="39"/>
      <c r="G329" s="36"/>
      <c r="H329" s="8"/>
    </row>
    <row r="330" spans="1:14" x14ac:dyDescent="0.25">
      <c r="A330" s="3"/>
      <c r="B330" s="40"/>
      <c r="C330" s="41"/>
      <c r="D330" s="40"/>
      <c r="E330" s="41"/>
      <c r="F330" s="42"/>
      <c r="G330" s="43"/>
      <c r="H330" s="8"/>
    </row>
    <row r="331" spans="1:14" x14ac:dyDescent="0.25">
      <c r="A331" s="4" t="s">
        <v>7</v>
      </c>
      <c r="B331" s="33"/>
      <c r="C331" s="34"/>
      <c r="D331" s="33" t="s">
        <v>223</v>
      </c>
      <c r="E331" s="34">
        <v>1</v>
      </c>
      <c r="F331" s="35"/>
      <c r="G331" s="36"/>
      <c r="H331" s="8"/>
    </row>
    <row r="332" spans="1:14" x14ac:dyDescent="0.25">
      <c r="A332" s="2"/>
      <c r="B332" s="37"/>
      <c r="C332" s="38"/>
      <c r="D332" s="37"/>
      <c r="E332" s="38"/>
      <c r="F332" s="39"/>
      <c r="G332" s="36"/>
      <c r="H332" s="8"/>
    </row>
    <row r="333" spans="1:14" x14ac:dyDescent="0.25">
      <c r="A333" s="3"/>
      <c r="B333" s="40"/>
      <c r="C333" s="41"/>
      <c r="D333" s="40"/>
      <c r="E333" s="41"/>
      <c r="F333" s="42"/>
      <c r="G333" s="43"/>
      <c r="H333" s="8"/>
    </row>
    <row r="334" spans="1:14" x14ac:dyDescent="0.25">
      <c r="A334" s="4" t="s">
        <v>8</v>
      </c>
      <c r="B334" s="33" t="s">
        <v>159</v>
      </c>
      <c r="C334" s="34">
        <v>1</v>
      </c>
      <c r="D334" s="33" t="s">
        <v>159</v>
      </c>
      <c r="E334" s="34">
        <v>1</v>
      </c>
      <c r="F334" s="35" t="s">
        <v>159</v>
      </c>
      <c r="G334" s="36">
        <v>1</v>
      </c>
      <c r="H334" s="8"/>
    </row>
    <row r="335" spans="1:14" x14ac:dyDescent="0.25">
      <c r="A335" s="2"/>
      <c r="B335" s="37"/>
      <c r="C335" s="38"/>
      <c r="D335" s="37" t="s">
        <v>224</v>
      </c>
      <c r="E335" s="38">
        <v>2</v>
      </c>
      <c r="F335" s="37" t="s">
        <v>224</v>
      </c>
      <c r="G335" s="36">
        <v>2</v>
      </c>
      <c r="H335" s="8"/>
    </row>
    <row r="336" spans="1:14" x14ac:dyDescent="0.25">
      <c r="A336" s="3"/>
      <c r="B336" s="40"/>
      <c r="C336" s="41"/>
      <c r="D336" s="40" t="s">
        <v>225</v>
      </c>
      <c r="E336" s="41">
        <v>3</v>
      </c>
      <c r="F336" s="42"/>
      <c r="G336" s="43"/>
      <c r="H336" s="8"/>
    </row>
    <row r="337" spans="1:14" x14ac:dyDescent="0.25">
      <c r="A337" s="2" t="s">
        <v>9</v>
      </c>
      <c r="B337" s="37" t="s">
        <v>312</v>
      </c>
      <c r="C337" s="38">
        <v>1</v>
      </c>
      <c r="D337" s="37" t="s">
        <v>226</v>
      </c>
      <c r="E337" s="38">
        <v>1</v>
      </c>
      <c r="F337" s="37" t="s">
        <v>226</v>
      </c>
      <c r="G337" s="36">
        <v>1</v>
      </c>
      <c r="H337" s="8"/>
    </row>
    <row r="338" spans="1:14" x14ac:dyDescent="0.25">
      <c r="A338" s="2"/>
      <c r="B338" s="37"/>
      <c r="C338" s="38"/>
      <c r="D338" s="37" t="s">
        <v>227</v>
      </c>
      <c r="E338" s="38">
        <v>2</v>
      </c>
      <c r="F338" s="48" t="s">
        <v>278</v>
      </c>
      <c r="G338" s="36" t="s">
        <v>1073</v>
      </c>
      <c r="H338" s="8"/>
    </row>
    <row r="339" spans="1:14" x14ac:dyDescent="0.25">
      <c r="A339" s="3"/>
      <c r="B339" s="40"/>
      <c r="C339" s="41"/>
      <c r="D339" s="40"/>
      <c r="E339" s="41"/>
      <c r="F339" s="42" t="s">
        <v>279</v>
      </c>
      <c r="G339" s="43" t="s">
        <v>1077</v>
      </c>
      <c r="H339" s="8"/>
    </row>
    <row r="340" spans="1:14" x14ac:dyDescent="0.25">
      <c r="A340" s="2" t="s">
        <v>1224</v>
      </c>
      <c r="B340" s="37" t="s">
        <v>220</v>
      </c>
      <c r="C340" s="38" t="s">
        <v>1074</v>
      </c>
      <c r="D340" s="37" t="s">
        <v>165</v>
      </c>
      <c r="E340" s="38" t="s">
        <v>1074</v>
      </c>
      <c r="F340" s="37" t="s">
        <v>165</v>
      </c>
      <c r="G340" s="36" t="s">
        <v>1074</v>
      </c>
      <c r="H340" s="8"/>
    </row>
    <row r="341" spans="1:14" x14ac:dyDescent="0.25">
      <c r="A341" s="2"/>
      <c r="B341" s="44"/>
      <c r="C341" s="38"/>
      <c r="D341" s="37" t="s">
        <v>1301</v>
      </c>
      <c r="E341" s="38"/>
      <c r="F341" s="39"/>
      <c r="G341" s="36"/>
      <c r="H341" s="8"/>
    </row>
    <row r="342" spans="1:14" x14ac:dyDescent="0.25">
      <c r="A342" s="3"/>
      <c r="B342" s="40"/>
      <c r="C342" s="41"/>
      <c r="D342" s="40"/>
      <c r="E342" s="41"/>
      <c r="F342" s="42"/>
      <c r="G342" s="43"/>
      <c r="H342" s="8"/>
    </row>
    <row r="344" spans="1:14" x14ac:dyDescent="0.25">
      <c r="A344" s="1">
        <v>18</v>
      </c>
      <c r="B344" s="29" t="s">
        <v>1135</v>
      </c>
      <c r="C344" s="30"/>
      <c r="D344" s="29" t="s">
        <v>1218</v>
      </c>
      <c r="E344" s="30"/>
      <c r="F344" s="31" t="s">
        <v>1218</v>
      </c>
      <c r="G344" s="32"/>
      <c r="H344" s="8"/>
    </row>
    <row r="345" spans="1:14" x14ac:dyDescent="0.25">
      <c r="A345" s="4" t="s">
        <v>6</v>
      </c>
      <c r="B345" s="33" t="s">
        <v>166</v>
      </c>
      <c r="C345" s="34">
        <v>1</v>
      </c>
      <c r="D345" s="33" t="s">
        <v>228</v>
      </c>
      <c r="E345" s="34">
        <v>1</v>
      </c>
      <c r="F345" s="35" t="s">
        <v>280</v>
      </c>
      <c r="G345" s="36" t="s">
        <v>311</v>
      </c>
      <c r="H345" s="8"/>
      <c r="I345" s="7">
        <v>0.66666666666666674</v>
      </c>
      <c r="J345" s="6">
        <v>1</v>
      </c>
      <c r="K345" s="7">
        <v>1</v>
      </c>
      <c r="L345" s="6">
        <v>0.66666666666666674</v>
      </c>
      <c r="M345" s="7">
        <v>0.33333333333333337</v>
      </c>
      <c r="N345" s="7">
        <v>0.33333333333333337</v>
      </c>
    </row>
    <row r="346" spans="1:14" x14ac:dyDescent="0.25">
      <c r="A346" s="2"/>
      <c r="B346" s="37"/>
      <c r="C346" s="38"/>
      <c r="D346" s="37" t="s">
        <v>229</v>
      </c>
      <c r="E346" s="38">
        <v>2</v>
      </c>
      <c r="F346" s="39"/>
      <c r="G346" s="36"/>
      <c r="H346" s="8"/>
    </row>
    <row r="347" spans="1:14" x14ac:dyDescent="0.25">
      <c r="A347" s="3"/>
      <c r="B347" s="40"/>
      <c r="C347" s="41"/>
      <c r="D347" s="40" t="s">
        <v>230</v>
      </c>
      <c r="E347" s="41">
        <v>3</v>
      </c>
      <c r="F347" s="42"/>
      <c r="G347" s="43"/>
      <c r="H347" s="8"/>
    </row>
    <row r="348" spans="1:14" x14ac:dyDescent="0.25">
      <c r="A348" s="4" t="s">
        <v>5</v>
      </c>
      <c r="B348" s="33" t="s">
        <v>23</v>
      </c>
      <c r="C348" s="34">
        <v>1</v>
      </c>
      <c r="D348" s="33" t="s">
        <v>23</v>
      </c>
      <c r="E348" s="34">
        <v>1</v>
      </c>
      <c r="F348" s="35" t="s">
        <v>23</v>
      </c>
      <c r="G348" s="36">
        <v>1</v>
      </c>
      <c r="H348" s="8"/>
    </row>
    <row r="349" spans="1:14" x14ac:dyDescent="0.25">
      <c r="A349" s="2"/>
      <c r="B349" s="37"/>
      <c r="C349" s="38"/>
      <c r="D349" s="37"/>
      <c r="E349" s="38"/>
      <c r="F349" s="39"/>
      <c r="G349" s="36"/>
      <c r="H349" s="8"/>
    </row>
    <row r="350" spans="1:14" x14ac:dyDescent="0.25">
      <c r="A350" s="3"/>
      <c r="B350" s="40"/>
      <c r="C350" s="41"/>
      <c r="D350" s="40"/>
      <c r="E350" s="41"/>
      <c r="F350" s="42"/>
      <c r="G350" s="43"/>
      <c r="H350" s="8"/>
    </row>
    <row r="351" spans="1:14" x14ac:dyDescent="0.25">
      <c r="A351" s="4" t="s">
        <v>7</v>
      </c>
      <c r="B351" s="33"/>
      <c r="C351" s="34"/>
      <c r="D351" s="33"/>
      <c r="E351" s="34"/>
      <c r="F351" s="35"/>
      <c r="G351" s="36"/>
      <c r="H351" s="8"/>
    </row>
    <row r="352" spans="1:14" x14ac:dyDescent="0.25">
      <c r="A352" s="2"/>
      <c r="B352" s="37"/>
      <c r="C352" s="38"/>
      <c r="D352" s="37"/>
      <c r="E352" s="38"/>
      <c r="F352" s="39"/>
      <c r="G352" s="36"/>
      <c r="H352" s="8"/>
    </row>
    <row r="353" spans="1:14" x14ac:dyDescent="0.25">
      <c r="A353" s="3"/>
      <c r="B353" s="40"/>
      <c r="C353" s="41"/>
      <c r="D353" s="40"/>
      <c r="E353" s="41"/>
      <c r="F353" s="42"/>
      <c r="G353" s="43"/>
      <c r="H353" s="8"/>
    </row>
    <row r="354" spans="1:14" x14ac:dyDescent="0.25">
      <c r="A354" s="4" t="s">
        <v>8</v>
      </c>
      <c r="B354" s="33" t="s">
        <v>167</v>
      </c>
      <c r="C354" s="34">
        <v>1</v>
      </c>
      <c r="D354" s="33" t="s">
        <v>231</v>
      </c>
      <c r="E354" s="34">
        <v>3</v>
      </c>
      <c r="F354" s="35" t="s">
        <v>281</v>
      </c>
      <c r="G354" s="36">
        <v>3</v>
      </c>
      <c r="H354" s="8"/>
    </row>
    <row r="355" spans="1:14" x14ac:dyDescent="0.25">
      <c r="A355" s="2"/>
      <c r="B355" s="37" t="s">
        <v>168</v>
      </c>
      <c r="C355" s="38">
        <v>2</v>
      </c>
      <c r="D355" s="37" t="s">
        <v>232</v>
      </c>
      <c r="E355" s="38">
        <v>4</v>
      </c>
      <c r="F355" s="39"/>
      <c r="G355" s="36"/>
      <c r="H355" s="8"/>
    </row>
    <row r="356" spans="1:14" x14ac:dyDescent="0.25">
      <c r="A356" s="3"/>
      <c r="B356" s="40"/>
      <c r="C356" s="41"/>
      <c r="D356" s="40" t="s">
        <v>167</v>
      </c>
      <c r="E356" s="41">
        <v>1</v>
      </c>
      <c r="F356" s="42"/>
      <c r="G356" s="43"/>
      <c r="H356" s="8"/>
    </row>
    <row r="357" spans="1:14" x14ac:dyDescent="0.25">
      <c r="A357" s="2" t="s">
        <v>9</v>
      </c>
      <c r="B357" s="37"/>
      <c r="C357" s="38"/>
      <c r="D357" s="37" t="s">
        <v>233</v>
      </c>
      <c r="E357" s="38">
        <v>1</v>
      </c>
      <c r="F357" s="39" t="s">
        <v>282</v>
      </c>
      <c r="G357" s="36">
        <v>1</v>
      </c>
      <c r="H357" s="8"/>
    </row>
    <row r="358" spans="1:14" x14ac:dyDescent="0.25">
      <c r="A358" s="2"/>
      <c r="B358" s="37"/>
      <c r="C358" s="38"/>
      <c r="D358" s="37"/>
      <c r="E358" s="38"/>
      <c r="F358" s="48"/>
      <c r="G358" s="36"/>
      <c r="H358" s="8"/>
    </row>
    <row r="359" spans="1:14" x14ac:dyDescent="0.25">
      <c r="A359" s="3"/>
      <c r="B359" s="40"/>
      <c r="C359" s="41"/>
      <c r="D359" s="40"/>
      <c r="E359" s="41"/>
      <c r="F359" s="42"/>
      <c r="G359" s="43"/>
      <c r="H359" s="8"/>
    </row>
    <row r="360" spans="1:14" x14ac:dyDescent="0.25">
      <c r="A360" s="2" t="s">
        <v>1224</v>
      </c>
      <c r="B360" s="37" t="s">
        <v>1249</v>
      </c>
      <c r="C360" s="38" t="s">
        <v>1074</v>
      </c>
      <c r="D360" s="37" t="s">
        <v>1304</v>
      </c>
      <c r="E360" s="38" t="s">
        <v>1072</v>
      </c>
      <c r="F360" s="39" t="s">
        <v>1370</v>
      </c>
      <c r="G360" s="36" t="s">
        <v>1074</v>
      </c>
      <c r="H360" s="8"/>
    </row>
    <row r="361" spans="1:14" x14ac:dyDescent="0.25">
      <c r="A361" s="2"/>
      <c r="B361" s="44"/>
      <c r="C361" s="38"/>
      <c r="D361" s="37"/>
      <c r="E361" s="38"/>
      <c r="F361" s="39"/>
      <c r="G361" s="36"/>
      <c r="H361" s="8"/>
    </row>
    <row r="362" spans="1:14" x14ac:dyDescent="0.25">
      <c r="A362" s="3"/>
      <c r="B362" s="40"/>
      <c r="C362" s="41"/>
      <c r="D362" s="40"/>
      <c r="E362" s="41"/>
      <c r="F362" s="42"/>
      <c r="G362" s="43"/>
      <c r="H362" s="8"/>
    </row>
    <row r="364" spans="1:14" x14ac:dyDescent="0.25">
      <c r="A364" s="1">
        <v>19</v>
      </c>
      <c r="B364" s="29" t="s">
        <v>1136</v>
      </c>
      <c r="C364" s="30"/>
      <c r="D364" s="29" t="s">
        <v>1218</v>
      </c>
      <c r="E364" s="30"/>
      <c r="F364" s="31" t="s">
        <v>1218</v>
      </c>
      <c r="G364" s="32"/>
      <c r="H364" s="8"/>
    </row>
    <row r="365" spans="1:14" x14ac:dyDescent="0.25">
      <c r="A365" s="4" t="s">
        <v>6</v>
      </c>
      <c r="B365" s="33" t="s">
        <v>169</v>
      </c>
      <c r="C365" s="34">
        <v>1</v>
      </c>
      <c r="D365" s="33" t="s">
        <v>215</v>
      </c>
      <c r="E365" s="34">
        <v>1</v>
      </c>
      <c r="F365" s="35" t="s">
        <v>169</v>
      </c>
      <c r="G365" s="36">
        <v>1</v>
      </c>
      <c r="H365" s="8"/>
      <c r="I365" s="7">
        <v>1</v>
      </c>
      <c r="J365" s="6">
        <v>1</v>
      </c>
      <c r="K365" s="7">
        <v>1</v>
      </c>
      <c r="L365" s="6">
        <v>0.66666666666666674</v>
      </c>
      <c r="M365" s="7">
        <v>0.33333333333333337</v>
      </c>
      <c r="N365" s="7">
        <v>0.33333333333333337</v>
      </c>
    </row>
    <row r="366" spans="1:14" x14ac:dyDescent="0.25">
      <c r="A366" s="2"/>
      <c r="B366" s="37"/>
      <c r="C366" s="38"/>
      <c r="D366" s="37" t="s">
        <v>216</v>
      </c>
      <c r="E366" s="38">
        <v>2</v>
      </c>
      <c r="F366" s="39" t="s">
        <v>283</v>
      </c>
      <c r="G366" s="36">
        <v>3</v>
      </c>
      <c r="H366" s="8"/>
    </row>
    <row r="367" spans="1:14" x14ac:dyDescent="0.25">
      <c r="A367" s="3"/>
      <c r="B367" s="40"/>
      <c r="C367" s="41"/>
      <c r="D367" s="40"/>
      <c r="E367" s="41"/>
      <c r="F367" s="42"/>
      <c r="G367" s="43"/>
      <c r="H367" s="8"/>
    </row>
    <row r="368" spans="1:14" x14ac:dyDescent="0.25">
      <c r="A368" s="4" t="s">
        <v>5</v>
      </c>
      <c r="B368" s="33" t="s">
        <v>23</v>
      </c>
      <c r="C368" s="34"/>
      <c r="D368" s="33" t="s">
        <v>23</v>
      </c>
      <c r="E368" s="34">
        <v>1</v>
      </c>
      <c r="F368" s="35" t="s">
        <v>23</v>
      </c>
      <c r="G368" s="36">
        <v>1</v>
      </c>
      <c r="H368" s="8"/>
    </row>
    <row r="369" spans="1:8" x14ac:dyDescent="0.25">
      <c r="A369" s="2"/>
      <c r="B369" s="37"/>
      <c r="C369" s="38"/>
      <c r="D369" s="37"/>
      <c r="E369" s="38"/>
      <c r="F369" s="39" t="s">
        <v>284</v>
      </c>
      <c r="G369" s="36">
        <v>2</v>
      </c>
      <c r="H369" s="8"/>
    </row>
    <row r="370" spans="1:8" x14ac:dyDescent="0.25">
      <c r="A370" s="3"/>
      <c r="B370" s="40"/>
      <c r="C370" s="41"/>
      <c r="D370" s="40"/>
      <c r="E370" s="41"/>
      <c r="F370" s="42"/>
      <c r="G370" s="43"/>
      <c r="H370" s="8"/>
    </row>
    <row r="371" spans="1:8" x14ac:dyDescent="0.25">
      <c r="A371" s="4" t="s">
        <v>7</v>
      </c>
      <c r="B371" s="33"/>
      <c r="C371" s="34"/>
      <c r="D371" s="33"/>
      <c r="E371" s="34"/>
      <c r="F371" s="35"/>
      <c r="G371" s="36"/>
      <c r="H371" s="8"/>
    </row>
    <row r="372" spans="1:8" x14ac:dyDescent="0.25">
      <c r="A372" s="2"/>
      <c r="B372" s="37"/>
      <c r="C372" s="38"/>
      <c r="D372" s="37"/>
      <c r="E372" s="38"/>
      <c r="F372" s="39"/>
      <c r="G372" s="36"/>
      <c r="H372" s="8"/>
    </row>
    <row r="373" spans="1:8" x14ac:dyDescent="0.25">
      <c r="A373" s="3"/>
      <c r="B373" s="40"/>
      <c r="C373" s="41"/>
      <c r="D373" s="40"/>
      <c r="E373" s="41"/>
      <c r="F373" s="42"/>
      <c r="G373" s="43"/>
      <c r="H373" s="8"/>
    </row>
    <row r="374" spans="1:8" x14ac:dyDescent="0.25">
      <c r="A374" s="4" t="s">
        <v>8</v>
      </c>
      <c r="B374" s="33" t="s">
        <v>168</v>
      </c>
      <c r="C374" s="34">
        <v>1</v>
      </c>
      <c r="D374" s="33" t="s">
        <v>217</v>
      </c>
      <c r="E374" s="34">
        <v>2</v>
      </c>
      <c r="F374" s="35" t="s">
        <v>168</v>
      </c>
      <c r="G374" s="36">
        <v>1</v>
      </c>
      <c r="H374" s="8"/>
    </row>
    <row r="375" spans="1:8" x14ac:dyDescent="0.25">
      <c r="A375" s="2"/>
      <c r="B375" s="37"/>
      <c r="C375" s="38"/>
      <c r="D375" s="37" t="s">
        <v>167</v>
      </c>
      <c r="E375" s="38">
        <v>3</v>
      </c>
      <c r="F375" s="39" t="s">
        <v>285</v>
      </c>
      <c r="G375" s="36">
        <v>2</v>
      </c>
      <c r="H375" s="8"/>
    </row>
    <row r="376" spans="1:8" x14ac:dyDescent="0.25">
      <c r="A376" s="3"/>
      <c r="B376" s="40"/>
      <c r="C376" s="41"/>
      <c r="D376" s="40"/>
      <c r="E376" s="41"/>
      <c r="F376" s="42"/>
      <c r="G376" s="43"/>
      <c r="H376" s="8"/>
    </row>
    <row r="377" spans="1:8" x14ac:dyDescent="0.25">
      <c r="A377" s="2" t="s">
        <v>9</v>
      </c>
      <c r="B377" s="37"/>
      <c r="C377" s="38"/>
      <c r="D377" s="37" t="s">
        <v>218</v>
      </c>
      <c r="E377" s="38">
        <v>1</v>
      </c>
      <c r="F377" s="39" t="s">
        <v>286</v>
      </c>
      <c r="G377" s="36">
        <v>1</v>
      </c>
      <c r="H377" s="8"/>
    </row>
    <row r="378" spans="1:8" x14ac:dyDescent="0.25">
      <c r="A378" s="2"/>
      <c r="B378" s="37"/>
      <c r="C378" s="38"/>
      <c r="D378" s="37" t="s">
        <v>219</v>
      </c>
      <c r="E378" s="38">
        <v>2</v>
      </c>
      <c r="F378" s="48" t="s">
        <v>287</v>
      </c>
      <c r="G378" s="36">
        <v>3</v>
      </c>
      <c r="H378" s="8"/>
    </row>
    <row r="379" spans="1:8" x14ac:dyDescent="0.25">
      <c r="A379" s="3"/>
      <c r="B379" s="40"/>
      <c r="C379" s="41"/>
      <c r="D379" s="40"/>
      <c r="E379" s="41"/>
      <c r="F379" s="42"/>
      <c r="G379" s="43"/>
      <c r="H379" s="8"/>
    </row>
    <row r="380" spans="1:8" x14ac:dyDescent="0.25">
      <c r="A380" s="2" t="s">
        <v>1224</v>
      </c>
      <c r="B380" s="37" t="s">
        <v>287</v>
      </c>
      <c r="C380" s="38" t="s">
        <v>1074</v>
      </c>
      <c r="D380" s="37" t="s">
        <v>655</v>
      </c>
      <c r="E380" s="38" t="s">
        <v>1072</v>
      </c>
      <c r="F380" s="39" t="s">
        <v>1371</v>
      </c>
      <c r="G380" s="36" t="s">
        <v>1074</v>
      </c>
      <c r="H380" s="8"/>
    </row>
    <row r="381" spans="1:8" x14ac:dyDescent="0.25">
      <c r="A381" s="2"/>
      <c r="B381" s="44"/>
      <c r="C381" s="38"/>
      <c r="D381" s="37"/>
      <c r="E381" s="38"/>
      <c r="F381" s="39"/>
      <c r="G381" s="36"/>
      <c r="H381" s="8"/>
    </row>
    <row r="382" spans="1:8" x14ac:dyDescent="0.25">
      <c r="A382" s="3"/>
      <c r="B382" s="40"/>
      <c r="C382" s="41"/>
      <c r="D382" s="40"/>
      <c r="E382" s="41"/>
      <c r="F382" s="42"/>
      <c r="G382" s="43"/>
      <c r="H382" s="8"/>
    </row>
    <row r="384" spans="1:8" x14ac:dyDescent="0.25">
      <c r="A384" s="1">
        <v>20</v>
      </c>
      <c r="B384" s="29" t="s">
        <v>1137</v>
      </c>
      <c r="C384" s="30"/>
      <c r="D384" s="29" t="s">
        <v>1218</v>
      </c>
      <c r="E384" s="30"/>
      <c r="F384" s="31" t="s">
        <v>1218</v>
      </c>
      <c r="G384" s="32"/>
      <c r="H384" s="8"/>
    </row>
    <row r="385" spans="1:14" x14ac:dyDescent="0.25">
      <c r="A385" s="4" t="s">
        <v>6</v>
      </c>
      <c r="B385" s="33" t="s">
        <v>170</v>
      </c>
      <c r="C385" s="34">
        <v>1</v>
      </c>
      <c r="D385" s="33" t="s">
        <v>212</v>
      </c>
      <c r="E385" s="34">
        <v>1</v>
      </c>
      <c r="F385" s="35" t="s">
        <v>170</v>
      </c>
      <c r="G385" s="36">
        <v>1</v>
      </c>
      <c r="H385" s="8"/>
      <c r="I385" s="7">
        <v>1</v>
      </c>
      <c r="J385" s="6">
        <v>1</v>
      </c>
      <c r="K385" s="7">
        <v>1</v>
      </c>
      <c r="L385" s="6">
        <v>1</v>
      </c>
      <c r="M385" s="7">
        <v>0</v>
      </c>
      <c r="N385" s="7">
        <v>0</v>
      </c>
    </row>
    <row r="386" spans="1:14" x14ac:dyDescent="0.25">
      <c r="A386" s="2"/>
      <c r="B386" s="37"/>
      <c r="C386" s="38"/>
      <c r="D386" s="37"/>
      <c r="E386" s="38"/>
      <c r="F386" s="39"/>
      <c r="G386" s="36"/>
      <c r="H386" s="8"/>
    </row>
    <row r="387" spans="1:14" x14ac:dyDescent="0.25">
      <c r="A387" s="3"/>
      <c r="B387" s="40"/>
      <c r="C387" s="41"/>
      <c r="D387" s="40"/>
      <c r="E387" s="41"/>
      <c r="F387" s="42"/>
      <c r="G387" s="43"/>
      <c r="H387" s="8"/>
    </row>
    <row r="388" spans="1:14" x14ac:dyDescent="0.25">
      <c r="A388" s="4" t="s">
        <v>5</v>
      </c>
      <c r="B388" s="35" t="s">
        <v>288</v>
      </c>
      <c r="C388" s="34">
        <v>1</v>
      </c>
      <c r="D388" s="35" t="s">
        <v>288</v>
      </c>
      <c r="E388" s="34">
        <v>1</v>
      </c>
      <c r="F388" s="35" t="s">
        <v>288</v>
      </c>
      <c r="G388" s="36">
        <v>1</v>
      </c>
      <c r="H388" s="8"/>
    </row>
    <row r="389" spans="1:14" x14ac:dyDescent="0.25">
      <c r="A389" s="2"/>
      <c r="B389" s="37"/>
      <c r="C389" s="38"/>
      <c r="D389" s="37"/>
      <c r="E389" s="38"/>
      <c r="F389" s="39"/>
      <c r="G389" s="36"/>
      <c r="H389" s="8"/>
    </row>
    <row r="390" spans="1:14" x14ac:dyDescent="0.25">
      <c r="A390" s="3"/>
      <c r="B390" s="40"/>
      <c r="C390" s="41"/>
      <c r="D390" s="40"/>
      <c r="E390" s="41"/>
      <c r="F390" s="42"/>
      <c r="G390" s="43"/>
      <c r="H390" s="8"/>
    </row>
    <row r="391" spans="1:14" x14ac:dyDescent="0.25">
      <c r="A391" s="4" t="s">
        <v>7</v>
      </c>
      <c r="B391" s="33"/>
      <c r="C391" s="34"/>
      <c r="D391" s="33"/>
      <c r="E391" s="34"/>
      <c r="F391" s="35"/>
      <c r="G391" s="36"/>
      <c r="H391" s="8"/>
    </row>
    <row r="392" spans="1:14" x14ac:dyDescent="0.25">
      <c r="A392" s="2"/>
      <c r="B392" s="37"/>
      <c r="C392" s="38"/>
      <c r="D392" s="37"/>
      <c r="E392" s="38"/>
      <c r="F392" s="39"/>
      <c r="G392" s="36"/>
      <c r="H392" s="8"/>
    </row>
    <row r="393" spans="1:14" x14ac:dyDescent="0.25">
      <c r="A393" s="3"/>
      <c r="B393" s="40"/>
      <c r="C393" s="41"/>
      <c r="D393" s="40"/>
      <c r="E393" s="41"/>
      <c r="F393" s="42"/>
      <c r="G393" s="43"/>
      <c r="H393" s="8"/>
    </row>
    <row r="394" spans="1:14" x14ac:dyDescent="0.25">
      <c r="A394" s="4" t="s">
        <v>8</v>
      </c>
      <c r="B394" s="33" t="s">
        <v>167</v>
      </c>
      <c r="C394" s="34">
        <v>1</v>
      </c>
      <c r="D394" s="33" t="s">
        <v>167</v>
      </c>
      <c r="E394" s="34">
        <v>1</v>
      </c>
      <c r="F394" s="35" t="s">
        <v>172</v>
      </c>
      <c r="G394" s="36">
        <v>1</v>
      </c>
      <c r="H394" s="8"/>
    </row>
    <row r="395" spans="1:14" x14ac:dyDescent="0.25">
      <c r="A395" s="2"/>
      <c r="B395" s="37"/>
      <c r="C395" s="38"/>
      <c r="D395" s="37" t="s">
        <v>209</v>
      </c>
      <c r="E395" s="38">
        <v>2</v>
      </c>
      <c r="F395" s="39"/>
      <c r="G395" s="36"/>
      <c r="H395" s="8"/>
    </row>
    <row r="396" spans="1:14" x14ac:dyDescent="0.25">
      <c r="A396" s="3"/>
      <c r="B396" s="40"/>
      <c r="C396" s="41"/>
      <c r="D396" s="40" t="s">
        <v>213</v>
      </c>
      <c r="E396" s="41">
        <v>3</v>
      </c>
      <c r="F396" s="42"/>
      <c r="G396" s="43"/>
      <c r="H396" s="8"/>
    </row>
    <row r="397" spans="1:14" x14ac:dyDescent="0.25">
      <c r="A397" s="2" t="s">
        <v>9</v>
      </c>
      <c r="B397" s="37"/>
      <c r="C397" s="38"/>
      <c r="D397" s="37" t="s">
        <v>214</v>
      </c>
      <c r="E397" s="38">
        <v>1</v>
      </c>
      <c r="F397" s="39" t="s">
        <v>289</v>
      </c>
      <c r="G397" s="36">
        <v>0.5</v>
      </c>
      <c r="H397" s="8"/>
    </row>
    <row r="398" spans="1:14" x14ac:dyDescent="0.25">
      <c r="A398" s="2"/>
      <c r="B398" s="37"/>
      <c r="C398" s="38"/>
      <c r="D398" s="37"/>
      <c r="E398" s="38"/>
      <c r="F398" s="48"/>
      <c r="G398" s="36"/>
      <c r="H398" s="8"/>
    </row>
    <row r="399" spans="1:14" x14ac:dyDescent="0.25">
      <c r="A399" s="3"/>
      <c r="B399" s="40"/>
      <c r="C399" s="41"/>
      <c r="D399" s="40"/>
      <c r="E399" s="41"/>
      <c r="F399" s="42"/>
      <c r="G399" s="43"/>
      <c r="H399" s="8"/>
    </row>
    <row r="400" spans="1:14" x14ac:dyDescent="0.25">
      <c r="A400" s="2" t="s">
        <v>1224</v>
      </c>
      <c r="B400" s="37" t="s">
        <v>1250</v>
      </c>
      <c r="C400" s="38" t="s">
        <v>1074</v>
      </c>
      <c r="D400" s="37" t="s">
        <v>1283</v>
      </c>
      <c r="E400" s="38" t="s">
        <v>1074</v>
      </c>
      <c r="F400" s="37" t="s">
        <v>1283</v>
      </c>
      <c r="G400" s="36" t="s">
        <v>1074</v>
      </c>
      <c r="H400" s="8"/>
    </row>
    <row r="401" spans="1:14" x14ac:dyDescent="0.25">
      <c r="A401" s="2"/>
      <c r="B401" s="44"/>
      <c r="C401" s="38"/>
      <c r="D401" s="37"/>
      <c r="E401" s="38"/>
      <c r="F401" s="39"/>
      <c r="G401" s="36"/>
      <c r="H401" s="8"/>
    </row>
    <row r="402" spans="1:14" x14ac:dyDescent="0.25">
      <c r="A402" s="3"/>
      <c r="B402" s="40"/>
      <c r="C402" s="41"/>
      <c r="D402" s="40"/>
      <c r="E402" s="41"/>
      <c r="F402" s="42"/>
      <c r="G402" s="43"/>
      <c r="H402" s="8"/>
    </row>
    <row r="404" spans="1:14" x14ac:dyDescent="0.25">
      <c r="A404" s="1">
        <v>21</v>
      </c>
      <c r="B404" s="29" t="s">
        <v>1138</v>
      </c>
      <c r="C404" s="30"/>
      <c r="D404" s="29" t="s">
        <v>1218</v>
      </c>
      <c r="E404" s="30"/>
      <c r="F404" s="31" t="s">
        <v>1218</v>
      </c>
      <c r="G404" s="32"/>
      <c r="H404" s="8"/>
    </row>
    <row r="405" spans="1:14" x14ac:dyDescent="0.25">
      <c r="A405" s="4" t="s">
        <v>6</v>
      </c>
      <c r="B405" s="33" t="s">
        <v>171</v>
      </c>
      <c r="C405" s="34">
        <v>1</v>
      </c>
      <c r="D405" s="33" t="s">
        <v>206</v>
      </c>
      <c r="E405" s="34">
        <v>1</v>
      </c>
      <c r="F405" s="35" t="s">
        <v>171</v>
      </c>
      <c r="G405" s="36">
        <v>1</v>
      </c>
      <c r="H405" s="8"/>
      <c r="I405" s="7">
        <v>1</v>
      </c>
      <c r="J405" s="6">
        <v>1</v>
      </c>
      <c r="K405" s="7">
        <v>0.33333333333333337</v>
      </c>
      <c r="L405" s="6">
        <v>1</v>
      </c>
      <c r="M405" s="7">
        <v>0.33333333333333337</v>
      </c>
      <c r="N405" s="7">
        <v>0.33333333333333337</v>
      </c>
    </row>
    <row r="406" spans="1:14" x14ac:dyDescent="0.25">
      <c r="A406" s="2"/>
      <c r="B406" s="37"/>
      <c r="C406" s="38"/>
      <c r="D406" s="37" t="s">
        <v>207</v>
      </c>
      <c r="E406" s="38">
        <v>2</v>
      </c>
      <c r="F406" s="39"/>
      <c r="G406" s="36"/>
      <c r="H406" s="8"/>
    </row>
    <row r="407" spans="1:14" x14ac:dyDescent="0.25">
      <c r="A407" s="3"/>
      <c r="B407" s="40"/>
      <c r="C407" s="41"/>
      <c r="D407" s="40"/>
      <c r="E407" s="41"/>
      <c r="F407" s="42"/>
      <c r="G407" s="43"/>
      <c r="H407" s="8"/>
    </row>
    <row r="408" spans="1:14" x14ac:dyDescent="0.25">
      <c r="A408" s="4" t="s">
        <v>5</v>
      </c>
      <c r="B408" s="33"/>
      <c r="C408" s="34"/>
      <c r="D408" s="33"/>
      <c r="E408" s="34"/>
      <c r="F408" s="35"/>
      <c r="G408" s="36"/>
      <c r="H408" s="8"/>
    </row>
    <row r="409" spans="1:14" x14ac:dyDescent="0.25">
      <c r="A409" s="2"/>
      <c r="B409" s="37"/>
      <c r="C409" s="38"/>
      <c r="D409" s="37"/>
      <c r="E409" s="38"/>
      <c r="F409" s="39"/>
      <c r="G409" s="36"/>
      <c r="H409" s="8"/>
    </row>
    <row r="410" spans="1:14" x14ac:dyDescent="0.25">
      <c r="A410" s="3"/>
      <c r="B410" s="40"/>
      <c r="C410" s="41"/>
      <c r="D410" s="40"/>
      <c r="E410" s="41"/>
      <c r="F410" s="42"/>
      <c r="G410" s="43"/>
      <c r="H410" s="8"/>
    </row>
    <row r="411" spans="1:14" x14ac:dyDescent="0.25">
      <c r="A411" s="4" t="s">
        <v>7</v>
      </c>
      <c r="B411" s="33"/>
      <c r="C411" s="34"/>
      <c r="D411" s="33" t="s">
        <v>208</v>
      </c>
      <c r="E411" s="34">
        <v>1</v>
      </c>
      <c r="F411" s="35"/>
      <c r="G411" s="36"/>
      <c r="H411" s="8"/>
    </row>
    <row r="412" spans="1:14" x14ac:dyDescent="0.25">
      <c r="A412" s="2"/>
      <c r="B412" s="37"/>
      <c r="C412" s="38"/>
      <c r="D412" s="37"/>
      <c r="E412" s="38"/>
      <c r="F412" s="39"/>
      <c r="G412" s="36"/>
      <c r="H412" s="8"/>
    </row>
    <row r="413" spans="1:14" x14ac:dyDescent="0.25">
      <c r="A413" s="3"/>
      <c r="B413" s="40"/>
      <c r="C413" s="41"/>
      <c r="D413" s="40"/>
      <c r="E413" s="41"/>
      <c r="F413" s="42"/>
      <c r="G413" s="43"/>
      <c r="H413" s="8"/>
    </row>
    <row r="414" spans="1:14" x14ac:dyDescent="0.25">
      <c r="A414" s="4" t="s">
        <v>8</v>
      </c>
      <c r="B414" s="33" t="s">
        <v>172</v>
      </c>
      <c r="C414" s="34">
        <v>1</v>
      </c>
      <c r="D414" s="33" t="s">
        <v>172</v>
      </c>
      <c r="E414" s="34">
        <v>1</v>
      </c>
      <c r="F414" s="35" t="s">
        <v>172</v>
      </c>
      <c r="G414" s="36">
        <v>1</v>
      </c>
      <c r="H414" s="8"/>
    </row>
    <row r="415" spans="1:14" x14ac:dyDescent="0.25">
      <c r="A415" s="2"/>
      <c r="B415" s="37"/>
      <c r="C415" s="38"/>
      <c r="D415" s="37" t="s">
        <v>209</v>
      </c>
      <c r="E415" s="38">
        <v>2</v>
      </c>
      <c r="F415" s="39"/>
      <c r="G415" s="36"/>
      <c r="H415" s="8"/>
    </row>
    <row r="416" spans="1:14" x14ac:dyDescent="0.25">
      <c r="A416" s="3"/>
      <c r="B416" s="40"/>
      <c r="C416" s="41"/>
      <c r="D416" s="40" t="s">
        <v>200</v>
      </c>
      <c r="E416" s="41">
        <v>3</v>
      </c>
      <c r="F416" s="42"/>
      <c r="G416" s="43"/>
      <c r="H416" s="8"/>
    </row>
    <row r="417" spans="1:14" x14ac:dyDescent="0.25">
      <c r="A417" s="2" t="s">
        <v>9</v>
      </c>
      <c r="B417" s="37"/>
      <c r="C417" s="38"/>
      <c r="D417" s="37" t="s">
        <v>210</v>
      </c>
      <c r="E417" s="38">
        <v>1</v>
      </c>
      <c r="F417" s="39" t="s">
        <v>290</v>
      </c>
      <c r="G417" s="36">
        <v>1</v>
      </c>
      <c r="H417" s="8"/>
    </row>
    <row r="418" spans="1:14" x14ac:dyDescent="0.25">
      <c r="A418" s="2"/>
      <c r="B418" s="37"/>
      <c r="C418" s="38"/>
      <c r="D418" s="37" t="s">
        <v>211</v>
      </c>
      <c r="E418" s="38">
        <v>2</v>
      </c>
      <c r="F418" s="48"/>
      <c r="G418" s="36"/>
      <c r="H418" s="8"/>
    </row>
    <row r="419" spans="1:14" x14ac:dyDescent="0.25">
      <c r="A419" s="3"/>
      <c r="B419" s="40"/>
      <c r="C419" s="41"/>
      <c r="D419" s="40"/>
      <c r="E419" s="41"/>
      <c r="F419" s="42"/>
      <c r="G419" s="43"/>
      <c r="H419" s="8"/>
    </row>
    <row r="420" spans="1:14" x14ac:dyDescent="0.25">
      <c r="A420" s="2" t="s">
        <v>1224</v>
      </c>
      <c r="B420" s="37" t="s">
        <v>1251</v>
      </c>
      <c r="C420" s="38" t="s">
        <v>1394</v>
      </c>
      <c r="D420" s="37" t="s">
        <v>1305</v>
      </c>
      <c r="E420" s="38" t="s">
        <v>1394</v>
      </c>
      <c r="F420" s="39" t="s">
        <v>1348</v>
      </c>
      <c r="G420" s="38" t="s">
        <v>1394</v>
      </c>
      <c r="H420" s="8"/>
    </row>
    <row r="421" spans="1:14" x14ac:dyDescent="0.25">
      <c r="A421" s="2"/>
      <c r="B421" s="44"/>
      <c r="C421" s="38"/>
      <c r="D421" s="37"/>
      <c r="E421" s="38"/>
      <c r="F421" s="39"/>
      <c r="G421" s="36"/>
      <c r="H421" s="8"/>
    </row>
    <row r="422" spans="1:14" x14ac:dyDescent="0.25">
      <c r="A422" s="3"/>
      <c r="B422" s="40"/>
      <c r="C422" s="41"/>
      <c r="D422" s="40"/>
      <c r="E422" s="41"/>
      <c r="F422" s="42"/>
      <c r="G422" s="43"/>
      <c r="H422" s="8"/>
    </row>
    <row r="424" spans="1:14" x14ac:dyDescent="0.25">
      <c r="A424" s="1">
        <v>22</v>
      </c>
      <c r="B424" s="29" t="s">
        <v>1139</v>
      </c>
      <c r="C424" s="30"/>
      <c r="D424" s="29" t="s">
        <v>1218</v>
      </c>
      <c r="E424" s="30"/>
      <c r="F424" s="31" t="s">
        <v>1218</v>
      </c>
      <c r="G424" s="32"/>
      <c r="H424" s="8"/>
    </row>
    <row r="425" spans="1:14" x14ac:dyDescent="0.25">
      <c r="A425" s="4" t="s">
        <v>6</v>
      </c>
      <c r="B425" s="33" t="s">
        <v>173</v>
      </c>
      <c r="C425" s="34">
        <v>1</v>
      </c>
      <c r="D425" s="33" t="s">
        <v>201</v>
      </c>
      <c r="E425" s="34">
        <v>1</v>
      </c>
      <c r="F425" s="35" t="s">
        <v>173</v>
      </c>
      <c r="G425" s="36">
        <v>1</v>
      </c>
      <c r="H425" s="8"/>
      <c r="I425" s="7">
        <v>1</v>
      </c>
      <c r="J425" s="6">
        <v>1</v>
      </c>
      <c r="K425" s="7">
        <v>1</v>
      </c>
      <c r="L425" s="6">
        <v>1</v>
      </c>
      <c r="M425" s="7">
        <v>0.33333333333333337</v>
      </c>
      <c r="N425" s="7">
        <v>0.33333333333333337</v>
      </c>
    </row>
    <row r="426" spans="1:14" x14ac:dyDescent="0.25">
      <c r="A426" s="2"/>
      <c r="B426" s="37"/>
      <c r="C426" s="38"/>
      <c r="D426" s="37" t="s">
        <v>202</v>
      </c>
      <c r="E426" s="38">
        <v>1</v>
      </c>
      <c r="F426" s="39"/>
      <c r="G426" s="36"/>
      <c r="H426" s="8"/>
    </row>
    <row r="427" spans="1:14" x14ac:dyDescent="0.25">
      <c r="A427" s="3"/>
      <c r="B427" s="40"/>
      <c r="C427" s="41"/>
      <c r="D427" s="40"/>
      <c r="E427" s="41"/>
      <c r="F427" s="42"/>
      <c r="G427" s="43"/>
      <c r="H427" s="8"/>
    </row>
    <row r="428" spans="1:14" x14ac:dyDescent="0.25">
      <c r="A428" s="4" t="s">
        <v>5</v>
      </c>
      <c r="B428" s="33" t="s">
        <v>174</v>
      </c>
      <c r="C428" s="34">
        <v>1</v>
      </c>
      <c r="D428" s="33" t="s">
        <v>203</v>
      </c>
      <c r="E428" s="34">
        <v>1</v>
      </c>
      <c r="F428" s="35" t="s">
        <v>174</v>
      </c>
      <c r="G428" s="36">
        <v>1</v>
      </c>
      <c r="H428" s="8"/>
    </row>
    <row r="429" spans="1:14" x14ac:dyDescent="0.25">
      <c r="A429" s="2"/>
      <c r="B429" s="37"/>
      <c r="C429" s="38"/>
      <c r="D429" s="37"/>
      <c r="E429" s="38"/>
      <c r="F429" s="39"/>
      <c r="G429" s="36"/>
      <c r="H429" s="8"/>
    </row>
    <row r="430" spans="1:14" x14ac:dyDescent="0.25">
      <c r="A430" s="3"/>
      <c r="B430" s="40"/>
      <c r="C430" s="41"/>
      <c r="D430" s="40"/>
      <c r="E430" s="41"/>
      <c r="F430" s="42"/>
      <c r="G430" s="43"/>
      <c r="H430" s="8"/>
    </row>
    <row r="431" spans="1:14" x14ac:dyDescent="0.25">
      <c r="A431" s="4" t="s">
        <v>7</v>
      </c>
      <c r="B431" s="33" t="s">
        <v>175</v>
      </c>
      <c r="C431" s="34">
        <v>1</v>
      </c>
      <c r="D431" s="33" t="s">
        <v>204</v>
      </c>
      <c r="E431" s="34">
        <v>1</v>
      </c>
      <c r="F431" s="35" t="s">
        <v>175</v>
      </c>
      <c r="G431" s="36">
        <v>1</v>
      </c>
      <c r="H431" s="8"/>
    </row>
    <row r="432" spans="1:14" x14ac:dyDescent="0.25">
      <c r="A432" s="2"/>
      <c r="B432" s="37"/>
      <c r="C432" s="38"/>
      <c r="D432" s="37"/>
      <c r="E432" s="38"/>
      <c r="F432" s="39"/>
      <c r="G432" s="36"/>
      <c r="H432" s="8"/>
    </row>
    <row r="433" spans="1:14" x14ac:dyDescent="0.25">
      <c r="A433" s="3"/>
      <c r="B433" s="40"/>
      <c r="C433" s="41"/>
      <c r="D433" s="40"/>
      <c r="E433" s="41"/>
      <c r="F433" s="42"/>
      <c r="G433" s="43"/>
      <c r="H433" s="8"/>
    </row>
    <row r="434" spans="1:14" x14ac:dyDescent="0.25">
      <c r="A434" s="4" t="s">
        <v>8</v>
      </c>
      <c r="B434" s="33" t="s">
        <v>176</v>
      </c>
      <c r="C434" s="34">
        <v>1</v>
      </c>
      <c r="D434" s="33" t="s">
        <v>176</v>
      </c>
      <c r="E434" s="34">
        <v>1</v>
      </c>
      <c r="F434" s="35" t="s">
        <v>176</v>
      </c>
      <c r="G434" s="36">
        <v>1</v>
      </c>
      <c r="H434" s="8"/>
    </row>
    <row r="435" spans="1:14" x14ac:dyDescent="0.25">
      <c r="A435" s="2"/>
      <c r="B435" s="37"/>
      <c r="C435" s="38"/>
      <c r="D435" s="37"/>
      <c r="E435" s="38"/>
      <c r="F435" s="39"/>
      <c r="G435" s="36"/>
      <c r="H435" s="8"/>
    </row>
    <row r="436" spans="1:14" x14ac:dyDescent="0.25">
      <c r="A436" s="3"/>
      <c r="B436" s="40"/>
      <c r="C436" s="41"/>
      <c r="D436" s="40"/>
      <c r="E436" s="41"/>
      <c r="F436" s="42"/>
      <c r="G436" s="43"/>
      <c r="H436" s="8"/>
    </row>
    <row r="437" spans="1:14" x14ac:dyDescent="0.25">
      <c r="A437" s="2" t="s">
        <v>9</v>
      </c>
      <c r="B437" s="37"/>
      <c r="C437" s="38"/>
      <c r="D437" s="37" t="s">
        <v>205</v>
      </c>
      <c r="E437" s="38">
        <v>1</v>
      </c>
      <c r="F437" s="39"/>
      <c r="G437" s="36"/>
      <c r="H437" s="8"/>
    </row>
    <row r="438" spans="1:14" x14ac:dyDescent="0.25">
      <c r="A438" s="2"/>
      <c r="B438" s="37"/>
      <c r="C438" s="38"/>
      <c r="D438" s="37"/>
      <c r="E438" s="38"/>
      <c r="F438" s="48"/>
      <c r="G438" s="36"/>
      <c r="H438" s="8"/>
    </row>
    <row r="439" spans="1:14" x14ac:dyDescent="0.25">
      <c r="A439" s="3"/>
      <c r="B439" s="40"/>
      <c r="C439" s="41"/>
      <c r="D439" s="40"/>
      <c r="E439" s="41"/>
      <c r="F439" s="42"/>
      <c r="G439" s="43"/>
      <c r="H439" s="8"/>
    </row>
    <row r="440" spans="1:14" x14ac:dyDescent="0.25">
      <c r="A440" s="2" t="s">
        <v>1224</v>
      </c>
      <c r="B440" s="37" t="s">
        <v>1252</v>
      </c>
      <c r="C440" s="38" t="s">
        <v>1074</v>
      </c>
      <c r="D440" s="37" t="s">
        <v>1252</v>
      </c>
      <c r="E440" s="38" t="s">
        <v>1074</v>
      </c>
      <c r="F440" s="37" t="s">
        <v>1252</v>
      </c>
      <c r="G440" s="36" t="s">
        <v>1074</v>
      </c>
      <c r="H440" s="8"/>
    </row>
    <row r="441" spans="1:14" x14ac:dyDescent="0.25">
      <c r="A441" s="2"/>
      <c r="B441" s="44"/>
      <c r="C441" s="38"/>
      <c r="D441" s="37"/>
      <c r="E441" s="38"/>
      <c r="F441" s="39"/>
      <c r="G441" s="36"/>
      <c r="H441" s="8"/>
    </row>
    <row r="442" spans="1:14" x14ac:dyDescent="0.25">
      <c r="A442" s="3"/>
      <c r="B442" s="40"/>
      <c r="C442" s="41"/>
      <c r="D442" s="40"/>
      <c r="E442" s="41"/>
      <c r="F442" s="42"/>
      <c r="G442" s="43"/>
      <c r="H442" s="8"/>
    </row>
    <row r="444" spans="1:14" x14ac:dyDescent="0.25">
      <c r="A444" s="1">
        <v>23</v>
      </c>
      <c r="B444" s="29" t="s">
        <v>1140</v>
      </c>
      <c r="C444" s="30"/>
      <c r="D444" s="29" t="s">
        <v>1218</v>
      </c>
      <c r="E444" s="30"/>
      <c r="F444" s="31" t="s">
        <v>1218</v>
      </c>
      <c r="G444" s="32"/>
      <c r="H444" s="8"/>
    </row>
    <row r="445" spans="1:14" x14ac:dyDescent="0.25">
      <c r="A445" s="4" t="s">
        <v>6</v>
      </c>
      <c r="B445" s="33" t="s">
        <v>177</v>
      </c>
      <c r="C445" s="34">
        <v>1</v>
      </c>
      <c r="D445" s="33" t="s">
        <v>177</v>
      </c>
      <c r="E445" s="34">
        <v>1</v>
      </c>
      <c r="F445" s="35" t="s">
        <v>291</v>
      </c>
      <c r="G445" s="36">
        <v>1</v>
      </c>
      <c r="H445" s="8"/>
      <c r="I445" s="7">
        <v>1</v>
      </c>
      <c r="J445" s="6">
        <v>1</v>
      </c>
      <c r="K445" s="7">
        <v>1</v>
      </c>
      <c r="L445" s="6">
        <v>1</v>
      </c>
      <c r="M445" s="7">
        <v>1</v>
      </c>
      <c r="N445" s="7">
        <v>1</v>
      </c>
    </row>
    <row r="446" spans="1:14" x14ac:dyDescent="0.25">
      <c r="A446" s="2"/>
      <c r="B446" s="37"/>
      <c r="C446" s="38"/>
      <c r="D446" s="37" t="s">
        <v>197</v>
      </c>
      <c r="E446" s="38">
        <v>2</v>
      </c>
      <c r="F446" s="39"/>
      <c r="G446" s="36"/>
      <c r="H446" s="8"/>
    </row>
    <row r="447" spans="1:14" x14ac:dyDescent="0.25">
      <c r="A447" s="3"/>
      <c r="B447" s="40"/>
      <c r="C447" s="41"/>
      <c r="D447" s="40"/>
      <c r="E447" s="41"/>
      <c r="F447" s="42"/>
      <c r="G447" s="43"/>
      <c r="H447" s="8"/>
    </row>
    <row r="448" spans="1:14" x14ac:dyDescent="0.25">
      <c r="A448" s="4" t="s">
        <v>5</v>
      </c>
      <c r="B448" s="33" t="s">
        <v>314</v>
      </c>
      <c r="C448" s="34">
        <v>1</v>
      </c>
      <c r="D448" s="33" t="s">
        <v>198</v>
      </c>
      <c r="E448" s="34" t="s">
        <v>1074</v>
      </c>
      <c r="F448" s="35" t="s">
        <v>292</v>
      </c>
      <c r="G448" s="36">
        <v>1</v>
      </c>
      <c r="H448" s="8"/>
    </row>
    <row r="449" spans="1:8" x14ac:dyDescent="0.25">
      <c r="A449" s="2"/>
      <c r="B449" s="37"/>
      <c r="C449" s="38"/>
      <c r="D449" s="37"/>
      <c r="E449" s="38"/>
      <c r="F449" s="39"/>
      <c r="G449" s="36"/>
      <c r="H449" s="8"/>
    </row>
    <row r="450" spans="1:8" x14ac:dyDescent="0.25">
      <c r="A450" s="3"/>
      <c r="B450" s="40"/>
      <c r="C450" s="41"/>
      <c r="D450" s="40"/>
      <c r="E450" s="41"/>
      <c r="F450" s="42"/>
      <c r="G450" s="43"/>
      <c r="H450" s="8"/>
    </row>
    <row r="451" spans="1:8" x14ac:dyDescent="0.25">
      <c r="A451" s="4" t="s">
        <v>7</v>
      </c>
      <c r="B451" s="33" t="s">
        <v>313</v>
      </c>
      <c r="C451" s="34">
        <v>1</v>
      </c>
      <c r="D451" s="33" t="s">
        <v>199</v>
      </c>
      <c r="E451" s="34">
        <v>1</v>
      </c>
      <c r="F451" s="35" t="s">
        <v>293</v>
      </c>
      <c r="G451" s="36">
        <v>1</v>
      </c>
      <c r="H451" s="8"/>
    </row>
    <row r="452" spans="1:8" x14ac:dyDescent="0.25">
      <c r="A452" s="2"/>
      <c r="B452" s="37" t="s">
        <v>178</v>
      </c>
      <c r="C452" s="38">
        <v>2</v>
      </c>
      <c r="D452" s="37"/>
      <c r="E452" s="38"/>
      <c r="F452" s="39"/>
      <c r="G452" s="36"/>
      <c r="H452" s="8"/>
    </row>
    <row r="453" spans="1:8" x14ac:dyDescent="0.25">
      <c r="A453" s="3"/>
      <c r="B453" s="40"/>
      <c r="C453" s="41"/>
      <c r="D453" s="40"/>
      <c r="E453" s="41"/>
      <c r="F453" s="42"/>
      <c r="G453" s="43"/>
      <c r="H453" s="8"/>
    </row>
    <row r="454" spans="1:8" x14ac:dyDescent="0.25">
      <c r="A454" s="4" t="s">
        <v>8</v>
      </c>
      <c r="B454" s="33" t="s">
        <v>176</v>
      </c>
      <c r="C454" s="34">
        <v>1</v>
      </c>
      <c r="D454" s="33" t="s">
        <v>176</v>
      </c>
      <c r="E454" s="34">
        <v>1</v>
      </c>
      <c r="F454" s="35" t="s">
        <v>176</v>
      </c>
      <c r="G454" s="36">
        <v>1</v>
      </c>
      <c r="H454" s="8"/>
    </row>
    <row r="455" spans="1:8" x14ac:dyDescent="0.25">
      <c r="A455" s="2"/>
      <c r="B455" s="37"/>
      <c r="C455" s="38"/>
      <c r="D455" s="37" t="s">
        <v>200</v>
      </c>
      <c r="E455" s="38">
        <v>2</v>
      </c>
      <c r="F455" s="39"/>
      <c r="G455" s="36"/>
      <c r="H455" s="8"/>
    </row>
    <row r="456" spans="1:8" x14ac:dyDescent="0.25">
      <c r="A456" s="3"/>
      <c r="B456" s="40"/>
      <c r="C456" s="41"/>
      <c r="D456" s="40" t="s">
        <v>172</v>
      </c>
      <c r="E456" s="41">
        <v>3</v>
      </c>
      <c r="F456" s="42"/>
      <c r="G456" s="43"/>
      <c r="H456" s="8"/>
    </row>
    <row r="457" spans="1:8" x14ac:dyDescent="0.25">
      <c r="A457" s="2" t="s">
        <v>9</v>
      </c>
      <c r="B457" s="37" t="s">
        <v>179</v>
      </c>
      <c r="C457" s="38">
        <v>1</v>
      </c>
      <c r="D457" s="37" t="s">
        <v>197</v>
      </c>
      <c r="E457" s="38">
        <v>1</v>
      </c>
      <c r="F457" s="39" t="s">
        <v>294</v>
      </c>
      <c r="G457" s="36">
        <v>1</v>
      </c>
      <c r="H457" s="8"/>
    </row>
    <row r="458" spans="1:8" x14ac:dyDescent="0.25">
      <c r="A458" s="2"/>
      <c r="B458" s="37"/>
      <c r="C458" s="38"/>
      <c r="D458" s="37"/>
      <c r="E458" s="38"/>
      <c r="F458" s="48"/>
      <c r="G458" s="36"/>
      <c r="H458" s="8"/>
    </row>
    <row r="459" spans="1:8" x14ac:dyDescent="0.25">
      <c r="A459" s="3"/>
      <c r="B459" s="40"/>
      <c r="C459" s="41"/>
      <c r="D459" s="40"/>
      <c r="E459" s="41"/>
      <c r="F459" s="42"/>
      <c r="G459" s="43"/>
      <c r="H459" s="8"/>
    </row>
    <row r="460" spans="1:8" x14ac:dyDescent="0.25">
      <c r="A460" s="2" t="s">
        <v>1224</v>
      </c>
      <c r="B460" s="37" t="s">
        <v>1253</v>
      </c>
      <c r="C460" s="38" t="s">
        <v>1074</v>
      </c>
      <c r="D460" s="37" t="s">
        <v>1306</v>
      </c>
      <c r="E460" s="38" t="s">
        <v>1074</v>
      </c>
      <c r="F460" s="39" t="s">
        <v>1287</v>
      </c>
      <c r="G460" s="36" t="s">
        <v>1074</v>
      </c>
      <c r="H460" s="8"/>
    </row>
    <row r="461" spans="1:8" x14ac:dyDescent="0.25">
      <c r="A461" s="2"/>
      <c r="B461" s="44"/>
      <c r="C461" s="38"/>
      <c r="D461" s="37"/>
      <c r="E461" s="38"/>
      <c r="F461" s="39"/>
      <c r="G461" s="36"/>
      <c r="H461" s="8"/>
    </row>
    <row r="462" spans="1:8" x14ac:dyDescent="0.25">
      <c r="A462" s="3"/>
      <c r="B462" s="40"/>
      <c r="C462" s="41"/>
      <c r="D462" s="40"/>
      <c r="E462" s="41"/>
      <c r="F462" s="42"/>
      <c r="G462" s="43"/>
      <c r="H462" s="8"/>
    </row>
    <row r="464" spans="1:8" x14ac:dyDescent="0.25">
      <c r="A464" s="1">
        <v>24</v>
      </c>
      <c r="B464" s="29" t="s">
        <v>1141</v>
      </c>
      <c r="C464" s="30"/>
      <c r="D464" s="29" t="s">
        <v>1218</v>
      </c>
      <c r="E464" s="30"/>
      <c r="F464" s="31" t="s">
        <v>1218</v>
      </c>
      <c r="G464" s="32"/>
      <c r="H464" s="8"/>
    </row>
    <row r="465" spans="1:14" x14ac:dyDescent="0.25">
      <c r="A465" s="4" t="s">
        <v>6</v>
      </c>
      <c r="B465" s="33" t="s">
        <v>180</v>
      </c>
      <c r="C465" s="34">
        <v>1</v>
      </c>
      <c r="D465" s="33" t="s">
        <v>194</v>
      </c>
      <c r="E465" s="34">
        <v>2</v>
      </c>
      <c r="F465" s="35" t="s">
        <v>295</v>
      </c>
      <c r="G465" s="36">
        <v>1</v>
      </c>
      <c r="H465" s="8"/>
      <c r="I465" s="7">
        <v>1</v>
      </c>
      <c r="J465" s="6">
        <v>1</v>
      </c>
      <c r="K465" s="7">
        <v>1</v>
      </c>
      <c r="L465" s="6">
        <v>0.33333333333333337</v>
      </c>
      <c r="M465" s="7">
        <v>0.33333333333333337</v>
      </c>
      <c r="N465" s="7">
        <v>0.33333333333333337</v>
      </c>
    </row>
    <row r="466" spans="1:14" x14ac:dyDescent="0.25">
      <c r="A466" s="2"/>
      <c r="B466" s="37"/>
      <c r="C466" s="38"/>
      <c r="D466" s="37" t="s">
        <v>195</v>
      </c>
      <c r="E466" s="38">
        <v>3</v>
      </c>
      <c r="F466" s="39" t="s">
        <v>296</v>
      </c>
      <c r="G466" s="36" t="s">
        <v>1107</v>
      </c>
      <c r="H466" s="8"/>
    </row>
    <row r="467" spans="1:14" x14ac:dyDescent="0.25">
      <c r="A467" s="3"/>
      <c r="B467" s="40"/>
      <c r="C467" s="41"/>
      <c r="D467" s="40"/>
      <c r="E467" s="41"/>
      <c r="F467" s="42" t="s">
        <v>297</v>
      </c>
      <c r="G467" s="43" t="s">
        <v>1072</v>
      </c>
      <c r="H467" s="8"/>
    </row>
    <row r="468" spans="1:14" x14ac:dyDescent="0.25">
      <c r="A468" s="4" t="s">
        <v>5</v>
      </c>
      <c r="B468" s="33" t="s">
        <v>196</v>
      </c>
      <c r="C468" s="34">
        <v>1</v>
      </c>
      <c r="D468" s="33" t="s">
        <v>196</v>
      </c>
      <c r="E468" s="34">
        <v>1</v>
      </c>
      <c r="F468" s="35" t="s">
        <v>298</v>
      </c>
      <c r="G468" s="36">
        <v>1</v>
      </c>
      <c r="H468" s="8"/>
    </row>
    <row r="469" spans="1:14" x14ac:dyDescent="0.25">
      <c r="A469" s="2"/>
      <c r="B469" s="37"/>
      <c r="C469" s="38"/>
      <c r="D469" s="37"/>
      <c r="E469" s="38"/>
      <c r="F469" s="39"/>
      <c r="G469" s="36"/>
      <c r="H469" s="8"/>
    </row>
    <row r="470" spans="1:14" x14ac:dyDescent="0.25">
      <c r="A470" s="3"/>
      <c r="B470" s="40"/>
      <c r="C470" s="41"/>
      <c r="D470" s="40"/>
      <c r="E470" s="41"/>
      <c r="F470" s="42"/>
      <c r="G470" s="43"/>
      <c r="H470" s="8"/>
    </row>
    <row r="471" spans="1:14" x14ac:dyDescent="0.25">
      <c r="A471" s="4" t="s">
        <v>7</v>
      </c>
      <c r="B471" s="33" t="s">
        <v>181</v>
      </c>
      <c r="C471" s="34">
        <v>1</v>
      </c>
      <c r="D471" s="33" t="s">
        <v>181</v>
      </c>
      <c r="E471" s="34">
        <v>1</v>
      </c>
      <c r="F471" s="35" t="s">
        <v>181</v>
      </c>
      <c r="G471" s="36">
        <v>1</v>
      </c>
      <c r="H471" s="8"/>
    </row>
    <row r="472" spans="1:14" x14ac:dyDescent="0.25">
      <c r="A472" s="2"/>
      <c r="B472" s="37"/>
      <c r="C472" s="38"/>
      <c r="D472" s="37"/>
      <c r="E472" s="38"/>
      <c r="F472" s="39" t="s">
        <v>299</v>
      </c>
      <c r="G472" s="36">
        <v>2</v>
      </c>
      <c r="H472" s="8"/>
    </row>
    <row r="473" spans="1:14" x14ac:dyDescent="0.25">
      <c r="A473" s="3"/>
      <c r="B473" s="40"/>
      <c r="C473" s="41"/>
      <c r="D473" s="40"/>
      <c r="E473" s="41"/>
      <c r="F473" s="42"/>
      <c r="G473" s="43"/>
      <c r="H473" s="8"/>
    </row>
    <row r="474" spans="1:14" x14ac:dyDescent="0.25">
      <c r="A474" s="4" t="s">
        <v>8</v>
      </c>
      <c r="B474" s="33" t="s">
        <v>182</v>
      </c>
      <c r="C474" s="34">
        <v>1</v>
      </c>
      <c r="D474" s="33"/>
      <c r="E474" s="34"/>
      <c r="F474" s="35" t="s">
        <v>182</v>
      </c>
      <c r="G474" s="36">
        <v>1</v>
      </c>
      <c r="H474" s="8"/>
    </row>
    <row r="475" spans="1:14" x14ac:dyDescent="0.25">
      <c r="A475" s="2"/>
      <c r="B475" s="37"/>
      <c r="C475" s="38"/>
      <c r="D475" s="37"/>
      <c r="E475" s="38"/>
      <c r="F475" s="39" t="s">
        <v>300</v>
      </c>
      <c r="G475" s="36">
        <v>2</v>
      </c>
      <c r="H475" s="8"/>
    </row>
    <row r="476" spans="1:14" x14ac:dyDescent="0.25">
      <c r="A476" s="3"/>
      <c r="B476" s="40"/>
      <c r="C476" s="41"/>
      <c r="D476" s="40"/>
      <c r="E476" s="41"/>
      <c r="F476" s="42" t="s">
        <v>301</v>
      </c>
      <c r="G476" s="43">
        <v>3</v>
      </c>
      <c r="H476" s="8"/>
    </row>
    <row r="477" spans="1:14" x14ac:dyDescent="0.25">
      <c r="A477" s="2" t="s">
        <v>9</v>
      </c>
      <c r="B477" s="37" t="s">
        <v>183</v>
      </c>
      <c r="C477" s="38">
        <v>1</v>
      </c>
      <c r="D477" s="37" t="s">
        <v>195</v>
      </c>
      <c r="E477" s="38">
        <v>2</v>
      </c>
      <c r="F477" s="39" t="s">
        <v>302</v>
      </c>
      <c r="G477" s="36">
        <v>1</v>
      </c>
      <c r="H477" s="8"/>
    </row>
    <row r="478" spans="1:14" x14ac:dyDescent="0.25">
      <c r="A478" s="2"/>
      <c r="B478" s="37"/>
      <c r="C478" s="38"/>
      <c r="D478" s="37"/>
      <c r="E478" s="38"/>
      <c r="F478" s="48"/>
      <c r="G478" s="36"/>
      <c r="H478" s="8"/>
    </row>
    <row r="479" spans="1:14" x14ac:dyDescent="0.25">
      <c r="A479" s="3"/>
      <c r="B479" s="40"/>
      <c r="C479" s="41"/>
      <c r="D479" s="40"/>
      <c r="E479" s="41"/>
      <c r="F479" s="42"/>
      <c r="G479" s="43"/>
      <c r="H479" s="8"/>
    </row>
    <row r="480" spans="1:14" x14ac:dyDescent="0.25">
      <c r="A480" s="2" t="s">
        <v>1224</v>
      </c>
      <c r="B480" s="37" t="s">
        <v>1255</v>
      </c>
      <c r="C480" s="38" t="s">
        <v>1074</v>
      </c>
      <c r="D480" s="37" t="s">
        <v>1307</v>
      </c>
      <c r="E480" s="38" t="s">
        <v>1072</v>
      </c>
      <c r="F480" s="39" t="s">
        <v>963</v>
      </c>
      <c r="G480" s="36" t="s">
        <v>1073</v>
      </c>
      <c r="H480" s="8"/>
    </row>
    <row r="481" spans="1:14" x14ac:dyDescent="0.25">
      <c r="A481" s="2"/>
      <c r="B481" s="44"/>
      <c r="C481" s="38"/>
      <c r="D481" s="37"/>
      <c r="E481" s="38"/>
      <c r="F481" s="39"/>
      <c r="G481" s="36"/>
      <c r="H481" s="8"/>
    </row>
    <row r="482" spans="1:14" x14ac:dyDescent="0.25">
      <c r="A482" s="3"/>
      <c r="B482" s="40"/>
      <c r="C482" s="41"/>
      <c r="D482" s="40"/>
      <c r="E482" s="41"/>
      <c r="F482" s="42"/>
      <c r="G482" s="43"/>
      <c r="H482" s="8"/>
    </row>
    <row r="484" spans="1:14" x14ac:dyDescent="0.25">
      <c r="A484" s="1">
        <v>25</v>
      </c>
      <c r="B484" s="29" t="s">
        <v>1142</v>
      </c>
      <c r="C484" s="30"/>
      <c r="D484" s="29" t="s">
        <v>1218</v>
      </c>
      <c r="E484" s="30"/>
      <c r="F484" s="31" t="s">
        <v>1218</v>
      </c>
      <c r="G484" s="32"/>
      <c r="H484" s="8"/>
    </row>
    <row r="485" spans="1:14" x14ac:dyDescent="0.25">
      <c r="A485" s="4" t="s">
        <v>6</v>
      </c>
      <c r="B485" s="33" t="s">
        <v>184</v>
      </c>
      <c r="C485" s="34">
        <v>1</v>
      </c>
      <c r="D485" s="33" t="s">
        <v>188</v>
      </c>
      <c r="E485" s="34">
        <v>2</v>
      </c>
      <c r="F485" s="35" t="s">
        <v>303</v>
      </c>
      <c r="G485" s="36" t="s">
        <v>1072</v>
      </c>
      <c r="H485" s="8"/>
      <c r="I485" s="7">
        <v>1</v>
      </c>
      <c r="J485" s="6">
        <v>1</v>
      </c>
      <c r="K485" s="7">
        <v>1</v>
      </c>
      <c r="L485" s="6">
        <v>1</v>
      </c>
      <c r="M485" s="7">
        <v>1</v>
      </c>
      <c r="N485" s="7">
        <v>1</v>
      </c>
    </row>
    <row r="486" spans="1:14" x14ac:dyDescent="0.25">
      <c r="A486" s="2"/>
      <c r="B486" s="37"/>
      <c r="C486" s="38"/>
      <c r="D486" s="37" t="s">
        <v>184</v>
      </c>
      <c r="E486" s="38">
        <v>1</v>
      </c>
      <c r="F486" s="39" t="s">
        <v>184</v>
      </c>
      <c r="G486" s="36">
        <v>1</v>
      </c>
      <c r="H486" s="8"/>
    </row>
    <row r="487" spans="1:14" x14ac:dyDescent="0.25">
      <c r="A487" s="3"/>
      <c r="B487" s="40"/>
      <c r="C487" s="41"/>
      <c r="D487" s="40"/>
      <c r="E487" s="41"/>
      <c r="F487" s="42"/>
      <c r="G487" s="43"/>
      <c r="H487" s="8"/>
    </row>
    <row r="488" spans="1:14" x14ac:dyDescent="0.25">
      <c r="A488" s="4" t="s">
        <v>5</v>
      </c>
      <c r="B488" s="33" t="s">
        <v>37</v>
      </c>
      <c r="C488" s="34">
        <v>1</v>
      </c>
      <c r="D488" s="33" t="s">
        <v>189</v>
      </c>
      <c r="E488" s="34">
        <v>1</v>
      </c>
      <c r="F488" s="35" t="s">
        <v>189</v>
      </c>
      <c r="G488" s="36">
        <v>1</v>
      </c>
      <c r="H488" s="8"/>
    </row>
    <row r="489" spans="1:14" x14ac:dyDescent="0.25">
      <c r="A489" s="2"/>
      <c r="B489" s="37"/>
      <c r="C489" s="38"/>
      <c r="D489" s="37"/>
      <c r="E489" s="38"/>
      <c r="G489" s="36"/>
      <c r="H489" s="8"/>
    </row>
    <row r="490" spans="1:14" x14ac:dyDescent="0.25">
      <c r="A490" s="3"/>
      <c r="B490" s="40"/>
      <c r="C490" s="41"/>
      <c r="D490" s="40"/>
      <c r="E490" s="41"/>
      <c r="F490" s="42"/>
      <c r="G490" s="43"/>
      <c r="H490" s="8"/>
    </row>
    <row r="491" spans="1:14" x14ac:dyDescent="0.25">
      <c r="A491" s="4" t="s">
        <v>7</v>
      </c>
      <c r="B491" s="33" t="s">
        <v>185</v>
      </c>
      <c r="C491" s="34">
        <v>1</v>
      </c>
      <c r="D491" s="33" t="s">
        <v>190</v>
      </c>
      <c r="E491" s="34">
        <v>1</v>
      </c>
      <c r="F491" s="39" t="s">
        <v>181</v>
      </c>
      <c r="G491" s="36">
        <v>2</v>
      </c>
      <c r="H491" s="8"/>
    </row>
    <row r="492" spans="1:14" x14ac:dyDescent="0.25">
      <c r="A492" s="2"/>
      <c r="B492" s="37" t="s">
        <v>181</v>
      </c>
      <c r="C492" s="38">
        <v>2</v>
      </c>
      <c r="D492" s="37"/>
      <c r="E492" s="36"/>
      <c r="F492" s="38" t="s">
        <v>190</v>
      </c>
      <c r="G492" s="37">
        <v>1</v>
      </c>
      <c r="H492" s="8"/>
    </row>
    <row r="493" spans="1:14" x14ac:dyDescent="0.25">
      <c r="A493" s="3"/>
      <c r="B493" s="40"/>
      <c r="C493" s="41"/>
      <c r="D493" s="40"/>
      <c r="E493" s="41"/>
      <c r="F493" s="42"/>
      <c r="G493" s="43"/>
      <c r="H493" s="8"/>
    </row>
    <row r="494" spans="1:14" x14ac:dyDescent="0.25">
      <c r="A494" s="4" t="s">
        <v>8</v>
      </c>
      <c r="B494" s="33" t="s">
        <v>186</v>
      </c>
      <c r="C494" s="34">
        <v>1</v>
      </c>
      <c r="D494" s="33" t="s">
        <v>191</v>
      </c>
      <c r="E494" s="34">
        <v>2</v>
      </c>
      <c r="F494" s="35" t="s">
        <v>304</v>
      </c>
      <c r="G494" s="36">
        <v>3</v>
      </c>
      <c r="H494" s="8"/>
    </row>
    <row r="495" spans="1:14" x14ac:dyDescent="0.25">
      <c r="A495" s="2"/>
      <c r="B495" s="37"/>
      <c r="C495" s="38"/>
      <c r="D495" s="37" t="s">
        <v>192</v>
      </c>
      <c r="E495" s="38">
        <v>1</v>
      </c>
      <c r="F495" s="39" t="s">
        <v>186</v>
      </c>
      <c r="G495" s="36">
        <v>1</v>
      </c>
      <c r="H495" s="8"/>
    </row>
    <row r="496" spans="1:14" x14ac:dyDescent="0.25">
      <c r="A496" s="3"/>
      <c r="B496" s="40"/>
      <c r="C496" s="41"/>
      <c r="D496" s="40"/>
      <c r="E496" s="41"/>
      <c r="F496" s="42"/>
      <c r="G496" s="43"/>
      <c r="H496" s="8"/>
    </row>
    <row r="497" spans="1:14" x14ac:dyDescent="0.25">
      <c r="A497" s="2" t="s">
        <v>9</v>
      </c>
      <c r="B497" s="37" t="s">
        <v>187</v>
      </c>
      <c r="C497" s="38">
        <v>1</v>
      </c>
      <c r="D497" s="37" t="s">
        <v>193</v>
      </c>
      <c r="E497" s="38">
        <v>1</v>
      </c>
      <c r="F497" s="39" t="s">
        <v>305</v>
      </c>
      <c r="G497" s="36">
        <v>2</v>
      </c>
      <c r="H497" s="8"/>
    </row>
    <row r="498" spans="1:14" x14ac:dyDescent="0.25">
      <c r="A498" s="2"/>
      <c r="B498" s="37"/>
      <c r="C498" s="38"/>
      <c r="D498" s="37"/>
      <c r="E498" s="38"/>
      <c r="F498" s="48" t="s">
        <v>306</v>
      </c>
      <c r="G498" s="36">
        <v>1</v>
      </c>
      <c r="H498" s="8"/>
    </row>
    <row r="499" spans="1:14" x14ac:dyDescent="0.25">
      <c r="A499" s="3"/>
      <c r="B499" s="40"/>
      <c r="C499" s="41"/>
      <c r="D499" s="40"/>
      <c r="E499" s="41"/>
      <c r="F499" s="42"/>
      <c r="G499" s="43"/>
      <c r="H499" s="8"/>
    </row>
    <row r="500" spans="1:14" x14ac:dyDescent="0.25">
      <c r="A500" s="2" t="s">
        <v>1224</v>
      </c>
      <c r="B500" s="37" t="s">
        <v>1254</v>
      </c>
      <c r="C500" s="38" t="s">
        <v>1074</v>
      </c>
      <c r="D500" s="37" t="s">
        <v>1372</v>
      </c>
      <c r="E500" s="38" t="s">
        <v>1072</v>
      </c>
      <c r="F500" s="39" t="s">
        <v>1373</v>
      </c>
      <c r="G500" s="36" t="s">
        <v>1073</v>
      </c>
      <c r="H500" s="8"/>
    </row>
    <row r="501" spans="1:14" x14ac:dyDescent="0.25">
      <c r="A501" s="2"/>
      <c r="B501" s="44"/>
      <c r="C501" s="38"/>
      <c r="D501" s="37"/>
      <c r="E501" s="38"/>
      <c r="F501" s="39"/>
      <c r="G501" s="36"/>
      <c r="H501" s="8"/>
    </row>
    <row r="502" spans="1:14" x14ac:dyDescent="0.25">
      <c r="A502" s="3"/>
      <c r="B502" s="40"/>
      <c r="C502" s="41"/>
      <c r="D502" s="40"/>
      <c r="E502" s="41"/>
      <c r="F502" s="42"/>
      <c r="G502" s="43"/>
      <c r="H502" s="8"/>
    </row>
    <row r="504" spans="1:14" x14ac:dyDescent="0.25">
      <c r="A504" s="1">
        <v>26</v>
      </c>
      <c r="B504" s="29" t="s">
        <v>1143</v>
      </c>
      <c r="C504" s="30"/>
      <c r="D504" s="29" t="s">
        <v>1218</v>
      </c>
      <c r="E504" s="30"/>
      <c r="F504" s="31" t="s">
        <v>1218</v>
      </c>
      <c r="G504" s="49"/>
    </row>
    <row r="505" spans="1:14" x14ac:dyDescent="0.25">
      <c r="A505" s="4" t="s">
        <v>6</v>
      </c>
      <c r="B505" s="33" t="s">
        <v>823</v>
      </c>
      <c r="C505" s="34">
        <v>1</v>
      </c>
      <c r="D505" s="33" t="s">
        <v>316</v>
      </c>
      <c r="E505" s="34">
        <v>1</v>
      </c>
      <c r="F505" s="35" t="s">
        <v>317</v>
      </c>
      <c r="G505" s="34">
        <v>4</v>
      </c>
      <c r="I505" s="7">
        <v>0.66666666666666674</v>
      </c>
      <c r="J505" s="23">
        <v>1</v>
      </c>
      <c r="K505" s="7">
        <v>1</v>
      </c>
      <c r="L505" s="6">
        <v>1</v>
      </c>
      <c r="M505" s="7">
        <v>1</v>
      </c>
      <c r="N505" s="7">
        <v>1</v>
      </c>
    </row>
    <row r="506" spans="1:14" x14ac:dyDescent="0.25">
      <c r="A506" s="2"/>
      <c r="B506" s="37" t="s">
        <v>824</v>
      </c>
      <c r="C506" s="38">
        <v>2</v>
      </c>
      <c r="D506" s="37" t="s">
        <v>317</v>
      </c>
      <c r="E506" s="38">
        <v>4</v>
      </c>
      <c r="F506" s="39"/>
      <c r="G506" s="38"/>
    </row>
    <row r="507" spans="1:14" x14ac:dyDescent="0.25">
      <c r="A507" s="3"/>
      <c r="B507" s="40" t="s">
        <v>825</v>
      </c>
      <c r="C507" s="41">
        <v>3</v>
      </c>
      <c r="D507" s="40" t="s">
        <v>318</v>
      </c>
      <c r="E507" s="41">
        <v>5</v>
      </c>
      <c r="F507" s="42"/>
      <c r="G507" s="41"/>
    </row>
    <row r="508" spans="1:14" x14ac:dyDescent="0.25">
      <c r="A508" s="4" t="s">
        <v>5</v>
      </c>
      <c r="B508" s="33"/>
      <c r="C508" s="34"/>
      <c r="D508" s="33"/>
      <c r="E508" s="34"/>
      <c r="F508" s="35"/>
      <c r="G508" s="38"/>
    </row>
    <row r="509" spans="1:14" x14ac:dyDescent="0.25">
      <c r="A509" s="2"/>
      <c r="B509" s="37"/>
      <c r="C509" s="38"/>
      <c r="D509" s="37"/>
      <c r="E509" s="38"/>
      <c r="F509" s="37"/>
      <c r="G509" s="38"/>
    </row>
    <row r="510" spans="1:14" x14ac:dyDescent="0.25">
      <c r="A510" s="3"/>
      <c r="B510" s="40"/>
      <c r="C510" s="41"/>
      <c r="D510" s="40"/>
      <c r="E510" s="41"/>
      <c r="F510" s="42"/>
      <c r="G510" s="41"/>
    </row>
    <row r="511" spans="1:14" x14ac:dyDescent="0.25">
      <c r="A511" s="4" t="s">
        <v>7</v>
      </c>
      <c r="B511" s="33" t="s">
        <v>11</v>
      </c>
      <c r="C511" s="34">
        <v>1</v>
      </c>
      <c r="D511" s="33" t="s">
        <v>319</v>
      </c>
      <c r="E511" s="34">
        <v>3</v>
      </c>
      <c r="F511" s="39" t="s">
        <v>319</v>
      </c>
      <c r="G511" s="38">
        <v>3</v>
      </c>
    </row>
    <row r="512" spans="1:14" x14ac:dyDescent="0.25">
      <c r="A512" s="2"/>
      <c r="B512" s="37" t="s">
        <v>826</v>
      </c>
      <c r="C512" s="38">
        <v>2</v>
      </c>
      <c r="D512" s="37"/>
      <c r="E512" s="36"/>
      <c r="F512" s="38"/>
      <c r="G512" s="39"/>
    </row>
    <row r="513" spans="1:14" x14ac:dyDescent="0.25">
      <c r="A513" s="3"/>
      <c r="B513" s="40" t="s">
        <v>319</v>
      </c>
      <c r="C513" s="41">
        <v>3</v>
      </c>
      <c r="D513" s="40"/>
      <c r="E513" s="41"/>
      <c r="F513" s="42"/>
      <c r="G513" s="41"/>
    </row>
    <row r="514" spans="1:14" x14ac:dyDescent="0.25">
      <c r="A514" s="4" t="s">
        <v>8</v>
      </c>
      <c r="B514" s="33" t="s">
        <v>320</v>
      </c>
      <c r="C514" s="34">
        <v>1</v>
      </c>
      <c r="D514" s="33" t="s">
        <v>320</v>
      </c>
      <c r="E514" s="34">
        <v>1</v>
      </c>
      <c r="F514" s="35" t="s">
        <v>584</v>
      </c>
      <c r="G514" s="38">
        <v>1</v>
      </c>
    </row>
    <row r="515" spans="1:14" x14ac:dyDescent="0.25">
      <c r="A515" s="2"/>
      <c r="B515" s="37" t="s">
        <v>827</v>
      </c>
      <c r="C515" s="38">
        <v>2</v>
      </c>
      <c r="D515" s="37"/>
      <c r="E515" s="38"/>
      <c r="F515" s="39"/>
      <c r="G515" s="38"/>
    </row>
    <row r="516" spans="1:14" x14ac:dyDescent="0.25">
      <c r="A516" s="3"/>
      <c r="B516" s="40" t="s">
        <v>828</v>
      </c>
      <c r="C516" s="41">
        <v>3</v>
      </c>
      <c r="D516" s="40"/>
      <c r="E516" s="41"/>
      <c r="F516" s="42"/>
      <c r="G516" s="41"/>
    </row>
    <row r="517" spans="1:14" x14ac:dyDescent="0.25">
      <c r="A517" s="2" t="s">
        <v>9</v>
      </c>
      <c r="B517" s="37" t="s">
        <v>829</v>
      </c>
      <c r="C517" s="38">
        <v>1</v>
      </c>
      <c r="D517" s="37" t="s">
        <v>321</v>
      </c>
      <c r="E517" s="38">
        <v>1</v>
      </c>
      <c r="F517" s="39" t="s">
        <v>585</v>
      </c>
      <c r="G517" s="38">
        <v>1</v>
      </c>
    </row>
    <row r="518" spans="1:14" x14ac:dyDescent="0.25">
      <c r="A518" s="2"/>
      <c r="B518" s="37" t="s">
        <v>830</v>
      </c>
      <c r="C518" s="38">
        <v>2</v>
      </c>
      <c r="D518" s="37"/>
      <c r="E518" s="38"/>
      <c r="F518" s="48"/>
      <c r="G518" s="38"/>
    </row>
    <row r="519" spans="1:14" x14ac:dyDescent="0.25">
      <c r="A519" s="3"/>
      <c r="B519" s="40"/>
      <c r="C519" s="41"/>
      <c r="D519" s="40"/>
      <c r="E519" s="41"/>
      <c r="F519" s="42"/>
      <c r="G519" s="41"/>
    </row>
    <row r="520" spans="1:14" x14ac:dyDescent="0.25">
      <c r="A520" s="2" t="s">
        <v>1224</v>
      </c>
      <c r="B520" s="37" t="s">
        <v>317</v>
      </c>
      <c r="C520" s="38" t="s">
        <v>1074</v>
      </c>
      <c r="D520" s="37" t="s">
        <v>1308</v>
      </c>
      <c r="E520" s="38" t="s">
        <v>1074</v>
      </c>
      <c r="F520" s="37" t="s">
        <v>1308</v>
      </c>
      <c r="G520" s="36" t="s">
        <v>1074</v>
      </c>
      <c r="H520" s="8"/>
    </row>
    <row r="521" spans="1:14" x14ac:dyDescent="0.25">
      <c r="A521" s="2"/>
      <c r="B521" s="44"/>
      <c r="C521" s="38"/>
      <c r="D521" s="37"/>
      <c r="E521" s="38"/>
      <c r="F521" s="39"/>
      <c r="G521" s="36"/>
      <c r="H521" s="8"/>
    </row>
    <row r="522" spans="1:14" x14ac:dyDescent="0.25">
      <c r="A522" s="3"/>
      <c r="B522" s="40"/>
      <c r="C522" s="41"/>
      <c r="D522" s="40"/>
      <c r="E522" s="41"/>
      <c r="F522" s="42"/>
      <c r="G522" s="43"/>
      <c r="H522" s="8"/>
    </row>
    <row r="524" spans="1:14" x14ac:dyDescent="0.25">
      <c r="A524" s="1">
        <v>27</v>
      </c>
      <c r="B524" s="29" t="s">
        <v>1144</v>
      </c>
      <c r="C524" s="30"/>
      <c r="D524" s="29" t="s">
        <v>1218</v>
      </c>
      <c r="E524" s="30"/>
      <c r="F524" s="31" t="s">
        <v>1218</v>
      </c>
      <c r="G524" s="49"/>
    </row>
    <row r="525" spans="1:14" x14ac:dyDescent="0.25">
      <c r="A525" s="4" t="s">
        <v>6</v>
      </c>
      <c r="B525" s="33" t="s">
        <v>831</v>
      </c>
      <c r="C525" s="34">
        <v>1</v>
      </c>
      <c r="D525" s="33" t="s">
        <v>322</v>
      </c>
      <c r="E525" s="34" t="s">
        <v>1056</v>
      </c>
      <c r="F525" s="35" t="s">
        <v>586</v>
      </c>
      <c r="G525" s="34">
        <v>3</v>
      </c>
      <c r="I525" s="7">
        <v>0.66666666666666674</v>
      </c>
      <c r="J525" s="6">
        <v>1</v>
      </c>
      <c r="K525" s="7">
        <v>1</v>
      </c>
      <c r="L525" s="6">
        <v>0</v>
      </c>
      <c r="M525" s="7">
        <v>1</v>
      </c>
      <c r="N525" s="7">
        <v>1</v>
      </c>
    </row>
    <row r="526" spans="1:14" x14ac:dyDescent="0.25">
      <c r="A526" s="2"/>
      <c r="B526" s="37" t="s">
        <v>832</v>
      </c>
      <c r="C526" s="38">
        <v>2</v>
      </c>
      <c r="D526" s="37" t="s">
        <v>323</v>
      </c>
      <c r="E526" s="38">
        <v>3</v>
      </c>
      <c r="F526" s="39"/>
      <c r="G526" s="38"/>
    </row>
    <row r="527" spans="1:14" x14ac:dyDescent="0.25">
      <c r="A527" s="3"/>
      <c r="B527" s="40"/>
      <c r="C527" s="41"/>
      <c r="D527" s="40" t="s">
        <v>324</v>
      </c>
      <c r="E527" s="41" t="s">
        <v>1056</v>
      </c>
      <c r="F527" s="42"/>
      <c r="G527" s="41"/>
    </row>
    <row r="528" spans="1:14" x14ac:dyDescent="0.25">
      <c r="A528" s="4" t="s">
        <v>5</v>
      </c>
      <c r="B528" s="33" t="s">
        <v>833</v>
      </c>
      <c r="C528" s="34">
        <v>1</v>
      </c>
      <c r="D528" s="33" t="s">
        <v>325</v>
      </c>
      <c r="E528" s="34">
        <v>1</v>
      </c>
      <c r="F528" s="35" t="s">
        <v>587</v>
      </c>
      <c r="G528" s="38">
        <v>1</v>
      </c>
    </row>
    <row r="529" spans="1:8" x14ac:dyDescent="0.25">
      <c r="A529" s="2"/>
      <c r="B529" s="37"/>
      <c r="C529" s="38"/>
      <c r="D529" s="37"/>
      <c r="E529" s="38"/>
      <c r="F529" s="37"/>
      <c r="G529" s="38"/>
    </row>
    <row r="530" spans="1:8" x14ac:dyDescent="0.25">
      <c r="A530" s="3"/>
      <c r="B530" s="40"/>
      <c r="C530" s="41"/>
      <c r="D530" s="40"/>
      <c r="E530" s="41"/>
      <c r="F530" s="42"/>
      <c r="G530" s="41"/>
    </row>
    <row r="531" spans="1:8" x14ac:dyDescent="0.25">
      <c r="A531" s="4" t="s">
        <v>7</v>
      </c>
      <c r="B531" s="33" t="s">
        <v>834</v>
      </c>
      <c r="C531" s="34">
        <v>1</v>
      </c>
      <c r="D531" s="33" t="s">
        <v>326</v>
      </c>
      <c r="E531" s="34" t="s">
        <v>1054</v>
      </c>
      <c r="F531" s="39" t="s">
        <v>10</v>
      </c>
      <c r="G531" s="38">
        <v>2</v>
      </c>
    </row>
    <row r="532" spans="1:8" x14ac:dyDescent="0.25">
      <c r="A532" s="2"/>
      <c r="B532" s="37" t="s">
        <v>11</v>
      </c>
      <c r="C532" s="38">
        <v>2</v>
      </c>
      <c r="D532" s="37" t="s">
        <v>327</v>
      </c>
      <c r="E532" s="36">
        <v>4</v>
      </c>
      <c r="F532" s="38"/>
      <c r="G532" s="39"/>
    </row>
    <row r="533" spans="1:8" x14ac:dyDescent="0.25">
      <c r="A533" s="3"/>
      <c r="B533" s="40" t="s">
        <v>10</v>
      </c>
      <c r="C533" s="41">
        <v>3</v>
      </c>
      <c r="D533" s="40"/>
      <c r="E533" s="41"/>
      <c r="F533" s="42"/>
      <c r="G533" s="41"/>
    </row>
    <row r="534" spans="1:8" x14ac:dyDescent="0.25">
      <c r="A534" s="4" t="s">
        <v>8</v>
      </c>
      <c r="B534" s="33" t="s">
        <v>591</v>
      </c>
      <c r="C534" s="34">
        <v>1</v>
      </c>
      <c r="D534" s="33"/>
      <c r="E534" s="34"/>
      <c r="F534" s="35" t="s">
        <v>588</v>
      </c>
      <c r="G534" s="38">
        <v>3</v>
      </c>
    </row>
    <row r="535" spans="1:8" x14ac:dyDescent="0.25">
      <c r="A535" s="2"/>
      <c r="B535" s="37" t="s">
        <v>835</v>
      </c>
      <c r="C535" s="38">
        <v>2</v>
      </c>
      <c r="D535" s="37"/>
      <c r="E535" s="38"/>
      <c r="F535" s="39"/>
      <c r="G535" s="38"/>
    </row>
    <row r="536" spans="1:8" x14ac:dyDescent="0.25">
      <c r="A536" s="3"/>
      <c r="B536" s="40"/>
      <c r="C536" s="41"/>
      <c r="D536" s="40"/>
      <c r="E536" s="41"/>
      <c r="F536" s="42"/>
      <c r="G536" s="41"/>
    </row>
    <row r="537" spans="1:8" x14ac:dyDescent="0.25">
      <c r="A537" s="2" t="s">
        <v>9</v>
      </c>
      <c r="B537" s="37"/>
      <c r="C537" s="38"/>
      <c r="D537" s="37"/>
      <c r="E537" s="38"/>
      <c r="F537" s="39"/>
      <c r="G537" s="38"/>
    </row>
    <row r="538" spans="1:8" x14ac:dyDescent="0.25">
      <c r="A538" s="2"/>
      <c r="B538" s="37"/>
      <c r="C538" s="38"/>
      <c r="D538" s="37"/>
      <c r="E538" s="38"/>
      <c r="F538" s="48"/>
      <c r="G538" s="38"/>
    </row>
    <row r="539" spans="1:8" x14ac:dyDescent="0.25">
      <c r="A539" s="3"/>
      <c r="B539" s="40"/>
      <c r="C539" s="41"/>
      <c r="D539" s="40"/>
      <c r="E539" s="41"/>
      <c r="F539" s="42"/>
      <c r="G539" s="41"/>
    </row>
    <row r="540" spans="1:8" x14ac:dyDescent="0.25">
      <c r="A540" s="2" t="s">
        <v>1224</v>
      </c>
      <c r="B540" s="37" t="s">
        <v>324</v>
      </c>
      <c r="C540" s="38" t="s">
        <v>1072</v>
      </c>
      <c r="D540" s="37" t="s">
        <v>1309</v>
      </c>
      <c r="E540" s="38" t="s">
        <v>1074</v>
      </c>
      <c r="F540" s="39" t="s">
        <v>1374</v>
      </c>
      <c r="G540" s="36" t="s">
        <v>1074</v>
      </c>
      <c r="H540" s="8"/>
    </row>
    <row r="541" spans="1:8" x14ac:dyDescent="0.25">
      <c r="A541" s="2"/>
      <c r="B541" s="44"/>
      <c r="C541" s="38"/>
      <c r="D541" s="37"/>
      <c r="E541" s="38"/>
      <c r="F541" s="39"/>
      <c r="G541" s="36"/>
      <c r="H541" s="8"/>
    </row>
    <row r="542" spans="1:8" x14ac:dyDescent="0.25">
      <c r="A542" s="3"/>
      <c r="B542" s="40"/>
      <c r="C542" s="41"/>
      <c r="D542" s="40"/>
      <c r="E542" s="41"/>
      <c r="F542" s="42"/>
      <c r="G542" s="43"/>
      <c r="H542" s="8"/>
    </row>
    <row r="544" spans="1:8" x14ac:dyDescent="0.25">
      <c r="A544" s="1">
        <v>28</v>
      </c>
      <c r="B544" s="29" t="s">
        <v>1145</v>
      </c>
      <c r="C544" s="30"/>
      <c r="D544" s="29" t="s">
        <v>1218</v>
      </c>
      <c r="E544" s="30"/>
      <c r="F544" s="31" t="s">
        <v>1218</v>
      </c>
      <c r="G544" s="49"/>
    </row>
    <row r="545" spans="1:14" x14ac:dyDescent="0.25">
      <c r="A545" s="4" t="s">
        <v>6</v>
      </c>
      <c r="B545" s="33" t="s">
        <v>836</v>
      </c>
      <c r="C545" s="34">
        <v>1</v>
      </c>
      <c r="D545" s="33" t="s">
        <v>328</v>
      </c>
      <c r="E545" s="34">
        <v>3</v>
      </c>
      <c r="F545" s="35" t="s">
        <v>589</v>
      </c>
      <c r="G545" s="34">
        <v>4</v>
      </c>
      <c r="I545" s="7">
        <v>0.33333333333333337</v>
      </c>
      <c r="J545" s="6">
        <v>1</v>
      </c>
      <c r="K545" s="7">
        <v>1</v>
      </c>
      <c r="L545" s="6">
        <v>0.66666666666666674</v>
      </c>
      <c r="M545" s="7">
        <v>1</v>
      </c>
      <c r="N545" s="7">
        <v>1</v>
      </c>
    </row>
    <row r="546" spans="1:14" x14ac:dyDescent="0.25">
      <c r="A546" s="2"/>
      <c r="B546" s="37" t="s">
        <v>837</v>
      </c>
      <c r="C546" s="38">
        <v>2</v>
      </c>
      <c r="D546" s="37"/>
      <c r="E546" s="38"/>
      <c r="F546" s="39" t="s">
        <v>590</v>
      </c>
      <c r="G546" s="38">
        <v>3</v>
      </c>
    </row>
    <row r="547" spans="1:14" x14ac:dyDescent="0.25">
      <c r="A547" s="3"/>
      <c r="B547" s="40"/>
      <c r="C547" s="41"/>
      <c r="D547" s="40"/>
      <c r="E547" s="41"/>
      <c r="F547" s="42"/>
      <c r="G547" s="41"/>
    </row>
    <row r="548" spans="1:14" x14ac:dyDescent="0.25">
      <c r="A548" s="4" t="s">
        <v>5</v>
      </c>
      <c r="B548" s="33"/>
      <c r="C548" s="34"/>
      <c r="D548" s="33"/>
      <c r="E548" s="34"/>
      <c r="F548" s="35"/>
      <c r="G548" s="38"/>
    </row>
    <row r="549" spans="1:14" x14ac:dyDescent="0.25">
      <c r="A549" s="2"/>
      <c r="B549" s="37"/>
      <c r="C549" s="38"/>
      <c r="D549" s="37"/>
      <c r="E549" s="38"/>
      <c r="F549" s="37"/>
      <c r="G549" s="38"/>
    </row>
    <row r="550" spans="1:14" x14ac:dyDescent="0.25">
      <c r="A550" s="3"/>
      <c r="B550" s="40"/>
      <c r="C550" s="41"/>
      <c r="D550" s="40"/>
      <c r="E550" s="41"/>
      <c r="F550" s="42"/>
      <c r="G550" s="41"/>
    </row>
    <row r="551" spans="1:14" x14ac:dyDescent="0.25">
      <c r="A551" s="4" t="s">
        <v>7</v>
      </c>
      <c r="B551" s="33" t="s">
        <v>13</v>
      </c>
      <c r="C551" s="34">
        <v>1</v>
      </c>
      <c r="D551" s="33" t="s">
        <v>10</v>
      </c>
      <c r="E551" s="34">
        <v>3</v>
      </c>
      <c r="F551" s="39" t="s">
        <v>10</v>
      </c>
      <c r="G551" s="38">
        <v>3</v>
      </c>
    </row>
    <row r="552" spans="1:14" x14ac:dyDescent="0.25">
      <c r="A552" s="2"/>
      <c r="B552" s="37" t="s">
        <v>838</v>
      </c>
      <c r="C552" s="38">
        <v>2</v>
      </c>
      <c r="E552" s="36"/>
      <c r="F552" s="38"/>
      <c r="G552" s="39"/>
    </row>
    <row r="553" spans="1:14" x14ac:dyDescent="0.25">
      <c r="A553" s="3"/>
      <c r="B553" s="40" t="s">
        <v>10</v>
      </c>
      <c r="C553" s="41">
        <v>3</v>
      </c>
      <c r="D553" s="40"/>
      <c r="E553" s="41"/>
      <c r="F553" s="42"/>
      <c r="G553" s="41"/>
    </row>
    <row r="554" spans="1:14" x14ac:dyDescent="0.25">
      <c r="A554" s="4" t="s">
        <v>8</v>
      </c>
      <c r="B554" s="33" t="s">
        <v>17</v>
      </c>
      <c r="C554" s="34">
        <v>1</v>
      </c>
      <c r="D554" s="33" t="s">
        <v>17</v>
      </c>
      <c r="E554" s="34">
        <v>1</v>
      </c>
      <c r="F554" s="35" t="s">
        <v>591</v>
      </c>
      <c r="G554" s="38">
        <v>2</v>
      </c>
    </row>
    <row r="555" spans="1:14" x14ac:dyDescent="0.25">
      <c r="A555" s="2"/>
      <c r="B555" s="37" t="s">
        <v>839</v>
      </c>
      <c r="C555" s="38">
        <v>2</v>
      </c>
      <c r="D555" s="37" t="s">
        <v>329</v>
      </c>
      <c r="E555" s="38">
        <v>4</v>
      </c>
      <c r="F555" s="39" t="s">
        <v>13</v>
      </c>
      <c r="G555" s="38">
        <v>5</v>
      </c>
    </row>
    <row r="556" spans="1:14" x14ac:dyDescent="0.25">
      <c r="A556" s="3"/>
      <c r="B556" s="40" t="s">
        <v>840</v>
      </c>
      <c r="C556" s="41">
        <v>3</v>
      </c>
      <c r="D556" s="40"/>
      <c r="E556" s="41"/>
      <c r="F556" s="42"/>
      <c r="G556" s="41"/>
    </row>
    <row r="557" spans="1:14" x14ac:dyDescent="0.25">
      <c r="A557" s="2" t="s">
        <v>9</v>
      </c>
      <c r="B557" s="37" t="s">
        <v>330</v>
      </c>
      <c r="C557" s="38">
        <v>1</v>
      </c>
      <c r="D557" s="37" t="s">
        <v>330</v>
      </c>
      <c r="E557" s="38">
        <v>1</v>
      </c>
      <c r="F557" s="39" t="s">
        <v>592</v>
      </c>
      <c r="G557" s="38">
        <v>2</v>
      </c>
    </row>
    <row r="558" spans="1:14" x14ac:dyDescent="0.25">
      <c r="A558" s="2"/>
      <c r="B558" s="37"/>
      <c r="C558" s="38"/>
      <c r="D558" s="37" t="s">
        <v>331</v>
      </c>
      <c r="E558" s="38">
        <v>1</v>
      </c>
      <c r="F558" s="48" t="s">
        <v>330</v>
      </c>
      <c r="G558" s="38">
        <v>1</v>
      </c>
    </row>
    <row r="559" spans="1:14" x14ac:dyDescent="0.25">
      <c r="A559" s="3"/>
      <c r="B559" s="40"/>
      <c r="C559" s="41"/>
      <c r="D559" s="40"/>
      <c r="E559" s="41"/>
      <c r="F559" s="42"/>
      <c r="G559" s="41"/>
    </row>
    <row r="560" spans="1:14" x14ac:dyDescent="0.25">
      <c r="A560" s="2" t="s">
        <v>1224</v>
      </c>
      <c r="B560" s="37" t="s">
        <v>837</v>
      </c>
      <c r="C560" s="38" t="s">
        <v>1073</v>
      </c>
      <c r="D560" s="37" t="s">
        <v>1310</v>
      </c>
      <c r="E560" s="38" t="s">
        <v>1074</v>
      </c>
      <c r="F560" s="39" t="s">
        <v>1231</v>
      </c>
      <c r="G560" s="36" t="s">
        <v>1072</v>
      </c>
      <c r="H560" s="8"/>
    </row>
    <row r="561" spans="1:14" x14ac:dyDescent="0.25">
      <c r="A561" s="2"/>
      <c r="B561" s="44" t="s">
        <v>1256</v>
      </c>
      <c r="C561" s="38" t="s">
        <v>1395</v>
      </c>
      <c r="D561" s="37"/>
      <c r="E561" s="38"/>
      <c r="F561" s="39"/>
      <c r="G561" s="36"/>
      <c r="H561" s="8"/>
    </row>
    <row r="562" spans="1:14" x14ac:dyDescent="0.25">
      <c r="A562" s="3"/>
      <c r="B562" s="40"/>
      <c r="C562" s="41"/>
      <c r="D562" s="40"/>
      <c r="E562" s="41"/>
      <c r="F562" s="42"/>
      <c r="G562" s="43"/>
      <c r="H562" s="8"/>
    </row>
    <row r="564" spans="1:14" x14ac:dyDescent="0.25">
      <c r="A564" s="1">
        <v>29</v>
      </c>
      <c r="B564" s="29" t="s">
        <v>1146</v>
      </c>
      <c r="C564" s="30"/>
      <c r="D564" s="29" t="s">
        <v>1218</v>
      </c>
      <c r="E564" s="30"/>
      <c r="F564" s="31" t="s">
        <v>1218</v>
      </c>
      <c r="G564" s="49"/>
    </row>
    <row r="565" spans="1:14" x14ac:dyDescent="0.25">
      <c r="A565" s="4" t="s">
        <v>6</v>
      </c>
      <c r="B565" s="33" t="s">
        <v>841</v>
      </c>
      <c r="C565" s="34">
        <v>1</v>
      </c>
      <c r="D565" s="33" t="s">
        <v>332</v>
      </c>
      <c r="E565" s="34">
        <v>3</v>
      </c>
      <c r="F565" s="35" t="s">
        <v>332</v>
      </c>
      <c r="G565" s="34">
        <v>3</v>
      </c>
      <c r="I565" s="7">
        <v>0.66666666666666674</v>
      </c>
      <c r="J565" s="6">
        <v>0.33333333333333337</v>
      </c>
      <c r="K565" s="7">
        <v>1</v>
      </c>
      <c r="L565" s="6">
        <v>1</v>
      </c>
      <c r="M565" s="7">
        <v>1</v>
      </c>
      <c r="N565" s="7">
        <v>1</v>
      </c>
    </row>
    <row r="566" spans="1:14" x14ac:dyDescent="0.25">
      <c r="A566" s="2"/>
      <c r="B566" s="37" t="s">
        <v>836</v>
      </c>
      <c r="C566" s="38">
        <v>2</v>
      </c>
      <c r="D566" s="50" t="s">
        <v>1055</v>
      </c>
      <c r="E566" s="38">
        <v>1</v>
      </c>
      <c r="F566" s="39"/>
      <c r="G566" s="38"/>
    </row>
    <row r="567" spans="1:14" x14ac:dyDescent="0.25">
      <c r="A567" s="3"/>
      <c r="B567" s="40"/>
      <c r="C567" s="41"/>
      <c r="D567" s="40"/>
      <c r="E567" s="41"/>
      <c r="F567" s="42"/>
      <c r="G567" s="41"/>
    </row>
    <row r="568" spans="1:14" x14ac:dyDescent="0.25">
      <c r="A568" s="4" t="s">
        <v>5</v>
      </c>
      <c r="B568" s="33" t="s">
        <v>842</v>
      </c>
      <c r="C568" s="34">
        <v>1</v>
      </c>
      <c r="D568" s="33" t="s">
        <v>315</v>
      </c>
      <c r="E568" s="34">
        <v>2</v>
      </c>
      <c r="F568" s="35" t="s">
        <v>116</v>
      </c>
      <c r="G568" s="38">
        <v>1</v>
      </c>
    </row>
    <row r="569" spans="1:14" x14ac:dyDescent="0.25">
      <c r="A569" s="2"/>
      <c r="B569" s="37"/>
      <c r="C569" s="38"/>
      <c r="D569" s="37"/>
      <c r="E569" s="38"/>
      <c r="F569" s="37"/>
      <c r="G569" s="38"/>
    </row>
    <row r="570" spans="1:14" x14ac:dyDescent="0.25">
      <c r="A570" s="3"/>
      <c r="B570" s="40"/>
      <c r="C570" s="41"/>
      <c r="D570" s="40"/>
      <c r="E570" s="41"/>
      <c r="F570" s="42"/>
      <c r="G570" s="41"/>
    </row>
    <row r="571" spans="1:14" x14ac:dyDescent="0.25">
      <c r="A571" s="4" t="s">
        <v>7</v>
      </c>
      <c r="B571" s="33" t="s">
        <v>11</v>
      </c>
      <c r="C571" s="34">
        <v>1</v>
      </c>
      <c r="D571" s="33" t="s">
        <v>333</v>
      </c>
      <c r="E571" s="34" t="s">
        <v>1056</v>
      </c>
      <c r="F571" s="39" t="s">
        <v>10</v>
      </c>
      <c r="G571" s="38">
        <v>2</v>
      </c>
    </row>
    <row r="572" spans="1:14" x14ac:dyDescent="0.25">
      <c r="A572" s="2"/>
      <c r="B572" s="37" t="s">
        <v>10</v>
      </c>
      <c r="C572" s="38">
        <v>2</v>
      </c>
      <c r="D572" s="37"/>
      <c r="E572" s="36"/>
      <c r="F572" s="38"/>
      <c r="G572" s="39"/>
    </row>
    <row r="573" spans="1:14" x14ac:dyDescent="0.25">
      <c r="A573" s="3"/>
      <c r="B573" s="40" t="s">
        <v>13</v>
      </c>
      <c r="C573" s="41">
        <v>3</v>
      </c>
      <c r="D573" s="40"/>
      <c r="E573" s="41"/>
      <c r="F573" s="42"/>
      <c r="G573" s="41"/>
    </row>
    <row r="574" spans="1:14" x14ac:dyDescent="0.25">
      <c r="A574" s="4" t="s">
        <v>8</v>
      </c>
      <c r="B574" s="33" t="s">
        <v>17</v>
      </c>
      <c r="C574" s="34">
        <v>1</v>
      </c>
      <c r="D574" s="33" t="s">
        <v>17</v>
      </c>
      <c r="E574" s="34">
        <v>1</v>
      </c>
      <c r="F574" s="35" t="s">
        <v>17</v>
      </c>
      <c r="G574" s="38">
        <v>1</v>
      </c>
    </row>
    <row r="575" spans="1:14" x14ac:dyDescent="0.25">
      <c r="A575" s="2"/>
      <c r="B575" s="37" t="s">
        <v>843</v>
      </c>
      <c r="C575" s="38">
        <v>2</v>
      </c>
      <c r="D575" s="37"/>
      <c r="E575" s="38"/>
      <c r="F575" s="39"/>
      <c r="G575" s="38"/>
    </row>
    <row r="576" spans="1:14" x14ac:dyDescent="0.25">
      <c r="A576" s="3"/>
      <c r="B576" s="40"/>
      <c r="C576" s="41"/>
      <c r="D576" s="40"/>
      <c r="E576" s="41"/>
      <c r="F576" s="42"/>
      <c r="G576" s="41"/>
    </row>
    <row r="577" spans="1:14" x14ac:dyDescent="0.25">
      <c r="A577" s="2" t="s">
        <v>9</v>
      </c>
      <c r="B577" s="37" t="s">
        <v>593</v>
      </c>
      <c r="C577" s="38">
        <v>1</v>
      </c>
      <c r="D577" s="37" t="s">
        <v>334</v>
      </c>
      <c r="E577" s="38">
        <v>1</v>
      </c>
      <c r="F577" s="39" t="s">
        <v>593</v>
      </c>
      <c r="G577" s="38">
        <v>1</v>
      </c>
    </row>
    <row r="578" spans="1:14" x14ac:dyDescent="0.25">
      <c r="A578" s="2"/>
      <c r="B578" s="37"/>
      <c r="C578" s="38"/>
      <c r="D578" s="37"/>
      <c r="E578" s="38"/>
      <c r="F578" s="48"/>
      <c r="G578" s="38"/>
    </row>
    <row r="579" spans="1:14" x14ac:dyDescent="0.25">
      <c r="A579" s="3"/>
      <c r="B579" s="40"/>
      <c r="C579" s="41"/>
      <c r="D579" s="40"/>
      <c r="E579" s="41"/>
      <c r="F579" s="42"/>
      <c r="G579" s="41"/>
    </row>
    <row r="580" spans="1:14" x14ac:dyDescent="0.25">
      <c r="A580" s="2" t="s">
        <v>1224</v>
      </c>
      <c r="B580" s="37" t="s">
        <v>841</v>
      </c>
      <c r="C580" s="38" t="s">
        <v>1072</v>
      </c>
      <c r="D580" s="37" t="s">
        <v>1311</v>
      </c>
      <c r="E580" s="38" t="s">
        <v>1074</v>
      </c>
      <c r="F580" s="39" t="s">
        <v>1238</v>
      </c>
      <c r="G580" s="36" t="s">
        <v>1074</v>
      </c>
      <c r="H580" s="8"/>
    </row>
    <row r="581" spans="1:14" x14ac:dyDescent="0.25">
      <c r="A581" s="2"/>
      <c r="B581" s="44"/>
      <c r="C581" s="38"/>
      <c r="D581" s="37"/>
      <c r="E581" s="38"/>
      <c r="F581" s="39"/>
      <c r="G581" s="36"/>
      <c r="H581" s="8"/>
    </row>
    <row r="582" spans="1:14" x14ac:dyDescent="0.25">
      <c r="A582" s="3"/>
      <c r="B582" s="40"/>
      <c r="C582" s="41"/>
      <c r="D582" s="40"/>
      <c r="E582" s="41"/>
      <c r="F582" s="42"/>
      <c r="G582" s="43"/>
      <c r="H582" s="8"/>
    </row>
    <row r="584" spans="1:14" x14ac:dyDescent="0.25">
      <c r="A584" s="1">
        <v>30</v>
      </c>
      <c r="B584" s="29" t="s">
        <v>1147</v>
      </c>
      <c r="C584" s="30"/>
      <c r="D584" s="29" t="s">
        <v>1218</v>
      </c>
      <c r="E584" s="30"/>
      <c r="F584" s="31" t="s">
        <v>1218</v>
      </c>
      <c r="G584" s="49"/>
    </row>
    <row r="585" spans="1:14" x14ac:dyDescent="0.25">
      <c r="A585" s="4" t="s">
        <v>6</v>
      </c>
      <c r="B585" s="33" t="s">
        <v>844</v>
      </c>
      <c r="C585" s="34">
        <v>1</v>
      </c>
      <c r="D585" s="33" t="s">
        <v>335</v>
      </c>
      <c r="E585" s="34">
        <v>2</v>
      </c>
      <c r="F585" s="35" t="s">
        <v>594</v>
      </c>
      <c r="G585" s="34">
        <v>2</v>
      </c>
      <c r="I585" s="7">
        <v>1</v>
      </c>
      <c r="J585" s="6">
        <v>1</v>
      </c>
      <c r="K585" s="7">
        <v>1</v>
      </c>
      <c r="L585" s="6">
        <v>1</v>
      </c>
      <c r="M585" s="7">
        <v>1</v>
      </c>
      <c r="N585" s="7">
        <v>1</v>
      </c>
    </row>
    <row r="586" spans="1:14" x14ac:dyDescent="0.25">
      <c r="A586" s="2"/>
      <c r="B586" s="37" t="s">
        <v>845</v>
      </c>
      <c r="C586" s="38">
        <v>2</v>
      </c>
      <c r="D586" s="37" t="s">
        <v>336</v>
      </c>
      <c r="E586" s="38">
        <v>1</v>
      </c>
      <c r="F586" s="39"/>
      <c r="G586" s="38"/>
    </row>
    <row r="587" spans="1:14" x14ac:dyDescent="0.25">
      <c r="A587" s="3"/>
      <c r="B587" s="40" t="s">
        <v>837</v>
      </c>
      <c r="C587" s="41">
        <v>3</v>
      </c>
      <c r="D587" s="40" t="s">
        <v>337</v>
      </c>
      <c r="E587" s="41">
        <v>4</v>
      </c>
      <c r="F587" s="42"/>
      <c r="G587" s="41"/>
    </row>
    <row r="588" spans="1:14" x14ac:dyDescent="0.25">
      <c r="A588" s="4" t="s">
        <v>5</v>
      </c>
      <c r="B588" s="33" t="s">
        <v>846</v>
      </c>
      <c r="C588" s="34">
        <v>1</v>
      </c>
      <c r="D588" s="33" t="s">
        <v>338</v>
      </c>
      <c r="E588" s="34" t="s">
        <v>1056</v>
      </c>
      <c r="F588" s="35" t="s">
        <v>338</v>
      </c>
      <c r="G588" s="38" t="s">
        <v>1056</v>
      </c>
    </row>
    <row r="589" spans="1:14" x14ac:dyDescent="0.25">
      <c r="A589" s="2"/>
      <c r="B589" s="37" t="s">
        <v>847</v>
      </c>
      <c r="C589" s="38">
        <v>2</v>
      </c>
      <c r="D589" s="37"/>
      <c r="E589" s="38"/>
      <c r="F589" s="37"/>
      <c r="G589" s="38"/>
    </row>
    <row r="590" spans="1:14" x14ac:dyDescent="0.25">
      <c r="A590" s="3"/>
      <c r="B590" s="40"/>
      <c r="C590" s="41"/>
      <c r="D590" s="40"/>
      <c r="E590" s="41"/>
      <c r="F590" s="42"/>
      <c r="G590" s="41"/>
    </row>
    <row r="591" spans="1:14" x14ac:dyDescent="0.25">
      <c r="A591" s="4" t="s">
        <v>7</v>
      </c>
      <c r="B591" s="33" t="s">
        <v>13</v>
      </c>
      <c r="C591" s="34">
        <v>1</v>
      </c>
      <c r="D591" s="33" t="s">
        <v>319</v>
      </c>
      <c r="E591" s="34">
        <v>3</v>
      </c>
      <c r="F591" s="39" t="s">
        <v>319</v>
      </c>
      <c r="G591" s="38">
        <v>3</v>
      </c>
    </row>
    <row r="592" spans="1:14" x14ac:dyDescent="0.25">
      <c r="A592" s="2"/>
      <c r="B592" s="37" t="s">
        <v>11</v>
      </c>
      <c r="C592" s="38">
        <v>2</v>
      </c>
      <c r="D592" s="37"/>
      <c r="E592" s="36"/>
      <c r="F592" s="38"/>
      <c r="G592" s="39"/>
    </row>
    <row r="593" spans="1:14" x14ac:dyDescent="0.25">
      <c r="A593" s="3"/>
      <c r="B593" s="40" t="s">
        <v>848</v>
      </c>
      <c r="C593" s="41">
        <v>3</v>
      </c>
      <c r="D593" s="40"/>
      <c r="E593" s="41"/>
      <c r="F593" s="42"/>
      <c r="G593" s="41"/>
    </row>
    <row r="594" spans="1:14" x14ac:dyDescent="0.25">
      <c r="A594" s="4" t="s">
        <v>8</v>
      </c>
      <c r="B594" s="33" t="s">
        <v>339</v>
      </c>
      <c r="C594" s="34">
        <v>1</v>
      </c>
      <c r="D594" s="33" t="s">
        <v>339</v>
      </c>
      <c r="E594" s="34">
        <v>1</v>
      </c>
      <c r="F594" s="35" t="s">
        <v>339</v>
      </c>
      <c r="G594" s="38">
        <v>1</v>
      </c>
    </row>
    <row r="595" spans="1:14" x14ac:dyDescent="0.25">
      <c r="A595" s="2"/>
      <c r="B595" s="37" t="s">
        <v>849</v>
      </c>
      <c r="C595" s="38">
        <v>2</v>
      </c>
      <c r="D595" s="37"/>
      <c r="E595" s="38"/>
      <c r="F595" s="39"/>
      <c r="G595" s="38"/>
    </row>
    <row r="596" spans="1:14" x14ac:dyDescent="0.25">
      <c r="A596" s="3"/>
      <c r="B596" s="40" t="s">
        <v>850</v>
      </c>
      <c r="C596" s="41">
        <v>3</v>
      </c>
      <c r="D596" s="40"/>
      <c r="E596" s="41"/>
      <c r="F596" s="42"/>
      <c r="G596" s="41"/>
    </row>
    <row r="597" spans="1:14" x14ac:dyDescent="0.25">
      <c r="A597" s="2" t="s">
        <v>9</v>
      </c>
      <c r="B597" s="37" t="s">
        <v>851</v>
      </c>
      <c r="C597" s="38">
        <v>1</v>
      </c>
      <c r="D597" s="37" t="s">
        <v>340</v>
      </c>
      <c r="E597" s="38">
        <v>1</v>
      </c>
      <c r="F597" s="39" t="s">
        <v>595</v>
      </c>
      <c r="G597" s="38">
        <v>1</v>
      </c>
    </row>
    <row r="598" spans="1:14" x14ac:dyDescent="0.25">
      <c r="A598" s="2"/>
      <c r="B598" s="37"/>
      <c r="C598" s="38"/>
      <c r="D598" s="37"/>
      <c r="E598" s="38"/>
      <c r="F598" s="48"/>
      <c r="G598" s="38"/>
    </row>
    <row r="599" spans="1:14" x14ac:dyDescent="0.25">
      <c r="A599" s="3"/>
      <c r="B599" s="40"/>
      <c r="C599" s="41"/>
      <c r="D599" s="40"/>
      <c r="E599" s="41"/>
      <c r="F599" s="42"/>
      <c r="G599" s="41"/>
    </row>
    <row r="600" spans="1:14" x14ac:dyDescent="0.25">
      <c r="A600" s="2" t="s">
        <v>1224</v>
      </c>
      <c r="B600" s="37" t="s">
        <v>320</v>
      </c>
      <c r="C600" s="38" t="s">
        <v>1074</v>
      </c>
      <c r="D600" s="37" t="s">
        <v>1312</v>
      </c>
      <c r="E600" s="38" t="s">
        <v>1072</v>
      </c>
      <c r="F600" s="37" t="s">
        <v>320</v>
      </c>
      <c r="G600" s="36" t="s">
        <v>1074</v>
      </c>
      <c r="H600" s="8"/>
    </row>
    <row r="601" spans="1:14" x14ac:dyDescent="0.25">
      <c r="A601" s="2"/>
      <c r="B601" s="37" t="s">
        <v>1312</v>
      </c>
      <c r="C601" s="38" t="s">
        <v>1072</v>
      </c>
      <c r="D601" s="37"/>
      <c r="E601" s="38"/>
      <c r="F601" s="39"/>
      <c r="G601" s="36"/>
      <c r="H601" s="8"/>
    </row>
    <row r="602" spans="1:14" x14ac:dyDescent="0.25">
      <c r="A602" s="3"/>
      <c r="B602" s="40"/>
      <c r="C602" s="41"/>
      <c r="D602" s="40"/>
      <c r="E602" s="41"/>
      <c r="F602" s="42"/>
      <c r="G602" s="43"/>
      <c r="H602" s="8"/>
    </row>
    <row r="604" spans="1:14" x14ac:dyDescent="0.25">
      <c r="A604" s="1">
        <v>31</v>
      </c>
      <c r="B604" s="29" t="s">
        <v>1148</v>
      </c>
      <c r="C604" s="30"/>
      <c r="D604" s="29" t="s">
        <v>1218</v>
      </c>
      <c r="E604" s="30"/>
      <c r="F604" s="31" t="s">
        <v>1218</v>
      </c>
      <c r="G604" s="49"/>
    </row>
    <row r="605" spans="1:14" x14ac:dyDescent="0.25">
      <c r="A605" s="4" t="s">
        <v>6</v>
      </c>
      <c r="B605" s="33" t="s">
        <v>852</v>
      </c>
      <c r="C605" s="34">
        <v>1</v>
      </c>
      <c r="D605" s="33" t="s">
        <v>341</v>
      </c>
      <c r="E605" s="34">
        <v>4</v>
      </c>
      <c r="F605" s="35" t="s">
        <v>596</v>
      </c>
      <c r="G605" s="34">
        <v>3</v>
      </c>
      <c r="I605" s="7">
        <v>1</v>
      </c>
      <c r="J605" s="6">
        <v>1</v>
      </c>
      <c r="K605" s="7">
        <v>1</v>
      </c>
      <c r="L605" s="6">
        <v>1</v>
      </c>
      <c r="M605" s="7">
        <v>0</v>
      </c>
      <c r="N605" s="7">
        <v>0</v>
      </c>
    </row>
    <row r="606" spans="1:14" x14ac:dyDescent="0.25">
      <c r="A606" s="2"/>
      <c r="B606" s="37" t="s">
        <v>853</v>
      </c>
      <c r="C606" s="38">
        <v>2</v>
      </c>
      <c r="D606" s="37" t="s">
        <v>342</v>
      </c>
      <c r="E606" s="38">
        <v>3</v>
      </c>
      <c r="F606" s="39"/>
      <c r="G606" s="38"/>
    </row>
    <row r="607" spans="1:14" x14ac:dyDescent="0.25">
      <c r="A607" s="3"/>
      <c r="B607" s="40" t="s">
        <v>854</v>
      </c>
      <c r="C607" s="41">
        <v>3</v>
      </c>
      <c r="D607" s="40" t="s">
        <v>343</v>
      </c>
      <c r="E607" s="41">
        <v>2</v>
      </c>
      <c r="F607" s="42"/>
      <c r="G607" s="41"/>
    </row>
    <row r="608" spans="1:14" x14ac:dyDescent="0.25">
      <c r="A608" s="4" t="s">
        <v>5</v>
      </c>
      <c r="B608" s="33" t="s">
        <v>344</v>
      </c>
      <c r="C608" s="34">
        <v>1</v>
      </c>
      <c r="D608" s="33" t="s">
        <v>344</v>
      </c>
      <c r="E608" s="34">
        <v>1</v>
      </c>
      <c r="F608" s="35" t="s">
        <v>344</v>
      </c>
      <c r="G608" s="38">
        <v>1</v>
      </c>
    </row>
    <row r="609" spans="1:8" x14ac:dyDescent="0.25">
      <c r="A609" s="2"/>
      <c r="B609" s="37"/>
      <c r="C609" s="38"/>
      <c r="E609" s="38"/>
      <c r="F609" s="37"/>
      <c r="G609" s="38"/>
    </row>
    <row r="610" spans="1:8" x14ac:dyDescent="0.25">
      <c r="A610" s="3"/>
      <c r="B610" s="40"/>
      <c r="C610" s="41"/>
      <c r="D610" s="40"/>
      <c r="E610" s="41"/>
      <c r="F610" s="42"/>
      <c r="G610" s="41"/>
    </row>
    <row r="611" spans="1:8" x14ac:dyDescent="0.25">
      <c r="A611" s="4" t="s">
        <v>7</v>
      </c>
      <c r="B611" s="33" t="s">
        <v>25</v>
      </c>
      <c r="C611" s="34">
        <v>1</v>
      </c>
      <c r="D611" s="37" t="s">
        <v>345</v>
      </c>
      <c r="E611" s="34" t="s">
        <v>1054</v>
      </c>
      <c r="F611" s="39" t="s">
        <v>345</v>
      </c>
      <c r="G611" s="38" t="s">
        <v>1054</v>
      </c>
    </row>
    <row r="612" spans="1:8" x14ac:dyDescent="0.25">
      <c r="A612" s="2"/>
      <c r="B612" s="37" t="s">
        <v>855</v>
      </c>
      <c r="C612" s="38">
        <v>2</v>
      </c>
      <c r="E612" s="36"/>
      <c r="F612" s="38"/>
      <c r="G612" s="39"/>
    </row>
    <row r="613" spans="1:8" x14ac:dyDescent="0.25">
      <c r="A613" s="3"/>
      <c r="B613" s="40" t="s">
        <v>31</v>
      </c>
      <c r="C613" s="41">
        <v>3</v>
      </c>
      <c r="D613" s="40"/>
      <c r="E613" s="41"/>
      <c r="F613" s="42"/>
      <c r="G613" s="41"/>
    </row>
    <row r="614" spans="1:8" x14ac:dyDescent="0.25">
      <c r="A614" s="4" t="s">
        <v>8</v>
      </c>
      <c r="B614" s="33" t="s">
        <v>346</v>
      </c>
      <c r="C614" s="34">
        <v>1</v>
      </c>
      <c r="D614" s="33" t="s">
        <v>346</v>
      </c>
      <c r="E614" s="34">
        <v>1</v>
      </c>
      <c r="F614" s="35" t="s">
        <v>346</v>
      </c>
      <c r="G614" s="38">
        <v>1</v>
      </c>
    </row>
    <row r="615" spans="1:8" x14ac:dyDescent="0.25">
      <c r="A615" s="2"/>
      <c r="B615" s="37" t="s">
        <v>347</v>
      </c>
      <c r="C615" s="38">
        <v>2</v>
      </c>
      <c r="D615" s="37" t="s">
        <v>347</v>
      </c>
      <c r="E615" s="38">
        <v>2</v>
      </c>
      <c r="F615" s="39"/>
      <c r="G615" s="38"/>
    </row>
    <row r="616" spans="1:8" x14ac:dyDescent="0.25">
      <c r="A616" s="3"/>
      <c r="B616" s="40"/>
      <c r="C616" s="41"/>
      <c r="D616" s="40"/>
      <c r="E616" s="41"/>
      <c r="F616" s="42"/>
      <c r="G616" s="41"/>
    </row>
    <row r="617" spans="1:8" x14ac:dyDescent="0.25">
      <c r="A617" s="2" t="s">
        <v>9</v>
      </c>
      <c r="B617" s="37" t="s">
        <v>856</v>
      </c>
      <c r="C617" s="38">
        <v>1</v>
      </c>
      <c r="D617" s="37"/>
      <c r="E617" s="38"/>
      <c r="F617" s="39" t="s">
        <v>597</v>
      </c>
      <c r="G617" s="38">
        <v>3</v>
      </c>
    </row>
    <row r="618" spans="1:8" x14ac:dyDescent="0.25">
      <c r="A618" s="2"/>
      <c r="B618" s="37" t="s">
        <v>853</v>
      </c>
      <c r="C618" s="38">
        <v>2</v>
      </c>
      <c r="D618" s="37"/>
      <c r="E618" s="38"/>
      <c r="F618" s="48"/>
      <c r="G618" s="38"/>
    </row>
    <row r="619" spans="1:8" x14ac:dyDescent="0.25">
      <c r="A619" s="3"/>
      <c r="B619" s="40"/>
      <c r="C619" s="41"/>
      <c r="D619" s="40"/>
      <c r="E619" s="41"/>
      <c r="F619" s="42"/>
      <c r="G619" s="41"/>
    </row>
    <row r="620" spans="1:8" x14ac:dyDescent="0.25">
      <c r="A620" s="2" t="s">
        <v>1224</v>
      </c>
      <c r="B620" s="37" t="s">
        <v>1257</v>
      </c>
      <c r="C620" s="38" t="s">
        <v>1072</v>
      </c>
      <c r="D620" s="37" t="s">
        <v>1313</v>
      </c>
      <c r="E620" s="38" t="s">
        <v>1074</v>
      </c>
      <c r="F620" s="39" t="s">
        <v>852</v>
      </c>
      <c r="G620" s="36" t="s">
        <v>1074</v>
      </c>
      <c r="H620" s="8"/>
    </row>
    <row r="621" spans="1:8" x14ac:dyDescent="0.25">
      <c r="A621" s="2"/>
      <c r="B621" s="44"/>
      <c r="C621" s="38"/>
      <c r="D621" s="37"/>
      <c r="E621" s="38"/>
      <c r="F621" s="39"/>
      <c r="G621" s="36"/>
      <c r="H621" s="8"/>
    </row>
    <row r="622" spans="1:8" x14ac:dyDescent="0.25">
      <c r="A622" s="3"/>
      <c r="B622" s="40"/>
      <c r="C622" s="41"/>
      <c r="D622" s="40"/>
      <c r="E622" s="41"/>
      <c r="F622" s="42"/>
      <c r="G622" s="43"/>
      <c r="H622" s="8"/>
    </row>
    <row r="624" spans="1:8" x14ac:dyDescent="0.25">
      <c r="A624" s="1">
        <v>32</v>
      </c>
      <c r="B624" s="29" t="s">
        <v>1149</v>
      </c>
      <c r="C624" s="30"/>
      <c r="D624" s="29" t="s">
        <v>1218</v>
      </c>
      <c r="E624" s="30"/>
      <c r="F624" s="31" t="s">
        <v>1218</v>
      </c>
      <c r="G624" s="49"/>
    </row>
    <row r="625" spans="1:14" x14ac:dyDescent="0.25">
      <c r="A625" s="4" t="s">
        <v>6</v>
      </c>
      <c r="B625" s="33" t="s">
        <v>598</v>
      </c>
      <c r="C625" s="34">
        <v>1</v>
      </c>
      <c r="D625" s="33" t="s">
        <v>348</v>
      </c>
      <c r="E625" s="34">
        <v>1</v>
      </c>
      <c r="F625" s="35" t="s">
        <v>598</v>
      </c>
      <c r="G625" s="34">
        <v>1</v>
      </c>
      <c r="I625" s="7">
        <v>1</v>
      </c>
      <c r="J625" s="6">
        <v>1</v>
      </c>
      <c r="K625" s="7">
        <v>1</v>
      </c>
      <c r="L625" s="6">
        <v>1</v>
      </c>
      <c r="M625" s="7">
        <v>0.33333333333333337</v>
      </c>
      <c r="N625" s="7">
        <v>0.33333333333333337</v>
      </c>
    </row>
    <row r="626" spans="1:14" x14ac:dyDescent="0.25">
      <c r="A626" s="2"/>
      <c r="B626" s="37" t="s">
        <v>857</v>
      </c>
      <c r="C626" s="38">
        <v>2</v>
      </c>
      <c r="D626" s="37" t="s">
        <v>349</v>
      </c>
      <c r="E626" s="38">
        <v>4</v>
      </c>
      <c r="F626" s="39" t="s">
        <v>599</v>
      </c>
      <c r="G626" s="38">
        <v>3</v>
      </c>
    </row>
    <row r="627" spans="1:14" x14ac:dyDescent="0.25">
      <c r="A627" s="3"/>
      <c r="B627" s="40" t="s">
        <v>858</v>
      </c>
      <c r="C627" s="41">
        <v>3</v>
      </c>
      <c r="D627" s="40" t="s">
        <v>350</v>
      </c>
      <c r="E627" s="41">
        <v>3</v>
      </c>
      <c r="F627" s="42"/>
      <c r="G627" s="41"/>
    </row>
    <row r="628" spans="1:14" x14ac:dyDescent="0.25">
      <c r="A628" s="4" t="s">
        <v>5</v>
      </c>
      <c r="B628" s="33" t="s">
        <v>23</v>
      </c>
      <c r="C628" s="34">
        <v>1</v>
      </c>
      <c r="D628" s="33" t="s">
        <v>351</v>
      </c>
      <c r="E628" s="34">
        <v>1</v>
      </c>
      <c r="F628" s="35" t="s">
        <v>1109</v>
      </c>
      <c r="G628" s="38">
        <v>1</v>
      </c>
    </row>
    <row r="629" spans="1:14" x14ac:dyDescent="0.25">
      <c r="A629" s="2"/>
      <c r="B629" s="37" t="s">
        <v>1109</v>
      </c>
      <c r="C629" s="38">
        <v>1</v>
      </c>
      <c r="D629" s="37"/>
      <c r="E629" s="38"/>
      <c r="F629" s="37"/>
      <c r="G629" s="38"/>
    </row>
    <row r="630" spans="1:14" x14ac:dyDescent="0.25">
      <c r="A630" s="3"/>
      <c r="B630" s="40"/>
      <c r="C630" s="41"/>
      <c r="D630" s="40"/>
      <c r="E630" s="41"/>
      <c r="F630" s="42"/>
      <c r="G630" s="41"/>
    </row>
    <row r="631" spans="1:14" x14ac:dyDescent="0.25">
      <c r="A631" s="4" t="s">
        <v>7</v>
      </c>
      <c r="B631" s="33" t="s">
        <v>859</v>
      </c>
      <c r="C631" s="34">
        <v>1</v>
      </c>
      <c r="D631" s="33" t="s">
        <v>352</v>
      </c>
      <c r="E631" s="34" t="s">
        <v>1219</v>
      </c>
      <c r="F631" s="39" t="s">
        <v>600</v>
      </c>
      <c r="G631" s="38">
        <v>2</v>
      </c>
    </row>
    <row r="632" spans="1:14" x14ac:dyDescent="0.25">
      <c r="A632" s="2"/>
      <c r="B632" s="37" t="s">
        <v>600</v>
      </c>
      <c r="C632" s="38">
        <v>2</v>
      </c>
      <c r="D632" s="37"/>
      <c r="E632" s="36"/>
      <c r="F632" s="38"/>
      <c r="G632" s="39"/>
    </row>
    <row r="633" spans="1:14" x14ac:dyDescent="0.25">
      <c r="A633" s="3"/>
      <c r="B633" s="40" t="s">
        <v>860</v>
      </c>
      <c r="C633" s="41">
        <v>3</v>
      </c>
      <c r="D633" s="40"/>
      <c r="E633" s="41"/>
      <c r="F633" s="42"/>
      <c r="G633" s="41"/>
    </row>
    <row r="634" spans="1:14" x14ac:dyDescent="0.25">
      <c r="A634" s="4" t="s">
        <v>8</v>
      </c>
      <c r="B634" s="33" t="s">
        <v>26</v>
      </c>
      <c r="C634" s="34">
        <v>1</v>
      </c>
      <c r="D634" s="33" t="s">
        <v>353</v>
      </c>
      <c r="E634" s="34">
        <v>1</v>
      </c>
      <c r="F634" s="35" t="s">
        <v>353</v>
      </c>
      <c r="G634" s="38">
        <v>1</v>
      </c>
    </row>
    <row r="635" spans="1:14" x14ac:dyDescent="0.25">
      <c r="A635" s="2"/>
      <c r="B635" s="37" t="s">
        <v>861</v>
      </c>
      <c r="C635" s="38">
        <v>2</v>
      </c>
      <c r="D635" s="37" t="s">
        <v>27</v>
      </c>
      <c r="E635" s="38">
        <v>2.5</v>
      </c>
      <c r="F635" s="39" t="s">
        <v>601</v>
      </c>
      <c r="G635" s="38">
        <v>2</v>
      </c>
    </row>
    <row r="636" spans="1:14" x14ac:dyDescent="0.25">
      <c r="A636" s="3"/>
      <c r="B636" s="40"/>
      <c r="C636" s="41"/>
      <c r="D636" s="40"/>
      <c r="E636" s="41"/>
      <c r="F636" s="42"/>
      <c r="G636" s="41"/>
    </row>
    <row r="637" spans="1:14" x14ac:dyDescent="0.25">
      <c r="A637" s="2" t="s">
        <v>9</v>
      </c>
      <c r="B637" s="37" t="s">
        <v>862</v>
      </c>
      <c r="C637" s="38">
        <v>1</v>
      </c>
      <c r="D637" s="37" t="s">
        <v>354</v>
      </c>
      <c r="E637" s="38">
        <v>2</v>
      </c>
      <c r="F637" s="39" t="s">
        <v>602</v>
      </c>
      <c r="G637" s="38">
        <v>4</v>
      </c>
    </row>
    <row r="638" spans="1:14" x14ac:dyDescent="0.25">
      <c r="A638" s="2"/>
      <c r="B638" s="37"/>
      <c r="C638" s="38"/>
      <c r="D638" s="37" t="s">
        <v>355</v>
      </c>
      <c r="E638" s="38">
        <v>3</v>
      </c>
      <c r="F638" s="48" t="s">
        <v>603</v>
      </c>
      <c r="G638" s="38">
        <v>3</v>
      </c>
    </row>
    <row r="639" spans="1:14" x14ac:dyDescent="0.25">
      <c r="A639" s="3"/>
      <c r="B639" s="40"/>
      <c r="C639" s="41"/>
      <c r="D639" s="40"/>
      <c r="E639" s="41"/>
      <c r="F639" s="42"/>
      <c r="G639" s="41"/>
    </row>
    <row r="640" spans="1:14" x14ac:dyDescent="0.25">
      <c r="A640" s="2" t="s">
        <v>1224</v>
      </c>
      <c r="B640" s="37" t="s">
        <v>1258</v>
      </c>
      <c r="C640" s="38" t="s">
        <v>1074</v>
      </c>
      <c r="D640" s="37" t="s">
        <v>857</v>
      </c>
      <c r="E640" s="38" t="s">
        <v>1072</v>
      </c>
      <c r="F640" s="39"/>
      <c r="G640" s="36"/>
      <c r="H640" s="8"/>
    </row>
    <row r="641" spans="1:14" x14ac:dyDescent="0.25">
      <c r="A641" s="2"/>
      <c r="B641" s="44"/>
      <c r="C641" s="38"/>
      <c r="D641" s="37"/>
      <c r="E641" s="38"/>
      <c r="F641" s="39"/>
      <c r="G641" s="36"/>
      <c r="H641" s="8"/>
    </row>
    <row r="642" spans="1:14" x14ac:dyDescent="0.25">
      <c r="A642" s="3"/>
      <c r="B642" s="40"/>
      <c r="C642" s="41"/>
      <c r="D642" s="40"/>
      <c r="E642" s="41"/>
      <c r="F642" s="42"/>
      <c r="G642" s="43"/>
      <c r="H642" s="8"/>
    </row>
    <row r="644" spans="1:14" x14ac:dyDescent="0.25">
      <c r="A644" s="1">
        <v>33</v>
      </c>
      <c r="B644" s="29" t="s">
        <v>1150</v>
      </c>
      <c r="C644" s="30"/>
      <c r="D644" s="29" t="s">
        <v>1218</v>
      </c>
      <c r="E644" s="30"/>
      <c r="F644" s="31" t="s">
        <v>1218</v>
      </c>
      <c r="G644" s="49"/>
    </row>
    <row r="645" spans="1:14" x14ac:dyDescent="0.25">
      <c r="A645" s="4" t="s">
        <v>6</v>
      </c>
      <c r="B645" s="33" t="s">
        <v>863</v>
      </c>
      <c r="C645" s="34">
        <v>1</v>
      </c>
      <c r="D645" s="33" t="s">
        <v>356</v>
      </c>
      <c r="E645" s="34">
        <v>5</v>
      </c>
      <c r="F645" s="35" t="s">
        <v>604</v>
      </c>
      <c r="G645" s="34">
        <v>5</v>
      </c>
      <c r="I645" s="7">
        <v>1</v>
      </c>
      <c r="J645" s="6">
        <v>1</v>
      </c>
      <c r="K645" s="7">
        <v>0.66666666666666674</v>
      </c>
      <c r="L645" s="6">
        <v>1</v>
      </c>
      <c r="M645" s="7">
        <v>0.33333333333333337</v>
      </c>
      <c r="N645" s="7">
        <v>0.33333333333333337</v>
      </c>
    </row>
    <row r="646" spans="1:14" x14ac:dyDescent="0.25">
      <c r="A646" s="2"/>
      <c r="B646" s="37" t="s">
        <v>864</v>
      </c>
      <c r="C646" s="38">
        <v>2</v>
      </c>
      <c r="D646" s="37" t="s">
        <v>357</v>
      </c>
      <c r="E646" s="38">
        <v>3</v>
      </c>
      <c r="F646" s="39" t="s">
        <v>605</v>
      </c>
      <c r="G646" s="38">
        <v>5</v>
      </c>
    </row>
    <row r="647" spans="1:14" x14ac:dyDescent="0.25">
      <c r="A647" s="3"/>
      <c r="B647" s="40" t="s">
        <v>357</v>
      </c>
      <c r="C647" s="41">
        <v>3</v>
      </c>
      <c r="D647" s="40" t="s">
        <v>358</v>
      </c>
      <c r="E647" s="41">
        <v>4</v>
      </c>
      <c r="F647" s="42" t="s">
        <v>606</v>
      </c>
      <c r="G647" s="41">
        <v>3</v>
      </c>
    </row>
    <row r="648" spans="1:14" x14ac:dyDescent="0.25">
      <c r="A648" s="4" t="s">
        <v>5</v>
      </c>
      <c r="B648" s="33" t="s">
        <v>865</v>
      </c>
      <c r="C648" s="34">
        <v>1</v>
      </c>
      <c r="D648" s="33" t="s">
        <v>359</v>
      </c>
      <c r="E648" s="34">
        <v>1</v>
      </c>
      <c r="F648" s="35" t="s">
        <v>607</v>
      </c>
      <c r="G648" s="38">
        <v>1</v>
      </c>
    </row>
    <row r="649" spans="1:14" x14ac:dyDescent="0.25">
      <c r="A649" s="2"/>
      <c r="B649" s="37"/>
      <c r="C649" s="38"/>
      <c r="D649" s="37"/>
      <c r="E649" s="38"/>
      <c r="F649" s="37"/>
      <c r="G649" s="38"/>
    </row>
    <row r="650" spans="1:14" x14ac:dyDescent="0.25">
      <c r="A650" s="3"/>
      <c r="B650" s="40"/>
      <c r="C650" s="41"/>
      <c r="D650" s="40"/>
      <c r="E650" s="41"/>
      <c r="F650" s="42"/>
      <c r="G650" s="41"/>
    </row>
    <row r="651" spans="1:14" x14ac:dyDescent="0.25">
      <c r="A651" s="4" t="s">
        <v>7</v>
      </c>
      <c r="B651" s="33" t="s">
        <v>45</v>
      </c>
      <c r="C651" s="34">
        <v>1</v>
      </c>
      <c r="D651" s="33" t="s">
        <v>38</v>
      </c>
      <c r="E651" s="34">
        <v>3</v>
      </c>
      <c r="F651" s="39" t="s">
        <v>45</v>
      </c>
      <c r="G651" s="38">
        <v>1</v>
      </c>
    </row>
    <row r="652" spans="1:14" x14ac:dyDescent="0.25">
      <c r="A652" s="2"/>
      <c r="B652" s="37" t="s">
        <v>866</v>
      </c>
      <c r="C652" s="38">
        <v>2</v>
      </c>
      <c r="D652" s="37"/>
      <c r="E652" s="36"/>
      <c r="F652" s="38"/>
      <c r="G652" s="39"/>
    </row>
    <row r="653" spans="1:14" x14ac:dyDescent="0.25">
      <c r="A653" s="3"/>
      <c r="B653" s="40" t="s">
        <v>38</v>
      </c>
      <c r="C653" s="41">
        <v>3</v>
      </c>
      <c r="D653" s="40"/>
      <c r="E653" s="41"/>
      <c r="F653" s="42"/>
      <c r="G653" s="41"/>
    </row>
    <row r="654" spans="1:14" x14ac:dyDescent="0.25">
      <c r="A654" s="4" t="s">
        <v>8</v>
      </c>
      <c r="B654" s="33" t="s">
        <v>867</v>
      </c>
      <c r="C654" s="34">
        <v>1</v>
      </c>
      <c r="D654" s="33" t="s">
        <v>360</v>
      </c>
      <c r="E654" s="34">
        <v>3</v>
      </c>
      <c r="F654" s="35" t="s">
        <v>608</v>
      </c>
      <c r="G654" s="38">
        <v>1</v>
      </c>
    </row>
    <row r="655" spans="1:14" x14ac:dyDescent="0.25">
      <c r="A655" s="2"/>
      <c r="B655" s="37" t="s">
        <v>868</v>
      </c>
      <c r="C655" s="38">
        <v>2</v>
      </c>
      <c r="D655" s="37" t="s">
        <v>361</v>
      </c>
      <c r="E655" s="38">
        <v>4</v>
      </c>
      <c r="F655" s="39">
        <v>51</v>
      </c>
      <c r="G655" s="38">
        <v>2</v>
      </c>
    </row>
    <row r="656" spans="1:14" x14ac:dyDescent="0.25">
      <c r="A656" s="3"/>
      <c r="B656" s="40" t="s">
        <v>360</v>
      </c>
      <c r="C656" s="41">
        <v>3</v>
      </c>
      <c r="D656" s="40"/>
      <c r="E656" s="41"/>
      <c r="F656" s="42" t="s">
        <v>609</v>
      </c>
      <c r="G656" s="41">
        <v>3</v>
      </c>
    </row>
    <row r="657" spans="1:14" x14ac:dyDescent="0.25">
      <c r="A657" s="2" t="s">
        <v>9</v>
      </c>
      <c r="B657" s="37" t="s">
        <v>362</v>
      </c>
      <c r="C657" s="38">
        <v>1</v>
      </c>
      <c r="D657" s="37" t="s">
        <v>362</v>
      </c>
      <c r="E657" s="38">
        <v>1</v>
      </c>
      <c r="F657" s="39" t="s">
        <v>610</v>
      </c>
      <c r="G657" s="38">
        <v>4</v>
      </c>
    </row>
    <row r="658" spans="1:14" x14ac:dyDescent="0.25">
      <c r="A658" s="2"/>
      <c r="B658" s="37" t="s">
        <v>363</v>
      </c>
      <c r="C658" s="38">
        <v>2</v>
      </c>
      <c r="D658" s="37" t="s">
        <v>363</v>
      </c>
      <c r="E658" s="38">
        <v>2</v>
      </c>
      <c r="F658" s="48"/>
      <c r="G658" s="38"/>
    </row>
    <row r="659" spans="1:14" x14ac:dyDescent="0.25">
      <c r="A659" s="3"/>
      <c r="B659" s="40" t="s">
        <v>869</v>
      </c>
      <c r="C659" s="41">
        <v>3</v>
      </c>
      <c r="D659" s="40"/>
      <c r="E659" s="41"/>
      <c r="F659" s="42"/>
      <c r="G659" s="41"/>
    </row>
    <row r="660" spans="1:14" x14ac:dyDescent="0.25">
      <c r="A660" s="2" t="s">
        <v>1224</v>
      </c>
      <c r="B660" s="37" t="s">
        <v>415</v>
      </c>
      <c r="C660" s="38" t="s">
        <v>1074</v>
      </c>
      <c r="D660" s="37" t="s">
        <v>1314</v>
      </c>
      <c r="E660" s="38" t="s">
        <v>1072</v>
      </c>
      <c r="F660" s="39" t="s">
        <v>1322</v>
      </c>
      <c r="G660" s="36" t="s">
        <v>1074</v>
      </c>
      <c r="H660" s="8"/>
    </row>
    <row r="661" spans="1:14" x14ac:dyDescent="0.25">
      <c r="A661" s="2"/>
      <c r="B661" s="44"/>
      <c r="C661" s="38"/>
      <c r="D661" s="37"/>
      <c r="E661" s="38"/>
      <c r="F661" s="39"/>
      <c r="G661" s="36"/>
      <c r="H661" s="8"/>
    </row>
    <row r="662" spans="1:14" x14ac:dyDescent="0.25">
      <c r="A662" s="3"/>
      <c r="B662" s="40"/>
      <c r="C662" s="41"/>
      <c r="D662" s="40"/>
      <c r="E662" s="41"/>
      <c r="F662" s="42"/>
      <c r="G662" s="43"/>
      <c r="H662" s="8"/>
    </row>
    <row r="664" spans="1:14" x14ac:dyDescent="0.25">
      <c r="A664" s="1">
        <v>34</v>
      </c>
      <c r="B664" s="29" t="s">
        <v>1151</v>
      </c>
      <c r="C664" s="30"/>
      <c r="D664" s="29" t="s">
        <v>1218</v>
      </c>
      <c r="E664" s="30"/>
      <c r="F664" s="31" t="s">
        <v>1218</v>
      </c>
      <c r="G664" s="49"/>
    </row>
    <row r="665" spans="1:14" x14ac:dyDescent="0.25">
      <c r="A665" s="4" t="s">
        <v>6</v>
      </c>
      <c r="B665" s="33" t="s">
        <v>615</v>
      </c>
      <c r="C665" s="34">
        <v>1</v>
      </c>
      <c r="D665" s="33" t="s">
        <v>364</v>
      </c>
      <c r="E665" s="34">
        <v>1</v>
      </c>
      <c r="F665" s="35" t="s">
        <v>611</v>
      </c>
      <c r="G665" s="34">
        <v>1</v>
      </c>
      <c r="I665" s="7">
        <v>1</v>
      </c>
      <c r="J665" s="6">
        <v>1</v>
      </c>
      <c r="K665" s="7">
        <v>1</v>
      </c>
      <c r="L665" s="6">
        <v>0.66666666666666674</v>
      </c>
      <c r="M665" s="7">
        <v>0.33333333333333337</v>
      </c>
      <c r="N665" s="7">
        <v>0.33333333333333337</v>
      </c>
    </row>
    <row r="666" spans="1:14" x14ac:dyDescent="0.25">
      <c r="A666" s="2"/>
      <c r="B666" s="37" t="s">
        <v>870</v>
      </c>
      <c r="C666" s="38">
        <v>2</v>
      </c>
      <c r="D666" s="37" t="s">
        <v>365</v>
      </c>
      <c r="E666" s="38">
        <v>2</v>
      </c>
      <c r="F666" s="39"/>
      <c r="G666" s="38"/>
    </row>
    <row r="667" spans="1:14" x14ac:dyDescent="0.25">
      <c r="A667" s="3"/>
      <c r="B667" s="40" t="s">
        <v>871</v>
      </c>
      <c r="C667" s="41">
        <v>3</v>
      </c>
      <c r="D667" s="40" t="s">
        <v>362</v>
      </c>
      <c r="E667" s="41">
        <v>4</v>
      </c>
      <c r="F667" s="42"/>
      <c r="G667" s="41"/>
    </row>
    <row r="668" spans="1:14" x14ac:dyDescent="0.25">
      <c r="A668" s="4" t="s">
        <v>5</v>
      </c>
      <c r="B668" s="33" t="s">
        <v>872</v>
      </c>
      <c r="C668" s="34">
        <v>1</v>
      </c>
      <c r="D668" s="33" t="s">
        <v>366</v>
      </c>
      <c r="E668" s="34">
        <v>1.5</v>
      </c>
      <c r="F668" s="35" t="s">
        <v>612</v>
      </c>
      <c r="G668" s="38" t="s">
        <v>1056</v>
      </c>
    </row>
    <row r="669" spans="1:14" x14ac:dyDescent="0.25">
      <c r="A669" s="2"/>
      <c r="B669" s="37" t="s">
        <v>37</v>
      </c>
      <c r="C669" s="38">
        <v>2</v>
      </c>
      <c r="D669" s="37"/>
      <c r="E669" s="38"/>
      <c r="F669" s="37"/>
      <c r="G669" s="38"/>
    </row>
    <row r="670" spans="1:14" x14ac:dyDescent="0.25">
      <c r="A670" s="3"/>
      <c r="B670" s="40"/>
      <c r="C670" s="41"/>
      <c r="D670" s="40"/>
      <c r="E670" s="41"/>
      <c r="F670" s="42"/>
      <c r="G670" s="41"/>
    </row>
    <row r="671" spans="1:14" x14ac:dyDescent="0.25">
      <c r="A671" s="4" t="s">
        <v>7</v>
      </c>
      <c r="B671" s="33" t="s">
        <v>866</v>
      </c>
      <c r="C671" s="34">
        <v>1</v>
      </c>
      <c r="D671" s="33" t="s">
        <v>367</v>
      </c>
      <c r="E671" s="34" t="s">
        <v>1056</v>
      </c>
      <c r="F671" s="39" t="s">
        <v>613</v>
      </c>
      <c r="G671" s="38" t="s">
        <v>1054</v>
      </c>
    </row>
    <row r="672" spans="1:14" x14ac:dyDescent="0.25">
      <c r="A672" s="2"/>
      <c r="B672" s="37" t="s">
        <v>38</v>
      </c>
      <c r="C672" s="38">
        <v>2</v>
      </c>
      <c r="D672" s="37"/>
      <c r="E672" s="36"/>
      <c r="F672" s="38"/>
      <c r="G672" s="39"/>
    </row>
    <row r="673" spans="1:14" x14ac:dyDescent="0.25">
      <c r="A673" s="3"/>
      <c r="B673" s="40" t="s">
        <v>90</v>
      </c>
      <c r="C673" s="41">
        <v>3</v>
      </c>
      <c r="D673" s="40"/>
      <c r="E673" s="41"/>
      <c r="F673" s="42"/>
      <c r="G673" s="41"/>
    </row>
    <row r="674" spans="1:14" x14ac:dyDescent="0.25">
      <c r="A674" s="4" t="s">
        <v>8</v>
      </c>
      <c r="B674" s="33" t="s">
        <v>85</v>
      </c>
      <c r="C674" s="34">
        <v>1</v>
      </c>
      <c r="D674" s="33" t="s">
        <v>368</v>
      </c>
      <c r="E674" s="34">
        <v>4</v>
      </c>
      <c r="F674" s="35" t="s">
        <v>614</v>
      </c>
      <c r="G674" s="38">
        <v>1</v>
      </c>
    </row>
    <row r="675" spans="1:14" x14ac:dyDescent="0.25">
      <c r="A675" s="2"/>
      <c r="B675" s="37" t="s">
        <v>873</v>
      </c>
      <c r="C675" s="38">
        <v>2</v>
      </c>
      <c r="D675" s="37" t="s">
        <v>369</v>
      </c>
      <c r="E675" s="38">
        <v>2</v>
      </c>
      <c r="F675" s="39"/>
      <c r="G675" s="38"/>
    </row>
    <row r="676" spans="1:14" x14ac:dyDescent="0.25">
      <c r="A676" s="3"/>
      <c r="B676" s="40" t="s">
        <v>868</v>
      </c>
      <c r="C676" s="41">
        <v>3</v>
      </c>
      <c r="D676" s="40"/>
      <c r="E676" s="41"/>
      <c r="F676" s="42"/>
      <c r="G676" s="41"/>
    </row>
    <row r="677" spans="1:14" x14ac:dyDescent="0.25">
      <c r="A677" s="2" t="s">
        <v>9</v>
      </c>
      <c r="B677" s="37" t="s">
        <v>874</v>
      </c>
      <c r="C677" s="38">
        <v>1</v>
      </c>
      <c r="D677" s="37" t="s">
        <v>370</v>
      </c>
      <c r="E677" s="38">
        <v>1</v>
      </c>
      <c r="F677" s="39" t="s">
        <v>615</v>
      </c>
      <c r="G677" s="38">
        <v>4</v>
      </c>
    </row>
    <row r="678" spans="1:14" x14ac:dyDescent="0.25">
      <c r="A678" s="2"/>
      <c r="B678" s="37" t="s">
        <v>870</v>
      </c>
      <c r="C678" s="38">
        <v>2</v>
      </c>
      <c r="D678" s="37"/>
      <c r="E678" s="38"/>
      <c r="F678" s="48"/>
      <c r="G678" s="38"/>
    </row>
    <row r="679" spans="1:14" x14ac:dyDescent="0.25">
      <c r="A679" s="3"/>
      <c r="B679" s="40" t="s">
        <v>875</v>
      </c>
      <c r="C679" s="41">
        <v>3</v>
      </c>
      <c r="D679" s="40"/>
      <c r="E679" s="41"/>
      <c r="F679" s="42"/>
      <c r="G679" s="41"/>
    </row>
    <row r="680" spans="1:14" x14ac:dyDescent="0.25">
      <c r="A680" s="2" t="s">
        <v>1224</v>
      </c>
      <c r="B680" s="37" t="s">
        <v>615</v>
      </c>
      <c r="C680" s="38" t="s">
        <v>1072</v>
      </c>
      <c r="D680" s="37" t="s">
        <v>1315</v>
      </c>
      <c r="E680" s="38" t="s">
        <v>1074</v>
      </c>
      <c r="F680" s="39" t="s">
        <v>874</v>
      </c>
      <c r="G680" s="36" t="s">
        <v>1074</v>
      </c>
      <c r="H680" s="8"/>
    </row>
    <row r="681" spans="1:14" x14ac:dyDescent="0.25">
      <c r="A681" s="2"/>
      <c r="B681" s="44"/>
      <c r="C681" s="38"/>
      <c r="D681" s="37"/>
      <c r="E681" s="38"/>
      <c r="F681" s="39"/>
      <c r="G681" s="36"/>
      <c r="H681" s="8"/>
    </row>
    <row r="682" spans="1:14" x14ac:dyDescent="0.25">
      <c r="A682" s="3"/>
      <c r="B682" s="40"/>
      <c r="C682" s="41"/>
      <c r="D682" s="40"/>
      <c r="E682" s="41"/>
      <c r="F682" s="42"/>
      <c r="G682" s="43"/>
      <c r="H682" s="8"/>
    </row>
    <row r="684" spans="1:14" x14ac:dyDescent="0.25">
      <c r="A684" s="1">
        <v>35</v>
      </c>
      <c r="B684" s="29" t="s">
        <v>1152</v>
      </c>
      <c r="C684" s="30"/>
      <c r="D684" s="29" t="s">
        <v>1218</v>
      </c>
      <c r="E684" s="30"/>
      <c r="F684" s="31" t="s">
        <v>1218</v>
      </c>
      <c r="G684" s="49"/>
    </row>
    <row r="685" spans="1:14" x14ac:dyDescent="0.25">
      <c r="A685" s="4" t="s">
        <v>6</v>
      </c>
      <c r="B685" s="33" t="s">
        <v>371</v>
      </c>
      <c r="C685" s="34">
        <v>1</v>
      </c>
      <c r="D685" s="33" t="s">
        <v>371</v>
      </c>
      <c r="E685" s="34">
        <v>1</v>
      </c>
      <c r="F685" s="35" t="s">
        <v>616</v>
      </c>
      <c r="G685" s="34">
        <v>2</v>
      </c>
      <c r="I685" s="7">
        <v>1</v>
      </c>
      <c r="J685" s="6">
        <v>1</v>
      </c>
      <c r="K685" s="7">
        <v>1</v>
      </c>
      <c r="L685" s="6">
        <v>0</v>
      </c>
      <c r="M685" s="7">
        <v>0.33333333333333337</v>
      </c>
      <c r="N685" s="7">
        <v>0.33333333333333337</v>
      </c>
    </row>
    <row r="686" spans="1:14" x14ac:dyDescent="0.25">
      <c r="A686" s="2"/>
      <c r="B686" s="37" t="s">
        <v>863</v>
      </c>
      <c r="C686" s="38">
        <v>2</v>
      </c>
      <c r="D686" s="37" t="s">
        <v>372</v>
      </c>
      <c r="E686" s="38">
        <v>3</v>
      </c>
      <c r="F686" s="39"/>
      <c r="G686" s="38"/>
    </row>
    <row r="687" spans="1:14" x14ac:dyDescent="0.25">
      <c r="A687" s="3"/>
      <c r="B687" s="40"/>
      <c r="C687" s="41"/>
      <c r="D687" s="40" t="s">
        <v>373</v>
      </c>
      <c r="E687" s="41">
        <v>2</v>
      </c>
      <c r="F687" s="42"/>
      <c r="G687" s="41"/>
    </row>
    <row r="688" spans="1:14" x14ac:dyDescent="0.25">
      <c r="A688" s="4" t="s">
        <v>5</v>
      </c>
      <c r="B688" s="33" t="s">
        <v>174</v>
      </c>
      <c r="C688" s="34">
        <v>1</v>
      </c>
      <c r="D688" s="33" t="s">
        <v>374</v>
      </c>
      <c r="E688" s="34">
        <v>1</v>
      </c>
      <c r="F688" s="35" t="s">
        <v>174</v>
      </c>
      <c r="G688" s="38">
        <v>1</v>
      </c>
    </row>
    <row r="689" spans="1:8" x14ac:dyDescent="0.25">
      <c r="A689" s="2"/>
      <c r="B689" s="37"/>
      <c r="C689" s="38"/>
      <c r="D689" s="37"/>
      <c r="E689" s="38"/>
      <c r="F689" s="37"/>
      <c r="G689" s="38"/>
    </row>
    <row r="690" spans="1:8" x14ac:dyDescent="0.25">
      <c r="A690" s="3"/>
      <c r="B690" s="40"/>
      <c r="C690" s="41"/>
      <c r="D690" s="40"/>
      <c r="E690" s="41"/>
      <c r="F690" s="42"/>
      <c r="G690" s="41"/>
    </row>
    <row r="691" spans="1:8" x14ac:dyDescent="0.25">
      <c r="A691" s="4" t="s">
        <v>7</v>
      </c>
      <c r="B691" s="33" t="s">
        <v>38</v>
      </c>
      <c r="C691" s="34">
        <v>1</v>
      </c>
      <c r="D691" s="33" t="s">
        <v>375</v>
      </c>
      <c r="E691" s="34">
        <v>2</v>
      </c>
      <c r="F691" s="39" t="s">
        <v>375</v>
      </c>
      <c r="G691" s="38">
        <v>2</v>
      </c>
    </row>
    <row r="692" spans="1:8" x14ac:dyDescent="0.25">
      <c r="A692" s="2"/>
      <c r="B692" s="37" t="s">
        <v>375</v>
      </c>
      <c r="C692" s="38">
        <v>2</v>
      </c>
      <c r="D692" s="37" t="s">
        <v>38</v>
      </c>
      <c r="E692" s="36">
        <v>1</v>
      </c>
      <c r="F692" s="38"/>
      <c r="G692" s="39"/>
    </row>
    <row r="693" spans="1:8" x14ac:dyDescent="0.25">
      <c r="A693" s="3"/>
      <c r="B693" s="40"/>
      <c r="C693" s="41"/>
      <c r="D693" s="40"/>
      <c r="E693" s="41"/>
      <c r="F693" s="42"/>
      <c r="G693" s="41"/>
    </row>
    <row r="694" spans="1:8" x14ac:dyDescent="0.25">
      <c r="A694" s="4" t="s">
        <v>8</v>
      </c>
      <c r="B694" s="33" t="s">
        <v>372</v>
      </c>
      <c r="C694" s="34">
        <v>1</v>
      </c>
      <c r="D694" s="33"/>
      <c r="E694" s="34"/>
      <c r="F694" s="35" t="s">
        <v>617</v>
      </c>
      <c r="G694" s="38">
        <v>4</v>
      </c>
    </row>
    <row r="695" spans="1:8" x14ac:dyDescent="0.25">
      <c r="A695" s="2"/>
      <c r="B695" s="37" t="s">
        <v>876</v>
      </c>
      <c r="C695" s="38">
        <v>2</v>
      </c>
      <c r="D695" s="37"/>
      <c r="E695" s="38"/>
      <c r="F695" s="39"/>
      <c r="G695" s="38"/>
    </row>
    <row r="696" spans="1:8" x14ac:dyDescent="0.25">
      <c r="A696" s="3"/>
      <c r="B696" s="40" t="s">
        <v>877</v>
      </c>
      <c r="C696" s="41">
        <v>3</v>
      </c>
      <c r="D696" s="40"/>
      <c r="E696" s="41"/>
      <c r="F696" s="42"/>
      <c r="G696" s="41"/>
    </row>
    <row r="697" spans="1:8" x14ac:dyDescent="0.25">
      <c r="A697" s="2" t="s">
        <v>9</v>
      </c>
      <c r="B697" s="37" t="s">
        <v>863</v>
      </c>
      <c r="C697" s="38">
        <v>1</v>
      </c>
      <c r="D697" s="37"/>
      <c r="E697" s="38"/>
      <c r="F697" s="39" t="s">
        <v>618</v>
      </c>
      <c r="G697" s="38">
        <v>1</v>
      </c>
    </row>
    <row r="698" spans="1:8" x14ac:dyDescent="0.25">
      <c r="A698" s="2"/>
      <c r="B698" s="37" t="s">
        <v>864</v>
      </c>
      <c r="C698" s="38">
        <v>2</v>
      </c>
      <c r="D698" s="37"/>
      <c r="E698" s="38"/>
      <c r="F698" s="48"/>
      <c r="G698" s="38"/>
    </row>
    <row r="699" spans="1:8" x14ac:dyDescent="0.25">
      <c r="A699" s="3"/>
      <c r="B699" s="40"/>
      <c r="C699" s="41"/>
      <c r="D699" s="40"/>
      <c r="E699" s="41"/>
      <c r="F699" s="42"/>
      <c r="G699" s="41"/>
    </row>
    <row r="700" spans="1:8" x14ac:dyDescent="0.25">
      <c r="A700" s="2" t="s">
        <v>1224</v>
      </c>
      <c r="B700" s="37" t="s">
        <v>1396</v>
      </c>
      <c r="C700" s="38" t="s">
        <v>1074</v>
      </c>
      <c r="D700" s="37" t="s">
        <v>1316</v>
      </c>
      <c r="E700" s="38" t="s">
        <v>1074</v>
      </c>
      <c r="F700" s="37" t="s">
        <v>1316</v>
      </c>
      <c r="G700" s="36" t="s">
        <v>1074</v>
      </c>
      <c r="H700" s="8"/>
    </row>
    <row r="701" spans="1:8" x14ac:dyDescent="0.25">
      <c r="A701" s="2"/>
      <c r="B701" s="44"/>
      <c r="C701" s="38"/>
      <c r="D701" s="37"/>
      <c r="E701" s="38"/>
      <c r="F701" s="39"/>
      <c r="G701" s="36"/>
      <c r="H701" s="8"/>
    </row>
    <row r="702" spans="1:8" x14ac:dyDescent="0.25">
      <c r="A702" s="3"/>
      <c r="B702" s="40"/>
      <c r="C702" s="41"/>
      <c r="D702" s="40"/>
      <c r="E702" s="41"/>
      <c r="F702" s="42"/>
      <c r="G702" s="43"/>
      <c r="H702" s="8"/>
    </row>
    <row r="704" spans="1:8" x14ac:dyDescent="0.25">
      <c r="A704" s="1">
        <v>36</v>
      </c>
      <c r="B704" s="29" t="s">
        <v>1153</v>
      </c>
      <c r="C704" s="30"/>
      <c r="D704" s="29" t="s">
        <v>1218</v>
      </c>
      <c r="E704" s="30"/>
      <c r="F704" s="31" t="s">
        <v>1218</v>
      </c>
      <c r="G704" s="49"/>
    </row>
    <row r="705" spans="1:14" x14ac:dyDescent="0.25">
      <c r="A705" s="4" t="s">
        <v>6</v>
      </c>
      <c r="B705" s="33" t="s">
        <v>371</v>
      </c>
      <c r="C705" s="34">
        <v>1</v>
      </c>
      <c r="D705" s="33" t="s">
        <v>371</v>
      </c>
      <c r="E705" s="34">
        <v>1</v>
      </c>
      <c r="F705" s="35" t="s">
        <v>619</v>
      </c>
      <c r="G705" s="34">
        <v>3</v>
      </c>
      <c r="I705" s="7">
        <v>0.66666666666666674</v>
      </c>
      <c r="J705" s="6">
        <v>1</v>
      </c>
      <c r="K705" s="7">
        <v>1</v>
      </c>
      <c r="L705" s="6">
        <v>0.33333333333333337</v>
      </c>
      <c r="M705" s="7">
        <v>1</v>
      </c>
      <c r="N705" s="7">
        <v>1</v>
      </c>
    </row>
    <row r="706" spans="1:14" x14ac:dyDescent="0.25">
      <c r="A706" s="2"/>
      <c r="B706" s="37" t="s">
        <v>415</v>
      </c>
      <c r="C706" s="38">
        <v>2</v>
      </c>
      <c r="D706" s="37" t="s">
        <v>376</v>
      </c>
      <c r="E706" s="38">
        <v>3</v>
      </c>
      <c r="F706" s="39"/>
      <c r="G706" s="38"/>
    </row>
    <row r="707" spans="1:14" x14ac:dyDescent="0.25">
      <c r="A707" s="3"/>
      <c r="B707" s="40"/>
      <c r="C707" s="41"/>
      <c r="D707" s="40" t="s">
        <v>377</v>
      </c>
      <c r="E707" s="41">
        <v>4</v>
      </c>
      <c r="F707" s="42"/>
      <c r="G707" s="41"/>
    </row>
    <row r="708" spans="1:14" x14ac:dyDescent="0.25">
      <c r="A708" s="4" t="s">
        <v>5</v>
      </c>
      <c r="B708" s="33" t="s">
        <v>378</v>
      </c>
      <c r="C708" s="34">
        <v>1</v>
      </c>
      <c r="D708" s="33" t="s">
        <v>378</v>
      </c>
      <c r="E708" s="34">
        <v>1</v>
      </c>
      <c r="F708" s="35" t="s">
        <v>620</v>
      </c>
      <c r="G708" s="38">
        <v>1</v>
      </c>
    </row>
    <row r="709" spans="1:14" x14ac:dyDescent="0.25">
      <c r="A709" s="2"/>
      <c r="B709" s="37"/>
      <c r="C709" s="38"/>
      <c r="D709" s="37"/>
      <c r="E709" s="38"/>
      <c r="F709" s="37"/>
      <c r="G709" s="38"/>
    </row>
    <row r="710" spans="1:14" x14ac:dyDescent="0.25">
      <c r="A710" s="3"/>
      <c r="B710" s="40"/>
      <c r="C710" s="41"/>
      <c r="D710" s="40"/>
      <c r="E710" s="41"/>
      <c r="F710" s="42"/>
      <c r="G710" s="41"/>
    </row>
    <row r="711" spans="1:14" x14ac:dyDescent="0.25">
      <c r="A711" s="4" t="s">
        <v>7</v>
      </c>
      <c r="B711" s="33" t="s">
        <v>38</v>
      </c>
      <c r="C711" s="34">
        <v>1</v>
      </c>
      <c r="D711" s="33" t="s">
        <v>38</v>
      </c>
      <c r="E711" s="34">
        <v>1</v>
      </c>
      <c r="F711" s="39" t="s">
        <v>613</v>
      </c>
      <c r="G711" s="38" t="s">
        <v>1056</v>
      </c>
    </row>
    <row r="712" spans="1:14" x14ac:dyDescent="0.25">
      <c r="A712" s="2"/>
      <c r="B712" s="37" t="s">
        <v>90</v>
      </c>
      <c r="C712" s="38">
        <v>2</v>
      </c>
      <c r="D712" s="37"/>
      <c r="E712" s="36"/>
      <c r="F712" s="38"/>
      <c r="G712" s="39"/>
    </row>
    <row r="713" spans="1:14" x14ac:dyDescent="0.25">
      <c r="A713" s="3"/>
      <c r="B713" s="40"/>
      <c r="C713" s="41"/>
      <c r="D713" s="40"/>
      <c r="E713" s="41"/>
      <c r="F713" s="42"/>
      <c r="G713" s="41"/>
    </row>
    <row r="714" spans="1:14" x14ac:dyDescent="0.25">
      <c r="A714" s="4" t="s">
        <v>8</v>
      </c>
      <c r="B714" s="33" t="s">
        <v>878</v>
      </c>
      <c r="C714" s="34">
        <v>1</v>
      </c>
      <c r="D714" s="33" t="s">
        <v>379</v>
      </c>
      <c r="E714" s="34">
        <v>4</v>
      </c>
      <c r="F714" s="35" t="s">
        <v>621</v>
      </c>
      <c r="G714" s="38">
        <v>1</v>
      </c>
    </row>
    <row r="715" spans="1:14" x14ac:dyDescent="0.25">
      <c r="A715" s="2"/>
      <c r="B715" s="37" t="s">
        <v>879</v>
      </c>
      <c r="C715" s="38">
        <v>2</v>
      </c>
      <c r="D715" s="37" t="s">
        <v>380</v>
      </c>
      <c r="E715" s="38">
        <v>5</v>
      </c>
      <c r="F715" s="39"/>
      <c r="G715" s="38"/>
    </row>
    <row r="716" spans="1:14" x14ac:dyDescent="0.25">
      <c r="A716" s="3"/>
      <c r="B716" s="40" t="s">
        <v>880</v>
      </c>
      <c r="C716" s="41">
        <v>3</v>
      </c>
      <c r="D716" s="40" t="s">
        <v>381</v>
      </c>
      <c r="E716" s="41">
        <v>6</v>
      </c>
      <c r="F716" s="42"/>
      <c r="G716" s="41"/>
    </row>
    <row r="717" spans="1:14" x14ac:dyDescent="0.25">
      <c r="A717" s="2" t="s">
        <v>9</v>
      </c>
      <c r="B717" s="37" t="s">
        <v>415</v>
      </c>
      <c r="C717" s="38">
        <v>1</v>
      </c>
      <c r="D717" s="37" t="s">
        <v>382</v>
      </c>
      <c r="E717" s="38">
        <v>1</v>
      </c>
      <c r="F717" s="39" t="s">
        <v>415</v>
      </c>
      <c r="G717" s="38">
        <v>1</v>
      </c>
    </row>
    <row r="718" spans="1:14" x14ac:dyDescent="0.25">
      <c r="A718" s="2"/>
      <c r="B718" s="37"/>
      <c r="C718" s="38"/>
      <c r="D718" s="37"/>
      <c r="E718" s="38"/>
      <c r="F718" s="48"/>
      <c r="G718" s="38"/>
    </row>
    <row r="719" spans="1:14" x14ac:dyDescent="0.25">
      <c r="A719" s="3"/>
      <c r="B719" s="40"/>
      <c r="C719" s="41"/>
      <c r="D719" s="40"/>
      <c r="E719" s="41"/>
      <c r="F719" s="42"/>
      <c r="G719" s="41"/>
    </row>
    <row r="720" spans="1:14" x14ac:dyDescent="0.25">
      <c r="A720" s="2" t="s">
        <v>1224</v>
      </c>
      <c r="B720" s="37" t="s">
        <v>415</v>
      </c>
      <c r="C720" s="38" t="s">
        <v>1074</v>
      </c>
      <c r="D720" s="37" t="s">
        <v>1317</v>
      </c>
      <c r="E720" s="38" t="s">
        <v>1074</v>
      </c>
      <c r="F720" s="37" t="s">
        <v>415</v>
      </c>
      <c r="G720" s="36" t="s">
        <v>1074</v>
      </c>
      <c r="H720" s="8"/>
    </row>
    <row r="721" spans="1:14" x14ac:dyDescent="0.25">
      <c r="A721" s="2"/>
      <c r="B721" s="44"/>
      <c r="C721" s="38"/>
      <c r="D721" s="37"/>
      <c r="E721" s="38"/>
      <c r="F721" s="39"/>
      <c r="G721" s="36"/>
      <c r="H721" s="8"/>
    </row>
    <row r="722" spans="1:14" x14ac:dyDescent="0.25">
      <c r="A722" s="3"/>
      <c r="B722" s="40"/>
      <c r="C722" s="41"/>
      <c r="D722" s="40"/>
      <c r="E722" s="41"/>
      <c r="F722" s="42"/>
      <c r="G722" s="43"/>
      <c r="H722" s="8"/>
    </row>
    <row r="724" spans="1:14" x14ac:dyDescent="0.25">
      <c r="A724" s="1">
        <v>37</v>
      </c>
      <c r="B724" s="29" t="s">
        <v>1154</v>
      </c>
      <c r="C724" s="30"/>
      <c r="D724" s="29" t="s">
        <v>1218</v>
      </c>
      <c r="E724" s="30"/>
      <c r="F724" s="31" t="s">
        <v>1218</v>
      </c>
      <c r="G724" s="49"/>
    </row>
    <row r="725" spans="1:14" x14ac:dyDescent="0.25">
      <c r="A725" s="4" t="s">
        <v>6</v>
      </c>
      <c r="B725" s="33" t="s">
        <v>371</v>
      </c>
      <c r="C725" s="34">
        <v>1</v>
      </c>
      <c r="D725" s="33" t="s">
        <v>371</v>
      </c>
      <c r="E725" s="34">
        <v>1</v>
      </c>
      <c r="F725" s="35" t="s">
        <v>622</v>
      </c>
      <c r="G725" s="34">
        <v>6</v>
      </c>
      <c r="I725" s="7">
        <v>0.33333333333333337</v>
      </c>
      <c r="J725" s="6">
        <v>1</v>
      </c>
      <c r="K725" s="7">
        <v>1</v>
      </c>
      <c r="L725" s="6">
        <v>1</v>
      </c>
      <c r="M725" s="7">
        <v>0.33333333333333337</v>
      </c>
      <c r="N725" s="7">
        <v>0.33333333333333337</v>
      </c>
    </row>
    <row r="726" spans="1:14" x14ac:dyDescent="0.25">
      <c r="A726" s="2"/>
      <c r="B726" s="37" t="s">
        <v>615</v>
      </c>
      <c r="C726" s="38">
        <v>2</v>
      </c>
      <c r="D726" s="37" t="s">
        <v>357</v>
      </c>
      <c r="E726" s="38">
        <v>4</v>
      </c>
      <c r="F726" s="39" t="s">
        <v>623</v>
      </c>
      <c r="G726" s="38">
        <v>7</v>
      </c>
    </row>
    <row r="727" spans="1:14" x14ac:dyDescent="0.25">
      <c r="A727" s="3"/>
      <c r="B727" s="40" t="s">
        <v>864</v>
      </c>
      <c r="C727" s="41">
        <v>3</v>
      </c>
      <c r="D727" s="40" t="s">
        <v>383</v>
      </c>
      <c r="E727" s="41">
        <v>5</v>
      </c>
      <c r="F727" s="42"/>
      <c r="G727" s="41"/>
    </row>
    <row r="728" spans="1:14" x14ac:dyDescent="0.25">
      <c r="A728" s="4" t="s">
        <v>5</v>
      </c>
      <c r="B728" s="33" t="s">
        <v>881</v>
      </c>
      <c r="C728" s="34">
        <v>1</v>
      </c>
      <c r="D728" s="33" t="s">
        <v>384</v>
      </c>
      <c r="E728" s="34" t="s">
        <v>1056</v>
      </c>
      <c r="F728" s="35" t="s">
        <v>624</v>
      </c>
      <c r="G728" s="38" t="s">
        <v>1056</v>
      </c>
    </row>
    <row r="729" spans="1:14" x14ac:dyDescent="0.25">
      <c r="A729" s="2"/>
      <c r="B729" s="37" t="s">
        <v>671</v>
      </c>
      <c r="C729" s="38">
        <v>2</v>
      </c>
      <c r="D729" s="37"/>
      <c r="E729" s="38"/>
      <c r="F729" s="37"/>
      <c r="G729" s="38"/>
    </row>
    <row r="730" spans="1:14" x14ac:dyDescent="0.25">
      <c r="A730" s="3"/>
      <c r="B730" s="40"/>
      <c r="C730" s="41"/>
      <c r="D730" s="40"/>
      <c r="E730" s="41"/>
      <c r="F730" s="42"/>
      <c r="G730" s="41"/>
    </row>
    <row r="731" spans="1:14" x14ac:dyDescent="0.25">
      <c r="A731" s="4" t="s">
        <v>7</v>
      </c>
      <c r="B731" s="33" t="s">
        <v>38</v>
      </c>
      <c r="C731" s="34">
        <v>1</v>
      </c>
      <c r="D731" s="33" t="s">
        <v>38</v>
      </c>
      <c r="E731" s="34">
        <v>1</v>
      </c>
      <c r="F731" s="39" t="s">
        <v>625</v>
      </c>
      <c r="G731" s="38" t="s">
        <v>1056</v>
      </c>
    </row>
    <row r="732" spans="1:14" x14ac:dyDescent="0.25">
      <c r="A732" s="2"/>
      <c r="B732" s="37" t="s">
        <v>882</v>
      </c>
      <c r="C732" s="38">
        <v>2</v>
      </c>
      <c r="D732" s="37"/>
      <c r="E732" s="36"/>
      <c r="F732" s="38"/>
      <c r="G732" s="39"/>
    </row>
    <row r="733" spans="1:14" x14ac:dyDescent="0.25">
      <c r="A733" s="3"/>
      <c r="B733" s="40"/>
      <c r="C733" s="41"/>
      <c r="D733" s="40"/>
      <c r="E733" s="41"/>
      <c r="F733" s="42"/>
      <c r="G733" s="41"/>
    </row>
    <row r="734" spans="1:14" x14ac:dyDescent="0.25">
      <c r="A734" s="4" t="s">
        <v>8</v>
      </c>
      <c r="B734" s="33" t="s">
        <v>883</v>
      </c>
      <c r="C734" s="34">
        <v>1</v>
      </c>
      <c r="D734" s="33" t="s">
        <v>385</v>
      </c>
      <c r="E734" s="34">
        <v>1</v>
      </c>
      <c r="F734" s="35" t="s">
        <v>626</v>
      </c>
      <c r="G734" s="38">
        <v>3</v>
      </c>
    </row>
    <row r="735" spans="1:14" x14ac:dyDescent="0.25">
      <c r="A735" s="2"/>
      <c r="B735" s="37" t="s">
        <v>884</v>
      </c>
      <c r="C735" s="38">
        <v>2</v>
      </c>
      <c r="D735" s="37" t="s">
        <v>386</v>
      </c>
      <c r="E735" s="38">
        <v>3</v>
      </c>
      <c r="F735" s="39" t="s">
        <v>627</v>
      </c>
      <c r="G735" s="38">
        <v>4</v>
      </c>
    </row>
    <row r="736" spans="1:14" x14ac:dyDescent="0.25">
      <c r="A736" s="3"/>
      <c r="B736" s="40" t="s">
        <v>626</v>
      </c>
      <c r="C736" s="41">
        <v>3</v>
      </c>
      <c r="D736" s="40"/>
      <c r="E736" s="41"/>
      <c r="F736" s="42"/>
      <c r="G736" s="41"/>
    </row>
    <row r="737" spans="1:14" x14ac:dyDescent="0.25">
      <c r="A737" s="2" t="s">
        <v>9</v>
      </c>
      <c r="B737" s="37" t="s">
        <v>885</v>
      </c>
      <c r="C737" s="38">
        <v>1</v>
      </c>
      <c r="D737" s="37" t="s">
        <v>387</v>
      </c>
      <c r="E737" s="38">
        <v>4</v>
      </c>
      <c r="F737" s="39" t="s">
        <v>628</v>
      </c>
      <c r="G737" s="38">
        <v>2</v>
      </c>
    </row>
    <row r="738" spans="1:14" x14ac:dyDescent="0.25">
      <c r="A738" s="2"/>
      <c r="B738" s="37" t="s">
        <v>886</v>
      </c>
      <c r="C738" s="38">
        <v>2</v>
      </c>
      <c r="D738" s="37"/>
      <c r="E738" s="38"/>
      <c r="F738" s="48"/>
      <c r="G738" s="38"/>
    </row>
    <row r="739" spans="1:14" x14ac:dyDescent="0.25">
      <c r="A739" s="3"/>
      <c r="B739" s="40" t="s">
        <v>875</v>
      </c>
      <c r="C739" s="41">
        <v>3</v>
      </c>
      <c r="D739" s="40"/>
      <c r="E739" s="41"/>
      <c r="F739" s="42"/>
      <c r="G739" s="41"/>
    </row>
    <row r="740" spans="1:14" x14ac:dyDescent="0.25">
      <c r="A740" s="2" t="s">
        <v>1224</v>
      </c>
      <c r="B740" s="37" t="s">
        <v>1259</v>
      </c>
      <c r="C740" s="38" t="s">
        <v>1072</v>
      </c>
      <c r="D740" s="37" t="s">
        <v>1318</v>
      </c>
      <c r="E740" s="38" t="s">
        <v>1074</v>
      </c>
      <c r="F740" s="39" t="s">
        <v>874</v>
      </c>
      <c r="G740" s="36" t="s">
        <v>1074</v>
      </c>
      <c r="H740" s="8"/>
    </row>
    <row r="741" spans="1:14" x14ac:dyDescent="0.25">
      <c r="A741" s="2"/>
      <c r="B741" s="44"/>
      <c r="C741" s="38"/>
      <c r="D741" s="37"/>
      <c r="E741" s="38"/>
      <c r="F741" s="39"/>
      <c r="G741" s="36"/>
      <c r="H741" s="8"/>
    </row>
    <row r="742" spans="1:14" x14ac:dyDescent="0.25">
      <c r="A742" s="3"/>
      <c r="B742" s="40"/>
      <c r="C742" s="41"/>
      <c r="D742" s="40"/>
      <c r="E742" s="41"/>
      <c r="F742" s="42"/>
      <c r="G742" s="43"/>
      <c r="H742" s="8"/>
    </row>
    <row r="744" spans="1:14" x14ac:dyDescent="0.25">
      <c r="A744" s="1">
        <v>38</v>
      </c>
      <c r="B744" s="29" t="s">
        <v>1155</v>
      </c>
      <c r="C744" s="30"/>
      <c r="D744" s="29" t="s">
        <v>1218</v>
      </c>
      <c r="E744" s="30"/>
      <c r="F744" s="31" t="s">
        <v>1218</v>
      </c>
      <c r="G744" s="49"/>
    </row>
    <row r="745" spans="1:14" x14ac:dyDescent="0.25">
      <c r="A745" s="4" t="s">
        <v>6</v>
      </c>
      <c r="B745" s="33" t="s">
        <v>630</v>
      </c>
      <c r="C745" s="34">
        <v>1</v>
      </c>
      <c r="D745" s="33" t="s">
        <v>388</v>
      </c>
      <c r="E745" s="34">
        <v>1</v>
      </c>
      <c r="F745" s="35" t="s">
        <v>611</v>
      </c>
      <c r="G745" s="34">
        <v>1</v>
      </c>
      <c r="I745" s="7">
        <v>1</v>
      </c>
      <c r="J745" s="6">
        <v>1</v>
      </c>
      <c r="K745" s="7">
        <v>1</v>
      </c>
      <c r="L745" s="6">
        <v>1</v>
      </c>
      <c r="M745" s="7">
        <v>0</v>
      </c>
      <c r="N745" s="7">
        <v>0</v>
      </c>
    </row>
    <row r="746" spans="1:14" x14ac:dyDescent="0.25">
      <c r="A746" s="2"/>
      <c r="B746" s="37" t="s">
        <v>887</v>
      </c>
      <c r="C746" s="38">
        <v>2</v>
      </c>
      <c r="D746" s="37" t="s">
        <v>389</v>
      </c>
      <c r="E746" s="38">
        <v>3</v>
      </c>
      <c r="F746" s="39" t="s">
        <v>623</v>
      </c>
      <c r="G746" s="38">
        <v>1</v>
      </c>
    </row>
    <row r="747" spans="1:14" x14ac:dyDescent="0.25">
      <c r="A747" s="3"/>
      <c r="B747" s="40"/>
      <c r="C747" s="41"/>
      <c r="D747" s="40"/>
      <c r="E747" s="41"/>
      <c r="F747" s="42"/>
      <c r="G747" s="41"/>
    </row>
    <row r="748" spans="1:14" x14ac:dyDescent="0.25">
      <c r="A748" s="4" t="s">
        <v>5</v>
      </c>
      <c r="B748" s="33" t="s">
        <v>37</v>
      </c>
      <c r="C748" s="34">
        <v>1</v>
      </c>
      <c r="D748" s="33" t="s">
        <v>174</v>
      </c>
      <c r="E748" s="34">
        <v>1</v>
      </c>
      <c r="F748" s="35" t="s">
        <v>174</v>
      </c>
      <c r="G748" s="38">
        <v>1</v>
      </c>
    </row>
    <row r="749" spans="1:14" x14ac:dyDescent="0.25">
      <c r="A749" s="2"/>
      <c r="B749" s="37" t="s">
        <v>888</v>
      </c>
      <c r="C749" s="38">
        <v>1</v>
      </c>
      <c r="D749" s="37" t="s">
        <v>390</v>
      </c>
      <c r="E749" s="38">
        <v>2</v>
      </c>
      <c r="F749" s="37"/>
      <c r="G749" s="38"/>
    </row>
    <row r="750" spans="1:14" x14ac:dyDescent="0.25">
      <c r="A750" s="3"/>
      <c r="B750" s="40" t="s">
        <v>889</v>
      </c>
      <c r="C750" s="41">
        <v>2</v>
      </c>
      <c r="D750" s="40"/>
      <c r="E750" s="41"/>
      <c r="F750" s="42"/>
      <c r="G750" s="41"/>
    </row>
    <row r="751" spans="1:14" x14ac:dyDescent="0.25">
      <c r="A751" s="4" t="s">
        <v>7</v>
      </c>
      <c r="B751" s="33" t="s">
        <v>45</v>
      </c>
      <c r="C751" s="34">
        <v>1</v>
      </c>
      <c r="D751" s="33" t="s">
        <v>391</v>
      </c>
      <c r="E751" s="34">
        <v>3</v>
      </c>
      <c r="F751" s="39" t="s">
        <v>38</v>
      </c>
      <c r="G751" s="38">
        <v>3</v>
      </c>
    </row>
    <row r="752" spans="1:14" x14ac:dyDescent="0.25">
      <c r="A752" s="2"/>
      <c r="B752" s="37" t="s">
        <v>890</v>
      </c>
      <c r="C752" s="38">
        <v>2</v>
      </c>
      <c r="D752" s="37"/>
      <c r="E752" s="36"/>
      <c r="F752" s="38"/>
      <c r="G752" s="39"/>
    </row>
    <row r="753" spans="1:14" x14ac:dyDescent="0.25">
      <c r="A753" s="3"/>
      <c r="B753" s="40" t="s">
        <v>891</v>
      </c>
      <c r="C753" s="41">
        <v>3</v>
      </c>
      <c r="D753" s="40"/>
      <c r="E753" s="41"/>
      <c r="F753" s="42"/>
      <c r="G753" s="41"/>
    </row>
    <row r="754" spans="1:14" x14ac:dyDescent="0.25">
      <c r="A754" s="4" t="s">
        <v>8</v>
      </c>
      <c r="B754" s="33" t="s">
        <v>85</v>
      </c>
      <c r="C754" s="34">
        <v>1</v>
      </c>
      <c r="D754" s="33" t="s">
        <v>392</v>
      </c>
      <c r="E754" s="34">
        <v>3</v>
      </c>
      <c r="F754" s="35" t="s">
        <v>85</v>
      </c>
      <c r="G754" s="38">
        <v>1</v>
      </c>
    </row>
    <row r="755" spans="1:14" x14ac:dyDescent="0.25">
      <c r="A755" s="2"/>
      <c r="B755" s="37" t="s">
        <v>892</v>
      </c>
      <c r="C755" s="38">
        <v>2</v>
      </c>
      <c r="D755" s="37" t="s">
        <v>393</v>
      </c>
      <c r="E755" s="38">
        <v>4</v>
      </c>
      <c r="F755" s="39" t="s">
        <v>629</v>
      </c>
      <c r="G755" s="38">
        <v>2</v>
      </c>
    </row>
    <row r="756" spans="1:14" x14ac:dyDescent="0.25">
      <c r="A756" s="3"/>
      <c r="B756" s="40" t="s">
        <v>392</v>
      </c>
      <c r="C756" s="41">
        <v>3</v>
      </c>
      <c r="D756" s="40" t="s">
        <v>394</v>
      </c>
      <c r="E756" s="41">
        <v>5</v>
      </c>
      <c r="F756" s="42"/>
      <c r="G756" s="41"/>
    </row>
    <row r="757" spans="1:14" x14ac:dyDescent="0.25">
      <c r="A757" s="2" t="s">
        <v>9</v>
      </c>
      <c r="B757" s="37"/>
      <c r="C757" s="38">
        <v>1</v>
      </c>
      <c r="E757" s="38"/>
      <c r="F757" s="39" t="s">
        <v>630</v>
      </c>
      <c r="G757" s="38">
        <v>2</v>
      </c>
    </row>
    <row r="758" spans="1:14" x14ac:dyDescent="0.25">
      <c r="A758" s="2"/>
      <c r="B758" s="37"/>
      <c r="C758" s="38"/>
      <c r="D758" s="37"/>
      <c r="E758" s="38"/>
      <c r="F758" s="48"/>
      <c r="G758" s="38"/>
    </row>
    <row r="759" spans="1:14" x14ac:dyDescent="0.25">
      <c r="A759" s="3"/>
      <c r="B759" s="40"/>
      <c r="C759" s="41"/>
      <c r="D759" s="40"/>
      <c r="E759" s="41"/>
      <c r="F759" s="42"/>
      <c r="G759" s="41"/>
    </row>
    <row r="760" spans="1:14" x14ac:dyDescent="0.25">
      <c r="A760" s="2" t="s">
        <v>1224</v>
      </c>
      <c r="B760" s="37" t="s">
        <v>1260</v>
      </c>
      <c r="C760" s="38" t="s">
        <v>1074</v>
      </c>
      <c r="D760" s="37" t="s">
        <v>1260</v>
      </c>
      <c r="E760" s="38" t="s">
        <v>1074</v>
      </c>
      <c r="F760" s="37" t="s">
        <v>1260</v>
      </c>
      <c r="G760" s="36" t="s">
        <v>1074</v>
      </c>
      <c r="H760" s="8"/>
    </row>
    <row r="761" spans="1:14" x14ac:dyDescent="0.25">
      <c r="A761" s="2"/>
      <c r="B761" s="44"/>
      <c r="C761" s="38"/>
      <c r="D761" s="37"/>
      <c r="E761" s="38"/>
      <c r="F761" s="39"/>
      <c r="G761" s="36"/>
      <c r="H761" s="8"/>
    </row>
    <row r="762" spans="1:14" x14ac:dyDescent="0.25">
      <c r="A762" s="3"/>
      <c r="B762" s="40"/>
      <c r="C762" s="41"/>
      <c r="D762" s="40"/>
      <c r="E762" s="41"/>
      <c r="F762" s="42"/>
      <c r="G762" s="43"/>
      <c r="H762" s="8"/>
    </row>
    <row r="764" spans="1:14" x14ac:dyDescent="0.25">
      <c r="A764" s="1">
        <v>39</v>
      </c>
      <c r="B764" s="29" t="s">
        <v>1156</v>
      </c>
      <c r="C764" s="30"/>
      <c r="D764" s="29" t="s">
        <v>1218</v>
      </c>
      <c r="E764" s="30"/>
      <c r="F764" s="31" t="s">
        <v>1218</v>
      </c>
      <c r="G764" s="49"/>
    </row>
    <row r="765" spans="1:14" x14ac:dyDescent="0.25">
      <c r="A765" s="4" t="s">
        <v>6</v>
      </c>
      <c r="B765" s="33" t="s">
        <v>630</v>
      </c>
      <c r="C765" s="34">
        <v>1</v>
      </c>
      <c r="D765" s="37" t="s">
        <v>395</v>
      </c>
      <c r="E765" s="34">
        <v>1</v>
      </c>
      <c r="F765" s="35" t="s">
        <v>622</v>
      </c>
      <c r="G765" s="34">
        <v>3</v>
      </c>
      <c r="I765" s="7">
        <v>0.66666666666666674</v>
      </c>
      <c r="J765" s="6">
        <v>1</v>
      </c>
      <c r="K765" s="7">
        <v>1</v>
      </c>
      <c r="L765" s="6">
        <v>0.33333333333333337</v>
      </c>
      <c r="M765" s="7">
        <v>0.33333333333333337</v>
      </c>
      <c r="N765" s="7">
        <v>0.33333333333333337</v>
      </c>
    </row>
    <row r="766" spans="1:14" x14ac:dyDescent="0.25">
      <c r="A766" s="2"/>
      <c r="B766" s="37" t="s">
        <v>887</v>
      </c>
      <c r="C766" s="38">
        <v>1</v>
      </c>
      <c r="D766" s="37" t="s">
        <v>396</v>
      </c>
      <c r="E766" s="38">
        <v>2</v>
      </c>
      <c r="F766" s="39" t="s">
        <v>623</v>
      </c>
      <c r="G766" s="38">
        <v>3</v>
      </c>
    </row>
    <row r="767" spans="1:14" x14ac:dyDescent="0.25">
      <c r="A767" s="3"/>
      <c r="B767" s="40" t="s">
        <v>893</v>
      </c>
      <c r="C767" s="41">
        <v>1</v>
      </c>
      <c r="D767" s="40"/>
      <c r="E767" s="41"/>
      <c r="F767" s="42" t="s">
        <v>631</v>
      </c>
      <c r="G767" s="41">
        <v>2</v>
      </c>
    </row>
    <row r="768" spans="1:14" x14ac:dyDescent="0.25">
      <c r="A768" s="4" t="s">
        <v>5</v>
      </c>
      <c r="B768" s="33" t="s">
        <v>632</v>
      </c>
      <c r="C768" s="34">
        <v>1</v>
      </c>
      <c r="D768" s="33" t="s">
        <v>397</v>
      </c>
      <c r="E768" s="34">
        <v>1</v>
      </c>
      <c r="F768" s="35" t="s">
        <v>632</v>
      </c>
      <c r="G768" s="38">
        <v>1</v>
      </c>
    </row>
    <row r="769" spans="1:8" x14ac:dyDescent="0.25">
      <c r="A769" s="2"/>
      <c r="B769" s="37"/>
      <c r="C769" s="38"/>
      <c r="D769" s="37" t="s">
        <v>398</v>
      </c>
      <c r="E769" s="38">
        <v>2</v>
      </c>
      <c r="F769" s="37"/>
      <c r="G769" s="38"/>
    </row>
    <row r="770" spans="1:8" x14ac:dyDescent="0.25">
      <c r="A770" s="3"/>
      <c r="B770" s="40"/>
      <c r="C770" s="41"/>
      <c r="D770" s="40"/>
      <c r="E770" s="41"/>
      <c r="F770" s="42"/>
      <c r="G770" s="41"/>
    </row>
    <row r="771" spans="1:8" x14ac:dyDescent="0.25">
      <c r="A771" s="4" t="s">
        <v>7</v>
      </c>
      <c r="B771" s="33" t="s">
        <v>38</v>
      </c>
      <c r="C771" s="34">
        <v>1</v>
      </c>
      <c r="D771" s="33" t="s">
        <v>38</v>
      </c>
      <c r="E771" s="34">
        <v>1</v>
      </c>
      <c r="F771" s="39" t="s">
        <v>38</v>
      </c>
      <c r="G771" s="38">
        <v>1</v>
      </c>
    </row>
    <row r="772" spans="1:8" x14ac:dyDescent="0.25">
      <c r="A772" s="2"/>
      <c r="B772" s="37" t="s">
        <v>894</v>
      </c>
      <c r="C772" s="38">
        <v>2</v>
      </c>
      <c r="D772" s="37" t="s">
        <v>399</v>
      </c>
      <c r="E772" s="36">
        <v>2</v>
      </c>
      <c r="F772" s="38"/>
      <c r="G772" s="39"/>
    </row>
    <row r="773" spans="1:8" x14ac:dyDescent="0.25">
      <c r="A773" s="3"/>
      <c r="B773" s="40" t="s">
        <v>45</v>
      </c>
      <c r="C773" s="41">
        <v>3</v>
      </c>
      <c r="D773" s="40" t="s">
        <v>400</v>
      </c>
      <c r="E773" s="41">
        <v>2</v>
      </c>
      <c r="G773" s="41"/>
    </row>
    <row r="774" spans="1:8" x14ac:dyDescent="0.25">
      <c r="A774" s="4" t="s">
        <v>8</v>
      </c>
      <c r="B774" s="33" t="s">
        <v>633</v>
      </c>
      <c r="C774" s="34">
        <v>1</v>
      </c>
      <c r="D774" s="33" t="s">
        <v>380</v>
      </c>
      <c r="E774" s="34">
        <v>4</v>
      </c>
      <c r="F774" s="35" t="s">
        <v>633</v>
      </c>
      <c r="G774" s="38">
        <v>1</v>
      </c>
    </row>
    <row r="775" spans="1:8" x14ac:dyDescent="0.25">
      <c r="A775" s="2"/>
      <c r="B775" s="37" t="s">
        <v>884</v>
      </c>
      <c r="C775" s="38">
        <v>2</v>
      </c>
      <c r="D775" s="37"/>
      <c r="E775" s="38"/>
      <c r="F775" s="39" t="s">
        <v>634</v>
      </c>
      <c r="G775" s="38">
        <v>2</v>
      </c>
    </row>
    <row r="776" spans="1:8" x14ac:dyDescent="0.25">
      <c r="A776" s="3"/>
      <c r="B776" s="40" t="s">
        <v>873</v>
      </c>
      <c r="C776" s="41">
        <v>3</v>
      </c>
      <c r="D776" s="40"/>
      <c r="E776" s="41"/>
      <c r="F776" s="42" t="s">
        <v>301</v>
      </c>
      <c r="G776" s="41">
        <v>5</v>
      </c>
    </row>
    <row r="777" spans="1:8" x14ac:dyDescent="0.25">
      <c r="A777" s="2" t="s">
        <v>9</v>
      </c>
      <c r="B777" s="37"/>
      <c r="C777" s="38"/>
      <c r="D777" s="37"/>
      <c r="E777" s="38"/>
      <c r="F777" s="39" t="s">
        <v>635</v>
      </c>
      <c r="G777" s="38">
        <v>1</v>
      </c>
    </row>
    <row r="778" spans="1:8" x14ac:dyDescent="0.25">
      <c r="A778" s="2"/>
      <c r="B778" s="37"/>
      <c r="C778" s="38"/>
      <c r="D778" s="37"/>
      <c r="E778" s="38"/>
      <c r="F778" s="48"/>
      <c r="G778" s="38"/>
    </row>
    <row r="779" spans="1:8" x14ac:dyDescent="0.25">
      <c r="A779" s="3"/>
      <c r="B779" s="40"/>
      <c r="C779" s="41"/>
      <c r="D779" s="40"/>
      <c r="E779" s="41"/>
      <c r="F779" s="42"/>
      <c r="G779" s="41"/>
    </row>
    <row r="780" spans="1:8" x14ac:dyDescent="0.25">
      <c r="A780" s="2" t="s">
        <v>1224</v>
      </c>
      <c r="B780" s="37" t="s">
        <v>1260</v>
      </c>
      <c r="C780" s="38" t="s">
        <v>1074</v>
      </c>
      <c r="D780" s="37" t="s">
        <v>1260</v>
      </c>
      <c r="E780" s="38" t="s">
        <v>1074</v>
      </c>
      <c r="F780" s="37" t="s">
        <v>1260</v>
      </c>
      <c r="G780" s="36" t="s">
        <v>1074</v>
      </c>
      <c r="H780" s="8"/>
    </row>
    <row r="781" spans="1:8" x14ac:dyDescent="0.25">
      <c r="A781" s="2"/>
      <c r="B781" s="44"/>
      <c r="C781" s="38"/>
      <c r="D781" s="37"/>
      <c r="E781" s="38"/>
      <c r="F781" s="39"/>
      <c r="G781" s="36"/>
      <c r="H781" s="8"/>
    </row>
    <row r="782" spans="1:8" x14ac:dyDescent="0.25">
      <c r="A782" s="3"/>
      <c r="B782" s="40"/>
      <c r="C782" s="41"/>
      <c r="D782" s="40"/>
      <c r="E782" s="41"/>
      <c r="F782" s="42"/>
      <c r="G782" s="43"/>
      <c r="H782" s="8"/>
    </row>
    <row r="784" spans="1:8" x14ac:dyDescent="0.25">
      <c r="A784" s="1">
        <v>40</v>
      </c>
      <c r="B784" s="29" t="s">
        <v>1157</v>
      </c>
      <c r="C784" s="30"/>
      <c r="D784" s="29" t="s">
        <v>1218</v>
      </c>
      <c r="E784" s="30"/>
      <c r="F784" s="31" t="s">
        <v>1218</v>
      </c>
      <c r="G784" s="49"/>
    </row>
    <row r="785" spans="1:14" x14ac:dyDescent="0.25">
      <c r="A785" s="4" t="s">
        <v>6</v>
      </c>
      <c r="B785" s="33" t="s">
        <v>895</v>
      </c>
      <c r="C785" s="34">
        <v>1</v>
      </c>
      <c r="D785" s="33" t="s">
        <v>401</v>
      </c>
      <c r="E785" s="34">
        <v>2</v>
      </c>
      <c r="F785" s="35" t="s">
        <v>636</v>
      </c>
      <c r="G785" s="34">
        <v>2</v>
      </c>
      <c r="I785" s="7">
        <v>0.33333333333333337</v>
      </c>
      <c r="J785" s="6">
        <v>0.33333333333333337</v>
      </c>
      <c r="K785" s="7">
        <v>0.33333333333333337</v>
      </c>
      <c r="L785" s="6">
        <v>1</v>
      </c>
      <c r="M785" s="7">
        <v>0</v>
      </c>
      <c r="N785" s="7">
        <v>0</v>
      </c>
    </row>
    <row r="786" spans="1:14" x14ac:dyDescent="0.25">
      <c r="A786" s="2"/>
      <c r="B786" s="37"/>
      <c r="C786" s="38"/>
      <c r="D786" s="37" t="s">
        <v>357</v>
      </c>
      <c r="E786" s="38">
        <v>3</v>
      </c>
      <c r="F786" s="39"/>
      <c r="G786" s="38"/>
    </row>
    <row r="787" spans="1:14" x14ac:dyDescent="0.25">
      <c r="A787" s="3"/>
      <c r="B787" s="40"/>
      <c r="C787" s="41"/>
      <c r="D787" s="40"/>
      <c r="E787" s="41"/>
      <c r="F787" s="42"/>
      <c r="G787" s="41"/>
    </row>
    <row r="788" spans="1:14" x14ac:dyDescent="0.25">
      <c r="A788" s="4" t="s">
        <v>5</v>
      </c>
      <c r="B788" s="33" t="s">
        <v>37</v>
      </c>
      <c r="C788" s="34">
        <v>1</v>
      </c>
      <c r="D788" s="33"/>
      <c r="E788" s="34"/>
      <c r="F788" s="35" t="s">
        <v>37</v>
      </c>
      <c r="G788" s="38">
        <v>1</v>
      </c>
    </row>
    <row r="789" spans="1:14" x14ac:dyDescent="0.25">
      <c r="A789" s="2"/>
      <c r="B789" s="37" t="s">
        <v>896</v>
      </c>
      <c r="C789" s="38">
        <v>2</v>
      </c>
      <c r="D789" s="37"/>
      <c r="E789" s="38"/>
      <c r="F789" s="37"/>
      <c r="G789" s="38"/>
    </row>
    <row r="790" spans="1:14" x14ac:dyDescent="0.25">
      <c r="A790" s="3"/>
      <c r="B790" s="40"/>
      <c r="C790" s="41"/>
      <c r="D790" s="40"/>
      <c r="E790" s="41"/>
      <c r="F790" s="42"/>
      <c r="G790" s="41"/>
    </row>
    <row r="791" spans="1:14" x14ac:dyDescent="0.25">
      <c r="A791" s="4" t="s">
        <v>7</v>
      </c>
      <c r="B791" s="33" t="s">
        <v>38</v>
      </c>
      <c r="C791" s="34">
        <v>1</v>
      </c>
      <c r="D791" s="33"/>
      <c r="E791" s="34"/>
      <c r="F791" s="39" t="s">
        <v>38</v>
      </c>
      <c r="G791" s="38">
        <v>2</v>
      </c>
    </row>
    <row r="792" spans="1:14" x14ac:dyDescent="0.25">
      <c r="A792" s="2"/>
      <c r="B792" s="51" t="s">
        <v>897</v>
      </c>
      <c r="C792" s="38">
        <v>2</v>
      </c>
      <c r="D792" s="37"/>
      <c r="E792" s="36"/>
      <c r="F792" s="38"/>
      <c r="G792" s="39"/>
    </row>
    <row r="793" spans="1:14" x14ac:dyDescent="0.25">
      <c r="A793" s="3"/>
      <c r="B793" s="40"/>
      <c r="C793" s="41"/>
      <c r="D793" s="40"/>
      <c r="E793" s="41"/>
      <c r="F793" s="42"/>
      <c r="G793" s="41"/>
    </row>
    <row r="794" spans="1:14" x14ac:dyDescent="0.25">
      <c r="A794" s="4" t="s">
        <v>8</v>
      </c>
      <c r="B794" s="33" t="s">
        <v>360</v>
      </c>
      <c r="C794" s="34">
        <v>1</v>
      </c>
      <c r="D794" s="33" t="s">
        <v>402</v>
      </c>
      <c r="E794" s="34">
        <v>2</v>
      </c>
      <c r="F794" s="35" t="s">
        <v>402</v>
      </c>
      <c r="G794" s="38">
        <v>2</v>
      </c>
    </row>
    <row r="795" spans="1:14" x14ac:dyDescent="0.25">
      <c r="A795" s="2"/>
      <c r="B795" s="37" t="s">
        <v>402</v>
      </c>
      <c r="C795" s="38">
        <v>2</v>
      </c>
      <c r="D795" s="37" t="s">
        <v>360</v>
      </c>
      <c r="E795" s="38">
        <v>1</v>
      </c>
      <c r="F795" s="39"/>
      <c r="G795" s="38"/>
    </row>
    <row r="796" spans="1:14" x14ac:dyDescent="0.25">
      <c r="A796" s="3"/>
      <c r="B796" s="40" t="s">
        <v>898</v>
      </c>
      <c r="C796" s="41">
        <v>3</v>
      </c>
      <c r="D796" s="40"/>
      <c r="E796" s="41"/>
      <c r="F796" s="42"/>
      <c r="G796" s="41"/>
    </row>
    <row r="797" spans="1:14" x14ac:dyDescent="0.25">
      <c r="A797" s="2" t="s">
        <v>9</v>
      </c>
      <c r="B797" s="37" t="s">
        <v>363</v>
      </c>
      <c r="C797" s="38">
        <v>1</v>
      </c>
      <c r="D797" s="37" t="s">
        <v>403</v>
      </c>
      <c r="E797" s="38">
        <v>4</v>
      </c>
      <c r="F797" s="39" t="s">
        <v>637</v>
      </c>
      <c r="G797" s="38">
        <v>6</v>
      </c>
    </row>
    <row r="798" spans="1:14" x14ac:dyDescent="0.25">
      <c r="A798" s="2"/>
      <c r="B798" s="37" t="s">
        <v>899</v>
      </c>
      <c r="C798" s="38">
        <v>2</v>
      </c>
      <c r="D798" s="37" t="s">
        <v>404</v>
      </c>
      <c r="E798" s="38">
        <v>5</v>
      </c>
      <c r="F798" s="48"/>
      <c r="G798" s="38"/>
    </row>
    <row r="799" spans="1:14" x14ac:dyDescent="0.25">
      <c r="A799" s="3"/>
      <c r="B799" s="40" t="s">
        <v>900</v>
      </c>
      <c r="C799" s="41">
        <v>3</v>
      </c>
      <c r="D799" s="40"/>
      <c r="E799" s="41"/>
      <c r="F799" s="42"/>
      <c r="G799" s="41"/>
    </row>
    <row r="800" spans="1:14" x14ac:dyDescent="0.25">
      <c r="A800" s="2" t="s">
        <v>1224</v>
      </c>
      <c r="B800" s="37" t="s">
        <v>1320</v>
      </c>
      <c r="C800" s="38" t="s">
        <v>1074</v>
      </c>
      <c r="D800" s="37" t="s">
        <v>1319</v>
      </c>
      <c r="E800" s="38" t="s">
        <v>1074</v>
      </c>
      <c r="F800" s="39" t="s">
        <v>1319</v>
      </c>
      <c r="G800" s="36" t="s">
        <v>1074</v>
      </c>
      <c r="H800" s="8"/>
    </row>
    <row r="801" spans="1:14" x14ac:dyDescent="0.25">
      <c r="A801" s="2"/>
      <c r="B801" s="44"/>
      <c r="C801" s="38"/>
      <c r="D801" s="37"/>
      <c r="E801" s="38"/>
      <c r="F801" s="39"/>
      <c r="G801" s="36"/>
      <c r="H801" s="8"/>
    </row>
    <row r="802" spans="1:14" x14ac:dyDescent="0.25">
      <c r="A802" s="3"/>
      <c r="B802" s="40"/>
      <c r="C802" s="41"/>
      <c r="D802" s="40"/>
      <c r="E802" s="41"/>
      <c r="F802" s="42"/>
      <c r="G802" s="43"/>
      <c r="H802" s="8"/>
    </row>
    <row r="804" spans="1:14" x14ac:dyDescent="0.25">
      <c r="A804" s="1">
        <v>41</v>
      </c>
      <c r="B804" s="29" t="s">
        <v>1158</v>
      </c>
      <c r="C804" s="30"/>
      <c r="D804" s="29" t="s">
        <v>1218</v>
      </c>
      <c r="E804" s="30"/>
      <c r="F804" s="31" t="s">
        <v>1218</v>
      </c>
      <c r="G804" s="49"/>
    </row>
    <row r="805" spans="1:14" x14ac:dyDescent="0.25">
      <c r="A805" s="4" t="s">
        <v>6</v>
      </c>
      <c r="B805" s="33" t="s">
        <v>887</v>
      </c>
      <c r="C805" s="34">
        <v>1</v>
      </c>
      <c r="D805" s="33" t="s">
        <v>405</v>
      </c>
      <c r="E805" s="34">
        <v>4</v>
      </c>
      <c r="F805" s="35" t="s">
        <v>606</v>
      </c>
      <c r="G805" s="34">
        <v>5</v>
      </c>
      <c r="I805" s="7">
        <v>0.33333333333333337</v>
      </c>
      <c r="J805" s="6">
        <v>1</v>
      </c>
      <c r="K805" s="7">
        <v>1</v>
      </c>
      <c r="L805" s="6">
        <v>1</v>
      </c>
      <c r="M805" s="7">
        <v>1</v>
      </c>
      <c r="N805" s="7">
        <v>1</v>
      </c>
    </row>
    <row r="806" spans="1:14" x14ac:dyDescent="0.25">
      <c r="A806" s="2"/>
      <c r="B806" s="37" t="s">
        <v>845</v>
      </c>
      <c r="C806" s="38">
        <v>2</v>
      </c>
      <c r="D806" s="37" t="s">
        <v>357</v>
      </c>
      <c r="E806" s="38">
        <v>5</v>
      </c>
      <c r="F806" s="39" t="s">
        <v>638</v>
      </c>
      <c r="G806" s="38">
        <v>6</v>
      </c>
    </row>
    <row r="807" spans="1:14" x14ac:dyDescent="0.25">
      <c r="A807" s="3"/>
      <c r="B807" s="40" t="s">
        <v>901</v>
      </c>
      <c r="C807" s="41">
        <v>3</v>
      </c>
      <c r="D807" s="40"/>
      <c r="E807" s="41"/>
      <c r="F807" s="42" t="s">
        <v>639</v>
      </c>
      <c r="G807" s="41">
        <v>7</v>
      </c>
    </row>
    <row r="808" spans="1:14" x14ac:dyDescent="0.25">
      <c r="A808" s="4" t="s">
        <v>5</v>
      </c>
      <c r="B808" s="33" t="s">
        <v>174</v>
      </c>
      <c r="C808" s="34">
        <v>1</v>
      </c>
      <c r="D808" s="33" t="s">
        <v>406</v>
      </c>
      <c r="E808" s="34">
        <v>1</v>
      </c>
      <c r="F808" s="35" t="s">
        <v>174</v>
      </c>
      <c r="G808" s="38">
        <v>1</v>
      </c>
    </row>
    <row r="809" spans="1:14" x14ac:dyDescent="0.25">
      <c r="A809" s="2"/>
      <c r="B809" s="37" t="s">
        <v>902</v>
      </c>
      <c r="C809" s="38">
        <v>1</v>
      </c>
      <c r="D809" s="37"/>
      <c r="E809" s="38"/>
      <c r="F809" s="37"/>
      <c r="G809" s="38"/>
    </row>
    <row r="810" spans="1:14" x14ac:dyDescent="0.25">
      <c r="A810" s="3"/>
      <c r="B810" s="40"/>
      <c r="C810" s="41"/>
      <c r="D810" s="40"/>
      <c r="E810" s="41"/>
      <c r="F810" s="42"/>
      <c r="G810" s="41"/>
    </row>
    <row r="811" spans="1:14" x14ac:dyDescent="0.25">
      <c r="A811" s="4" t="s">
        <v>7</v>
      </c>
      <c r="B811" s="33" t="s">
        <v>38</v>
      </c>
      <c r="C811" s="34">
        <v>1</v>
      </c>
      <c r="D811" s="33" t="s">
        <v>38</v>
      </c>
      <c r="E811" s="34">
        <v>1</v>
      </c>
      <c r="F811" s="39" t="s">
        <v>90</v>
      </c>
      <c r="G811" s="38">
        <v>2</v>
      </c>
    </row>
    <row r="812" spans="1:14" x14ac:dyDescent="0.25">
      <c r="A812" s="2"/>
      <c r="B812" s="37" t="s">
        <v>90</v>
      </c>
      <c r="C812" s="38">
        <v>2</v>
      </c>
      <c r="D812" s="37"/>
      <c r="E812" s="36"/>
      <c r="F812" s="38"/>
      <c r="G812" s="39"/>
    </row>
    <row r="813" spans="1:14" x14ac:dyDescent="0.25">
      <c r="A813" s="3"/>
      <c r="B813" s="40" t="s">
        <v>903</v>
      </c>
      <c r="C813" s="41">
        <v>3</v>
      </c>
      <c r="D813" s="40"/>
      <c r="E813" s="41"/>
      <c r="F813" s="42"/>
      <c r="G813" s="41"/>
    </row>
    <row r="814" spans="1:14" x14ac:dyDescent="0.25">
      <c r="A814" s="4" t="s">
        <v>8</v>
      </c>
      <c r="B814" s="33" t="s">
        <v>385</v>
      </c>
      <c r="C814" s="34">
        <v>1</v>
      </c>
      <c r="D814" s="33" t="s">
        <v>360</v>
      </c>
      <c r="E814" s="34">
        <v>1</v>
      </c>
      <c r="F814" s="35" t="s">
        <v>385</v>
      </c>
      <c r="G814" s="38">
        <v>1</v>
      </c>
    </row>
    <row r="815" spans="1:14" x14ac:dyDescent="0.25">
      <c r="A815" s="2"/>
      <c r="B815" s="37" t="s">
        <v>904</v>
      </c>
      <c r="C815" s="38">
        <v>2</v>
      </c>
      <c r="D815" s="37" t="s">
        <v>407</v>
      </c>
      <c r="E815" s="38">
        <v>4</v>
      </c>
      <c r="F815" s="39" t="s">
        <v>85</v>
      </c>
      <c r="G815" s="38">
        <v>2</v>
      </c>
    </row>
    <row r="816" spans="1:14" x14ac:dyDescent="0.25">
      <c r="A816" s="3"/>
      <c r="B816" s="40" t="s">
        <v>627</v>
      </c>
      <c r="C816" s="41">
        <v>3</v>
      </c>
      <c r="D816" s="40"/>
      <c r="E816" s="41"/>
      <c r="F816" s="42" t="s">
        <v>627</v>
      </c>
      <c r="G816" s="41">
        <v>3</v>
      </c>
    </row>
    <row r="817" spans="1:14" x14ac:dyDescent="0.25">
      <c r="A817" s="2" t="s">
        <v>9</v>
      </c>
      <c r="B817" s="37" t="s">
        <v>905</v>
      </c>
      <c r="C817" s="38">
        <v>1</v>
      </c>
      <c r="D817" s="37" t="s">
        <v>408</v>
      </c>
      <c r="E817" s="38">
        <v>4</v>
      </c>
      <c r="F817" s="39" t="s">
        <v>640</v>
      </c>
      <c r="G817" s="38">
        <v>3</v>
      </c>
    </row>
    <row r="818" spans="1:14" x14ac:dyDescent="0.25">
      <c r="A818" s="2"/>
      <c r="B818" s="37" t="s">
        <v>906</v>
      </c>
      <c r="C818" s="38">
        <v>2</v>
      </c>
      <c r="D818" s="37" t="s">
        <v>409</v>
      </c>
      <c r="E818" s="38">
        <v>3</v>
      </c>
      <c r="F818" s="48" t="s">
        <v>641</v>
      </c>
      <c r="G818" s="38" t="s">
        <v>1107</v>
      </c>
    </row>
    <row r="819" spans="1:14" x14ac:dyDescent="0.25">
      <c r="A819" s="3"/>
      <c r="B819" s="40" t="s">
        <v>907</v>
      </c>
      <c r="C819" s="41">
        <v>3</v>
      </c>
      <c r="D819" s="40"/>
      <c r="E819" s="41"/>
      <c r="F819" s="42"/>
      <c r="G819" s="41"/>
    </row>
    <row r="820" spans="1:14" x14ac:dyDescent="0.25">
      <c r="A820" s="2" t="s">
        <v>1224</v>
      </c>
      <c r="B820" s="37" t="s">
        <v>1261</v>
      </c>
      <c r="C820" s="38" t="s">
        <v>1074</v>
      </c>
      <c r="D820" s="37" t="s">
        <v>1321</v>
      </c>
      <c r="E820" s="38" t="s">
        <v>1074</v>
      </c>
      <c r="F820" s="39" t="s">
        <v>1375</v>
      </c>
      <c r="G820" s="36" t="s">
        <v>1074</v>
      </c>
      <c r="H820" s="8"/>
    </row>
    <row r="821" spans="1:14" x14ac:dyDescent="0.25">
      <c r="A821" s="2"/>
      <c r="B821" s="44" t="s">
        <v>1262</v>
      </c>
      <c r="C821" s="38" t="s">
        <v>1072</v>
      </c>
      <c r="D821" s="37" t="s">
        <v>887</v>
      </c>
      <c r="E821" s="38" t="s">
        <v>1072</v>
      </c>
      <c r="F821" s="39"/>
      <c r="G821" s="36"/>
      <c r="H821" s="8"/>
    </row>
    <row r="822" spans="1:14" x14ac:dyDescent="0.25">
      <c r="A822" s="3"/>
      <c r="B822" s="40"/>
      <c r="C822" s="41"/>
      <c r="D822" s="40"/>
      <c r="E822" s="41"/>
      <c r="F822" s="42"/>
      <c r="G822" s="43"/>
      <c r="H822" s="8"/>
    </row>
    <row r="824" spans="1:14" x14ac:dyDescent="0.25">
      <c r="A824" s="1">
        <v>42</v>
      </c>
      <c r="B824" s="29" t="s">
        <v>1159</v>
      </c>
      <c r="C824" s="30"/>
      <c r="D824" s="29" t="s">
        <v>1218</v>
      </c>
      <c r="E824" s="30"/>
      <c r="F824" s="31" t="s">
        <v>1218</v>
      </c>
      <c r="G824" s="49"/>
    </row>
    <row r="825" spans="1:14" x14ac:dyDescent="0.25">
      <c r="A825" s="4" t="s">
        <v>6</v>
      </c>
      <c r="B825" s="33" t="s">
        <v>622</v>
      </c>
      <c r="C825" s="34">
        <v>1</v>
      </c>
      <c r="D825" s="33" t="s">
        <v>410</v>
      </c>
      <c r="E825" s="34">
        <v>4</v>
      </c>
      <c r="F825" s="35" t="s">
        <v>642</v>
      </c>
      <c r="G825" s="34">
        <v>4</v>
      </c>
      <c r="I825" s="7">
        <v>0.66666666666666674</v>
      </c>
      <c r="J825" s="6">
        <v>1</v>
      </c>
      <c r="K825" s="7">
        <v>1</v>
      </c>
      <c r="L825" s="6">
        <v>0.66666666666666674</v>
      </c>
      <c r="M825" s="7">
        <v>0</v>
      </c>
      <c r="N825" s="7">
        <v>0</v>
      </c>
    </row>
    <row r="826" spans="1:14" x14ac:dyDescent="0.25">
      <c r="A826" s="2"/>
      <c r="B826" s="37" t="s">
        <v>641</v>
      </c>
      <c r="C826" s="38">
        <v>2</v>
      </c>
      <c r="D826" s="37" t="s">
        <v>411</v>
      </c>
      <c r="E826" s="38">
        <v>4</v>
      </c>
      <c r="F826" s="39" t="s">
        <v>622</v>
      </c>
      <c r="G826" s="38">
        <v>1</v>
      </c>
    </row>
    <row r="827" spans="1:14" x14ac:dyDescent="0.25">
      <c r="A827" s="3"/>
      <c r="B827" s="40" t="s">
        <v>415</v>
      </c>
      <c r="C827" s="41">
        <v>3</v>
      </c>
      <c r="D827" s="40"/>
      <c r="E827" s="41"/>
      <c r="F827" s="42"/>
      <c r="G827" s="41"/>
    </row>
    <row r="828" spans="1:14" x14ac:dyDescent="0.25">
      <c r="A828" s="4" t="s">
        <v>5</v>
      </c>
      <c r="B828" s="33" t="s">
        <v>37</v>
      </c>
      <c r="C828" s="34">
        <v>1</v>
      </c>
      <c r="D828" s="33" t="s">
        <v>37</v>
      </c>
      <c r="E828" s="34">
        <v>1</v>
      </c>
      <c r="F828" s="35" t="s">
        <v>37</v>
      </c>
      <c r="G828" s="38">
        <v>1</v>
      </c>
    </row>
    <row r="829" spans="1:14" x14ac:dyDescent="0.25">
      <c r="A829" s="2"/>
      <c r="B829" s="37"/>
      <c r="C829" s="38"/>
      <c r="D829" s="52"/>
      <c r="E829" s="38"/>
      <c r="F829" s="37"/>
      <c r="G829" s="38"/>
    </row>
    <row r="830" spans="1:14" x14ac:dyDescent="0.25">
      <c r="A830" s="3"/>
      <c r="B830" s="40"/>
      <c r="C830" s="41"/>
      <c r="D830" s="40"/>
      <c r="E830" s="41"/>
      <c r="F830" s="42"/>
      <c r="G830" s="41"/>
    </row>
    <row r="831" spans="1:14" x14ac:dyDescent="0.25">
      <c r="A831" s="4" t="s">
        <v>7</v>
      </c>
      <c r="B831" s="33" t="s">
        <v>38</v>
      </c>
      <c r="C831" s="34">
        <v>1</v>
      </c>
      <c r="D831" s="37" t="s">
        <v>38</v>
      </c>
      <c r="E831" s="34">
        <v>1</v>
      </c>
      <c r="F831" s="39" t="s">
        <v>38</v>
      </c>
      <c r="G831" s="38">
        <v>1</v>
      </c>
    </row>
    <row r="832" spans="1:14" x14ac:dyDescent="0.25">
      <c r="A832" s="2"/>
      <c r="B832" s="37" t="s">
        <v>908</v>
      </c>
      <c r="C832" s="38">
        <v>2</v>
      </c>
      <c r="D832" s="37"/>
      <c r="E832" s="36"/>
      <c r="F832" s="38"/>
      <c r="G832" s="39"/>
    </row>
    <row r="833" spans="1:14" x14ac:dyDescent="0.25">
      <c r="A833" s="3"/>
      <c r="B833" s="40" t="s">
        <v>90</v>
      </c>
      <c r="C833" s="41">
        <v>3</v>
      </c>
      <c r="D833" s="40"/>
      <c r="E833" s="41"/>
      <c r="F833" s="42"/>
      <c r="G833" s="41"/>
    </row>
    <row r="834" spans="1:14" x14ac:dyDescent="0.25">
      <c r="A834" s="4" t="s">
        <v>8</v>
      </c>
      <c r="B834" s="33" t="s">
        <v>647</v>
      </c>
      <c r="C834" s="47">
        <v>1</v>
      </c>
      <c r="D834" s="34" t="s">
        <v>402</v>
      </c>
      <c r="E834" s="35">
        <v>4</v>
      </c>
      <c r="F834" s="35" t="s">
        <v>402</v>
      </c>
      <c r="G834" s="38">
        <v>4</v>
      </c>
    </row>
    <row r="835" spans="1:14" x14ac:dyDescent="0.25">
      <c r="A835" s="2"/>
      <c r="B835" s="37" t="s">
        <v>648</v>
      </c>
      <c r="C835" s="36">
        <v>2</v>
      </c>
      <c r="D835" s="38" t="s">
        <v>412</v>
      </c>
      <c r="E835" s="39" t="s">
        <v>1057</v>
      </c>
      <c r="F835" s="39" t="s">
        <v>643</v>
      </c>
      <c r="G835" s="38">
        <v>5</v>
      </c>
    </row>
    <row r="836" spans="1:14" x14ac:dyDescent="0.25">
      <c r="A836" s="3"/>
      <c r="B836" s="40" t="s">
        <v>649</v>
      </c>
      <c r="C836" s="43">
        <v>3</v>
      </c>
      <c r="D836" s="41"/>
      <c r="E836" s="42"/>
      <c r="F836" s="42"/>
      <c r="G836" s="41"/>
    </row>
    <row r="837" spans="1:14" x14ac:dyDescent="0.25">
      <c r="A837" s="2" t="s">
        <v>9</v>
      </c>
      <c r="B837" s="37" t="s">
        <v>909</v>
      </c>
      <c r="C837" s="38">
        <v>1</v>
      </c>
      <c r="D837" s="37" t="s">
        <v>413</v>
      </c>
      <c r="E837" s="38">
        <v>3</v>
      </c>
      <c r="F837" s="39" t="s">
        <v>644</v>
      </c>
      <c r="G837" s="38">
        <v>4</v>
      </c>
    </row>
    <row r="838" spans="1:14" x14ac:dyDescent="0.25">
      <c r="A838" s="2"/>
      <c r="B838" s="37" t="s">
        <v>864</v>
      </c>
      <c r="C838" s="38">
        <v>2</v>
      </c>
      <c r="D838" s="37"/>
      <c r="E838" s="38"/>
      <c r="F838" s="48" t="s">
        <v>415</v>
      </c>
      <c r="G838" s="38">
        <v>5</v>
      </c>
    </row>
    <row r="839" spans="1:14" x14ac:dyDescent="0.25">
      <c r="A839" s="3"/>
      <c r="B839" s="40"/>
      <c r="C839" s="41"/>
      <c r="D839" s="40"/>
      <c r="E839" s="41"/>
      <c r="F839" s="42"/>
      <c r="G839" s="41"/>
    </row>
    <row r="840" spans="1:14" x14ac:dyDescent="0.25">
      <c r="A840" s="2" t="s">
        <v>1224</v>
      </c>
      <c r="B840" s="37" t="s">
        <v>371</v>
      </c>
      <c r="C840" s="38" t="s">
        <v>1072</v>
      </c>
      <c r="D840" s="37" t="s">
        <v>641</v>
      </c>
      <c r="E840" s="38" t="s">
        <v>1072</v>
      </c>
      <c r="F840" s="39" t="s">
        <v>1376</v>
      </c>
      <c r="G840" s="36" t="s">
        <v>1074</v>
      </c>
      <c r="H840" s="8"/>
    </row>
    <row r="841" spans="1:14" x14ac:dyDescent="0.25">
      <c r="A841" s="2"/>
      <c r="B841" s="44"/>
      <c r="C841" s="38"/>
      <c r="D841" s="37" t="s">
        <v>1322</v>
      </c>
      <c r="E841" s="38" t="s">
        <v>1073</v>
      </c>
      <c r="F841" s="39"/>
      <c r="G841" s="36"/>
      <c r="H841" s="8"/>
    </row>
    <row r="842" spans="1:14" x14ac:dyDescent="0.25">
      <c r="A842" s="3"/>
      <c r="B842" s="40"/>
      <c r="C842" s="41"/>
      <c r="D842" s="40" t="s">
        <v>418</v>
      </c>
      <c r="E842" s="41" t="s">
        <v>1074</v>
      </c>
      <c r="F842" s="42"/>
      <c r="G842" s="43"/>
      <c r="H842" s="8"/>
    </row>
    <row r="844" spans="1:14" x14ac:dyDescent="0.25">
      <c r="A844" s="1">
        <v>43</v>
      </c>
      <c r="B844" s="29" t="s">
        <v>1160</v>
      </c>
      <c r="C844" s="30"/>
      <c r="D844" s="29" t="s">
        <v>1218</v>
      </c>
      <c r="E844" s="30"/>
      <c r="F844" s="31" t="s">
        <v>1218</v>
      </c>
      <c r="G844" s="49"/>
    </row>
    <row r="845" spans="1:14" x14ac:dyDescent="0.25">
      <c r="A845" s="4" t="s">
        <v>6</v>
      </c>
      <c r="B845" s="33" t="s">
        <v>415</v>
      </c>
      <c r="C845" s="34">
        <v>1</v>
      </c>
      <c r="D845" s="33" t="s">
        <v>371</v>
      </c>
      <c r="E845" s="34">
        <v>4</v>
      </c>
      <c r="F845" s="35" t="s">
        <v>645</v>
      </c>
      <c r="G845" s="34">
        <v>5</v>
      </c>
      <c r="I845" s="7">
        <v>0.66666666666666674</v>
      </c>
      <c r="J845" s="6">
        <v>1</v>
      </c>
      <c r="K845" s="7">
        <v>1</v>
      </c>
      <c r="L845" s="6">
        <v>1</v>
      </c>
      <c r="M845" s="7">
        <v>0.33333333333333337</v>
      </c>
      <c r="N845" s="7">
        <v>0.33333333333333337</v>
      </c>
    </row>
    <row r="846" spans="1:14" x14ac:dyDescent="0.25">
      <c r="A846" s="2"/>
      <c r="B846" s="37" t="s">
        <v>622</v>
      </c>
      <c r="C846" s="38">
        <v>2</v>
      </c>
      <c r="D846" s="37" t="s">
        <v>414</v>
      </c>
      <c r="E846" s="38">
        <v>5</v>
      </c>
      <c r="F846" s="39"/>
      <c r="G846" s="38"/>
    </row>
    <row r="847" spans="1:14" x14ac:dyDescent="0.25">
      <c r="A847" s="3"/>
      <c r="B847" s="40" t="s">
        <v>857</v>
      </c>
      <c r="C847" s="41">
        <v>3</v>
      </c>
      <c r="D847" s="40" t="s">
        <v>415</v>
      </c>
      <c r="E847" s="41">
        <v>1</v>
      </c>
      <c r="F847" s="42"/>
      <c r="G847" s="41"/>
    </row>
    <row r="848" spans="1:14" x14ac:dyDescent="0.25">
      <c r="A848" s="4" t="s">
        <v>5</v>
      </c>
      <c r="B848" s="33" t="s">
        <v>910</v>
      </c>
      <c r="C848" s="34">
        <v>1</v>
      </c>
      <c r="D848" s="33" t="s">
        <v>288</v>
      </c>
      <c r="E848" s="34">
        <v>2</v>
      </c>
      <c r="F848" s="35" t="s">
        <v>646</v>
      </c>
      <c r="G848" s="38">
        <v>1</v>
      </c>
    </row>
    <row r="849" spans="1:16" x14ac:dyDescent="0.25">
      <c r="A849" s="2"/>
      <c r="B849" s="37" t="s">
        <v>37</v>
      </c>
      <c r="C849" s="38">
        <v>1</v>
      </c>
      <c r="D849" s="37" t="s">
        <v>416</v>
      </c>
      <c r="E849" s="38">
        <v>1</v>
      </c>
      <c r="F849" s="37"/>
      <c r="G849" s="38"/>
    </row>
    <row r="850" spans="1:16" x14ac:dyDescent="0.25">
      <c r="A850" s="3"/>
      <c r="B850" s="40"/>
      <c r="C850" s="41"/>
      <c r="D850" s="40"/>
      <c r="E850" s="41"/>
      <c r="F850" s="42"/>
      <c r="G850" s="41"/>
    </row>
    <row r="851" spans="1:16" x14ac:dyDescent="0.25">
      <c r="A851" s="4" t="s">
        <v>7</v>
      </c>
      <c r="B851" s="33" t="s">
        <v>38</v>
      </c>
      <c r="C851" s="34">
        <v>1</v>
      </c>
      <c r="D851" s="33" t="s">
        <v>38</v>
      </c>
      <c r="E851" s="34">
        <v>1</v>
      </c>
      <c r="F851" s="39" t="s">
        <v>38</v>
      </c>
      <c r="G851" s="38">
        <v>1</v>
      </c>
    </row>
    <row r="852" spans="1:16" x14ac:dyDescent="0.25">
      <c r="A852" s="2"/>
      <c r="B852" s="37" t="s">
        <v>45</v>
      </c>
      <c r="C852" s="38">
        <v>2</v>
      </c>
      <c r="D852" s="37"/>
      <c r="E852" s="36"/>
      <c r="F852" s="38"/>
      <c r="G852" s="39"/>
    </row>
    <row r="853" spans="1:16" x14ac:dyDescent="0.25">
      <c r="A853" s="3"/>
      <c r="B853" s="40"/>
      <c r="C853" s="41"/>
      <c r="D853" s="40"/>
      <c r="E853" s="41"/>
      <c r="F853" s="42"/>
      <c r="G853" s="41"/>
    </row>
    <row r="854" spans="1:16" x14ac:dyDescent="0.25">
      <c r="A854" s="4" t="s">
        <v>8</v>
      </c>
      <c r="B854" s="33" t="s">
        <v>911</v>
      </c>
      <c r="C854" s="34">
        <v>1</v>
      </c>
      <c r="D854" s="33" t="s">
        <v>417</v>
      </c>
      <c r="E854" s="34" t="s">
        <v>1057</v>
      </c>
      <c r="F854" s="35" t="s">
        <v>647</v>
      </c>
      <c r="G854" s="38">
        <v>1</v>
      </c>
    </row>
    <row r="855" spans="1:16" x14ac:dyDescent="0.25">
      <c r="A855" s="2"/>
      <c r="B855" s="37" t="s">
        <v>912</v>
      </c>
      <c r="C855" s="38">
        <v>2</v>
      </c>
      <c r="D855" s="37" t="s">
        <v>380</v>
      </c>
      <c r="E855" s="38">
        <v>4</v>
      </c>
      <c r="F855" s="39" t="s">
        <v>648</v>
      </c>
      <c r="G855" s="38">
        <v>2</v>
      </c>
    </row>
    <row r="856" spans="1:16" x14ac:dyDescent="0.25">
      <c r="A856" s="3"/>
      <c r="B856" s="40" t="s">
        <v>913</v>
      </c>
      <c r="C856" s="41">
        <v>3</v>
      </c>
      <c r="D856" s="40"/>
      <c r="E856" s="41"/>
      <c r="F856" s="42" t="s">
        <v>649</v>
      </c>
      <c r="G856" s="41">
        <v>3</v>
      </c>
    </row>
    <row r="857" spans="1:16" x14ac:dyDescent="0.25">
      <c r="A857" s="2" t="s">
        <v>9</v>
      </c>
      <c r="B857" s="37" t="s">
        <v>418</v>
      </c>
      <c r="C857" s="38">
        <v>1</v>
      </c>
      <c r="D857" s="37" t="s">
        <v>418</v>
      </c>
      <c r="E857" s="38">
        <v>1</v>
      </c>
      <c r="F857" s="39" t="s">
        <v>650</v>
      </c>
      <c r="G857" s="38">
        <v>2</v>
      </c>
    </row>
    <row r="858" spans="1:16" x14ac:dyDescent="0.25">
      <c r="A858" s="2"/>
      <c r="B858" s="37"/>
      <c r="C858" s="38"/>
      <c r="D858" s="37"/>
      <c r="E858" s="38"/>
      <c r="F858" s="48"/>
      <c r="G858" s="38"/>
    </row>
    <row r="859" spans="1:16" x14ac:dyDescent="0.25">
      <c r="A859" s="3"/>
      <c r="B859" s="40"/>
      <c r="C859" s="41"/>
      <c r="D859" s="40"/>
      <c r="E859" s="41"/>
      <c r="F859" s="42"/>
      <c r="G859" s="41"/>
      <c r="P859" s="22"/>
    </row>
    <row r="860" spans="1:16" x14ac:dyDescent="0.25">
      <c r="A860" s="2" t="s">
        <v>1224</v>
      </c>
      <c r="B860" s="37" t="s">
        <v>415</v>
      </c>
      <c r="C860" s="38" t="s">
        <v>1074</v>
      </c>
      <c r="D860" s="37" t="s">
        <v>1323</v>
      </c>
      <c r="E860" s="38" t="s">
        <v>1072</v>
      </c>
      <c r="F860" s="37" t="s">
        <v>1323</v>
      </c>
      <c r="G860" s="36" t="s">
        <v>1072</v>
      </c>
      <c r="H860" s="8"/>
    </row>
    <row r="861" spans="1:16" x14ac:dyDescent="0.25">
      <c r="A861" s="2"/>
      <c r="B861" s="44"/>
      <c r="C861" s="38"/>
      <c r="D861" s="37" t="s">
        <v>1322</v>
      </c>
      <c r="E861" s="38" t="s">
        <v>1074</v>
      </c>
      <c r="F861" s="39"/>
      <c r="G861" s="36"/>
      <c r="H861" s="8"/>
    </row>
    <row r="862" spans="1:16" x14ac:dyDescent="0.25">
      <c r="A862" s="3"/>
      <c r="B862" s="40"/>
      <c r="C862" s="41"/>
      <c r="D862" s="40"/>
      <c r="E862" s="41"/>
      <c r="F862" s="42"/>
      <c r="G862" s="43"/>
      <c r="H862" s="8"/>
    </row>
    <row r="864" spans="1:16" x14ac:dyDescent="0.25">
      <c r="A864" s="1">
        <v>44</v>
      </c>
      <c r="B864" s="29" t="s">
        <v>1161</v>
      </c>
      <c r="C864" s="30"/>
      <c r="D864" s="29" t="s">
        <v>1218</v>
      </c>
      <c r="E864" s="30"/>
      <c r="F864" s="31" t="s">
        <v>1218</v>
      </c>
      <c r="G864" s="49"/>
    </row>
    <row r="865" spans="1:14" x14ac:dyDescent="0.25">
      <c r="A865" s="4" t="s">
        <v>6</v>
      </c>
      <c r="B865" s="33" t="s">
        <v>651</v>
      </c>
      <c r="C865" s="34">
        <v>1</v>
      </c>
      <c r="D865" s="33" t="s">
        <v>371</v>
      </c>
      <c r="E865" s="34" t="s">
        <v>1072</v>
      </c>
      <c r="F865" s="35" t="s">
        <v>651</v>
      </c>
      <c r="G865" s="34">
        <v>1</v>
      </c>
      <c r="I865" s="7">
        <v>1</v>
      </c>
      <c r="J865" s="6">
        <v>1</v>
      </c>
      <c r="K865" s="7">
        <v>1</v>
      </c>
      <c r="L865" s="6">
        <v>1</v>
      </c>
      <c r="M865" s="7">
        <v>1</v>
      </c>
      <c r="N865" s="7">
        <v>1</v>
      </c>
    </row>
    <row r="866" spans="1:14" x14ac:dyDescent="0.25">
      <c r="A866" s="2"/>
      <c r="B866" s="37" t="s">
        <v>914</v>
      </c>
      <c r="C866" s="38">
        <v>2</v>
      </c>
      <c r="D866" s="37" t="s">
        <v>419</v>
      </c>
      <c r="E866" s="38">
        <v>1</v>
      </c>
      <c r="F866" s="39" t="s">
        <v>652</v>
      </c>
      <c r="G866" s="38">
        <v>1</v>
      </c>
    </row>
    <row r="867" spans="1:14" x14ac:dyDescent="0.25">
      <c r="A867" s="3"/>
      <c r="B867" s="40" t="s">
        <v>1059</v>
      </c>
      <c r="C867" s="41">
        <v>3</v>
      </c>
      <c r="D867" s="40"/>
      <c r="E867" s="41"/>
      <c r="F867" s="42"/>
      <c r="G867" s="41"/>
    </row>
    <row r="868" spans="1:14" x14ac:dyDescent="0.25">
      <c r="A868" s="4" t="s">
        <v>5</v>
      </c>
      <c r="B868" s="33" t="s">
        <v>288</v>
      </c>
      <c r="C868" s="34">
        <v>1</v>
      </c>
      <c r="D868" s="33" t="s">
        <v>1058</v>
      </c>
      <c r="E868" s="34">
        <v>1</v>
      </c>
      <c r="F868" s="35" t="s">
        <v>653</v>
      </c>
      <c r="G868" s="38">
        <v>1</v>
      </c>
    </row>
    <row r="869" spans="1:14" x14ac:dyDescent="0.25">
      <c r="A869" s="2"/>
      <c r="B869" s="37"/>
      <c r="C869" s="38"/>
      <c r="D869" s="37"/>
      <c r="E869" s="38"/>
      <c r="F869" s="37"/>
      <c r="G869" s="38"/>
    </row>
    <row r="870" spans="1:14" x14ac:dyDescent="0.25">
      <c r="A870" s="3"/>
      <c r="B870" s="40"/>
      <c r="C870" s="41"/>
      <c r="D870" s="40"/>
      <c r="E870" s="41"/>
      <c r="F870" s="42"/>
      <c r="G870" s="41"/>
    </row>
    <row r="871" spans="1:14" x14ac:dyDescent="0.25">
      <c r="A871" s="4" t="s">
        <v>7</v>
      </c>
      <c r="B871" s="33" t="s">
        <v>38</v>
      </c>
      <c r="C871" s="34">
        <v>1</v>
      </c>
      <c r="D871" s="33" t="s">
        <v>38</v>
      </c>
      <c r="E871" s="34">
        <v>1</v>
      </c>
      <c r="F871" s="39" t="s">
        <v>38</v>
      </c>
      <c r="G871" s="38">
        <v>1</v>
      </c>
    </row>
    <row r="872" spans="1:14" x14ac:dyDescent="0.25">
      <c r="A872" s="2"/>
      <c r="B872" s="37" t="s">
        <v>90</v>
      </c>
      <c r="C872" s="38">
        <v>2</v>
      </c>
      <c r="D872" s="37"/>
      <c r="E872" s="36"/>
      <c r="F872" s="38"/>
      <c r="G872" s="39"/>
    </row>
    <row r="873" spans="1:14" x14ac:dyDescent="0.25">
      <c r="A873" s="3"/>
      <c r="B873" s="40" t="s">
        <v>866</v>
      </c>
      <c r="C873" s="41">
        <v>3</v>
      </c>
      <c r="D873" s="40"/>
      <c r="E873" s="41"/>
      <c r="F873" s="42"/>
      <c r="G873" s="41"/>
    </row>
    <row r="874" spans="1:14" x14ac:dyDescent="0.25">
      <c r="A874" s="4" t="s">
        <v>8</v>
      </c>
      <c r="B874" s="33" t="s">
        <v>1060</v>
      </c>
      <c r="C874" s="34">
        <v>1</v>
      </c>
      <c r="D874" s="33" t="s">
        <v>380</v>
      </c>
      <c r="E874" s="34">
        <v>1</v>
      </c>
      <c r="F874" s="35" t="s">
        <v>402</v>
      </c>
      <c r="G874" s="38">
        <v>1</v>
      </c>
    </row>
    <row r="875" spans="1:14" x14ac:dyDescent="0.25">
      <c r="A875" s="2"/>
      <c r="B875" s="37" t="s">
        <v>1061</v>
      </c>
      <c r="C875" s="38">
        <v>2</v>
      </c>
      <c r="D875" s="50" t="s">
        <v>420</v>
      </c>
      <c r="E875" s="38">
        <v>2</v>
      </c>
      <c r="F875" s="39" t="s">
        <v>654</v>
      </c>
      <c r="G875" s="38">
        <v>5</v>
      </c>
    </row>
    <row r="876" spans="1:14" x14ac:dyDescent="0.25">
      <c r="A876" s="3"/>
      <c r="B876" s="40"/>
      <c r="C876" s="41"/>
      <c r="D876" s="40"/>
      <c r="E876" s="41"/>
      <c r="F876" s="42"/>
      <c r="G876" s="41"/>
    </row>
    <row r="877" spans="1:14" x14ac:dyDescent="0.25">
      <c r="A877" s="2" t="s">
        <v>9</v>
      </c>
      <c r="B877" s="37"/>
      <c r="C877" s="38"/>
      <c r="E877" s="38"/>
      <c r="F877" s="39"/>
      <c r="G877" s="38"/>
    </row>
    <row r="878" spans="1:14" x14ac:dyDescent="0.25">
      <c r="A878" s="2"/>
      <c r="B878" s="37"/>
      <c r="C878" s="38"/>
      <c r="D878" s="37"/>
      <c r="E878" s="38"/>
      <c r="F878" s="48"/>
      <c r="G878" s="38"/>
    </row>
    <row r="879" spans="1:14" x14ac:dyDescent="0.25">
      <c r="A879" s="3"/>
      <c r="B879" s="40"/>
      <c r="C879" s="41"/>
      <c r="D879" s="40"/>
      <c r="E879" s="41"/>
      <c r="F879" s="42"/>
      <c r="G879" s="41"/>
    </row>
    <row r="880" spans="1:14" x14ac:dyDescent="0.25">
      <c r="A880" s="2" t="s">
        <v>1224</v>
      </c>
      <c r="B880" s="37" t="s">
        <v>1263</v>
      </c>
      <c r="C880" s="38" t="s">
        <v>1074</v>
      </c>
      <c r="D880" s="37"/>
      <c r="E880" s="38"/>
      <c r="F880" s="39" t="s">
        <v>1377</v>
      </c>
      <c r="G880" s="36" t="s">
        <v>1074</v>
      </c>
      <c r="H880" s="8"/>
    </row>
    <row r="881" spans="1:14" x14ac:dyDescent="0.25">
      <c r="A881" s="2"/>
      <c r="B881" s="44"/>
      <c r="C881" s="38"/>
      <c r="D881" s="37"/>
      <c r="E881" s="38"/>
      <c r="F881" s="39"/>
      <c r="G881" s="36"/>
      <c r="H881" s="8"/>
    </row>
    <row r="882" spans="1:14" x14ac:dyDescent="0.25">
      <c r="A882" s="3"/>
      <c r="B882" s="40"/>
      <c r="C882" s="41"/>
      <c r="D882" s="40"/>
      <c r="E882" s="41"/>
      <c r="F882" s="42"/>
      <c r="G882" s="43"/>
      <c r="H882" s="8"/>
    </row>
    <row r="884" spans="1:14" x14ac:dyDescent="0.25">
      <c r="A884" s="1">
        <v>45</v>
      </c>
      <c r="B884" s="29" t="s">
        <v>1162</v>
      </c>
      <c r="C884" s="30"/>
      <c r="D884" s="29" t="s">
        <v>1218</v>
      </c>
      <c r="E884" s="30"/>
      <c r="F884" s="31" t="s">
        <v>1218</v>
      </c>
      <c r="G884" s="49"/>
    </row>
    <row r="885" spans="1:14" x14ac:dyDescent="0.25">
      <c r="A885" s="4" t="s">
        <v>6</v>
      </c>
      <c r="B885" s="33" t="s">
        <v>915</v>
      </c>
      <c r="C885" s="34">
        <v>1</v>
      </c>
      <c r="D885" s="33" t="s">
        <v>371</v>
      </c>
      <c r="E885" s="34">
        <v>2</v>
      </c>
      <c r="F885" s="35" t="s">
        <v>655</v>
      </c>
      <c r="G885" s="34">
        <v>3</v>
      </c>
      <c r="I885" s="7">
        <v>0.66666666666666674</v>
      </c>
      <c r="J885" s="6">
        <v>1</v>
      </c>
      <c r="K885" s="7">
        <v>1</v>
      </c>
      <c r="L885" s="6">
        <v>1</v>
      </c>
      <c r="M885" s="7">
        <v>0.33333333333333337</v>
      </c>
      <c r="N885" s="7">
        <v>0.33333333333333337</v>
      </c>
    </row>
    <row r="886" spans="1:14" x14ac:dyDescent="0.25">
      <c r="A886" s="2"/>
      <c r="B886" s="37" t="s">
        <v>371</v>
      </c>
      <c r="C886" s="38">
        <v>2</v>
      </c>
      <c r="D886" s="37" t="s">
        <v>421</v>
      </c>
      <c r="E886" s="38">
        <v>3</v>
      </c>
      <c r="F886" s="39"/>
      <c r="G886" s="38"/>
    </row>
    <row r="887" spans="1:14" x14ac:dyDescent="0.25">
      <c r="A887" s="3"/>
      <c r="B887" s="40"/>
      <c r="C887" s="41"/>
      <c r="D887" s="40"/>
      <c r="E887" s="41"/>
      <c r="F887" s="42"/>
      <c r="G887" s="41"/>
    </row>
    <row r="888" spans="1:14" x14ac:dyDescent="0.25">
      <c r="A888" s="4" t="s">
        <v>5</v>
      </c>
      <c r="B888" s="33" t="s">
        <v>37</v>
      </c>
      <c r="C888" s="34">
        <v>1</v>
      </c>
      <c r="D888" s="33" t="s">
        <v>37</v>
      </c>
      <c r="E888" s="34">
        <v>1</v>
      </c>
      <c r="F888" s="35" t="s">
        <v>37</v>
      </c>
      <c r="G888" s="38">
        <v>1</v>
      </c>
    </row>
    <row r="889" spans="1:14" x14ac:dyDescent="0.25">
      <c r="A889" s="2"/>
      <c r="B889" s="37"/>
      <c r="C889" s="38"/>
      <c r="D889" s="37"/>
      <c r="E889" s="38"/>
      <c r="F889" s="37"/>
      <c r="G889" s="38"/>
    </row>
    <row r="890" spans="1:14" x14ac:dyDescent="0.25">
      <c r="A890" s="3"/>
      <c r="B890" s="40"/>
      <c r="C890" s="41"/>
      <c r="D890" s="40"/>
      <c r="E890" s="41"/>
      <c r="F890" s="42"/>
      <c r="G890" s="41"/>
    </row>
    <row r="891" spans="1:14" x14ac:dyDescent="0.25">
      <c r="A891" s="4" t="s">
        <v>7</v>
      </c>
      <c r="B891" s="33" t="s">
        <v>38</v>
      </c>
      <c r="C891" s="34">
        <v>1</v>
      </c>
      <c r="D891" s="33" t="s">
        <v>38</v>
      </c>
      <c r="E891" s="34">
        <v>1</v>
      </c>
      <c r="F891" s="39" t="s">
        <v>38</v>
      </c>
      <c r="G891" s="38">
        <v>1</v>
      </c>
    </row>
    <row r="892" spans="1:14" x14ac:dyDescent="0.25">
      <c r="A892" s="2"/>
      <c r="B892" s="37"/>
      <c r="C892" s="38"/>
      <c r="D892" s="37"/>
      <c r="E892" s="36"/>
      <c r="F892" s="38"/>
      <c r="G892" s="39"/>
    </row>
    <row r="893" spans="1:14" x14ac:dyDescent="0.25">
      <c r="A893" s="3"/>
      <c r="B893" s="40"/>
      <c r="C893" s="41"/>
      <c r="D893" s="40"/>
      <c r="E893" s="41"/>
      <c r="F893" s="42"/>
      <c r="G893" s="41"/>
    </row>
    <row r="894" spans="1:14" x14ac:dyDescent="0.25">
      <c r="A894" s="4" t="s">
        <v>8</v>
      </c>
      <c r="B894" s="33" t="s">
        <v>916</v>
      </c>
      <c r="C894" s="34">
        <v>1</v>
      </c>
      <c r="D894" s="33" t="s">
        <v>422</v>
      </c>
      <c r="E894" s="34">
        <v>1</v>
      </c>
      <c r="F894" s="35" t="s">
        <v>647</v>
      </c>
      <c r="G894" s="38">
        <v>1</v>
      </c>
    </row>
    <row r="895" spans="1:14" x14ac:dyDescent="0.25">
      <c r="A895" s="2"/>
      <c r="B895" s="39" t="s">
        <v>1062</v>
      </c>
      <c r="C895" s="39">
        <v>1</v>
      </c>
      <c r="D895" s="37" t="s">
        <v>361</v>
      </c>
      <c r="E895" s="38">
        <v>3</v>
      </c>
      <c r="F895" s="39" t="s">
        <v>648</v>
      </c>
      <c r="G895" s="38">
        <v>1</v>
      </c>
    </row>
    <row r="896" spans="1:14" x14ac:dyDescent="0.25">
      <c r="A896" s="3"/>
      <c r="B896" s="42" t="s">
        <v>917</v>
      </c>
      <c r="C896" s="42">
        <v>2</v>
      </c>
      <c r="D896" s="40"/>
      <c r="E896" s="41"/>
      <c r="F896" s="42" t="s">
        <v>649</v>
      </c>
      <c r="G896" s="41">
        <v>1</v>
      </c>
    </row>
    <row r="897" spans="1:14" x14ac:dyDescent="0.25">
      <c r="A897" s="2" t="s">
        <v>9</v>
      </c>
      <c r="B897" s="37" t="s">
        <v>918</v>
      </c>
      <c r="C897" s="38">
        <v>1</v>
      </c>
      <c r="D897" s="37" t="s">
        <v>1063</v>
      </c>
      <c r="E897" s="38">
        <v>1</v>
      </c>
      <c r="F897" s="39" t="s">
        <v>650</v>
      </c>
      <c r="G897" s="38">
        <v>2</v>
      </c>
    </row>
    <row r="898" spans="1:14" x14ac:dyDescent="0.25">
      <c r="A898" s="2"/>
      <c r="B898" s="37"/>
      <c r="C898" s="38"/>
      <c r="D898" s="37"/>
      <c r="E898" s="38"/>
      <c r="F898" s="48"/>
      <c r="G898" s="38"/>
    </row>
    <row r="899" spans="1:14" x14ac:dyDescent="0.25">
      <c r="A899" s="3"/>
      <c r="B899" s="40"/>
      <c r="C899" s="41"/>
      <c r="D899" s="40"/>
      <c r="E899" s="41"/>
      <c r="F899" s="42"/>
      <c r="G899" s="41"/>
    </row>
    <row r="900" spans="1:14" x14ac:dyDescent="0.25">
      <c r="A900" s="2" t="s">
        <v>1224</v>
      </c>
      <c r="B900" s="37" t="s">
        <v>1264</v>
      </c>
      <c r="C900" s="38" t="s">
        <v>1074</v>
      </c>
      <c r="D900" s="37" t="s">
        <v>1323</v>
      </c>
      <c r="E900" s="38" t="s">
        <v>1072</v>
      </c>
      <c r="F900" s="39" t="s">
        <v>1378</v>
      </c>
      <c r="G900" s="36" t="s">
        <v>1073</v>
      </c>
      <c r="H900" s="8"/>
    </row>
    <row r="901" spans="1:14" x14ac:dyDescent="0.25">
      <c r="A901" s="2"/>
      <c r="B901" s="44"/>
      <c r="C901" s="38"/>
      <c r="D901" s="37"/>
      <c r="E901" s="38"/>
      <c r="F901" s="39"/>
      <c r="G901" s="36"/>
      <c r="H901" s="8"/>
    </row>
    <row r="902" spans="1:14" x14ac:dyDescent="0.25">
      <c r="A902" s="3"/>
      <c r="B902" s="40"/>
      <c r="C902" s="41"/>
      <c r="D902" s="40"/>
      <c r="E902" s="41"/>
      <c r="F902" s="42"/>
      <c r="G902" s="43"/>
      <c r="H902" s="8"/>
    </row>
    <row r="904" spans="1:14" x14ac:dyDescent="0.25">
      <c r="A904" s="1">
        <v>46</v>
      </c>
      <c r="B904" s="29" t="s">
        <v>1163</v>
      </c>
      <c r="C904" s="30"/>
      <c r="D904" s="29" t="s">
        <v>1218</v>
      </c>
      <c r="E904" s="30"/>
      <c r="F904" s="31" t="s">
        <v>1218</v>
      </c>
      <c r="G904" s="49"/>
    </row>
    <row r="905" spans="1:14" x14ac:dyDescent="0.25">
      <c r="A905" s="4" t="s">
        <v>6</v>
      </c>
      <c r="B905" s="33" t="s">
        <v>919</v>
      </c>
      <c r="C905" s="34">
        <v>1</v>
      </c>
      <c r="D905" s="33" t="s">
        <v>423</v>
      </c>
      <c r="E905" s="34">
        <v>1</v>
      </c>
      <c r="F905" s="35" t="s">
        <v>656</v>
      </c>
      <c r="G905" s="34">
        <v>2</v>
      </c>
      <c r="I905" s="7">
        <v>0.66666666666666674</v>
      </c>
      <c r="J905" s="6">
        <v>0</v>
      </c>
      <c r="K905" s="7">
        <v>0.33333333333333337</v>
      </c>
      <c r="L905" s="6">
        <v>1</v>
      </c>
      <c r="M905" s="7">
        <v>1</v>
      </c>
      <c r="N905" s="7">
        <v>1</v>
      </c>
    </row>
    <row r="906" spans="1:14" x14ac:dyDescent="0.25">
      <c r="A906" s="2"/>
      <c r="B906" s="37" t="s">
        <v>920</v>
      </c>
      <c r="C906" s="38">
        <v>2</v>
      </c>
      <c r="D906" s="37" t="s">
        <v>424</v>
      </c>
      <c r="E906" s="38">
        <v>4</v>
      </c>
      <c r="F906" s="39" t="s">
        <v>657</v>
      </c>
      <c r="G906" s="38">
        <v>3</v>
      </c>
    </row>
    <row r="907" spans="1:14" x14ac:dyDescent="0.25">
      <c r="A907" s="3"/>
      <c r="B907" s="40" t="s">
        <v>921</v>
      </c>
      <c r="C907" s="41">
        <v>3</v>
      </c>
      <c r="D907" s="40"/>
      <c r="E907" s="41"/>
      <c r="F907" s="42" t="s">
        <v>658</v>
      </c>
      <c r="G907" s="41">
        <v>5</v>
      </c>
    </row>
    <row r="908" spans="1:14" x14ac:dyDescent="0.25">
      <c r="A908" s="4" t="s">
        <v>5</v>
      </c>
      <c r="B908" s="33" t="s">
        <v>922</v>
      </c>
      <c r="C908" s="34">
        <v>1</v>
      </c>
      <c r="D908" s="33" t="s">
        <v>61</v>
      </c>
      <c r="E908" s="34">
        <v>2</v>
      </c>
      <c r="F908" s="35"/>
      <c r="G908" s="38"/>
    </row>
    <row r="909" spans="1:14" x14ac:dyDescent="0.25">
      <c r="A909" s="2"/>
      <c r="B909" s="37"/>
      <c r="C909" s="38"/>
      <c r="D909" s="37"/>
      <c r="E909" s="38"/>
      <c r="F909" s="37"/>
      <c r="G909" s="38"/>
    </row>
    <row r="910" spans="1:14" x14ac:dyDescent="0.25">
      <c r="A910" s="3"/>
      <c r="B910" s="40"/>
      <c r="C910" s="41"/>
      <c r="D910" s="40"/>
      <c r="E910" s="41"/>
      <c r="F910" s="42"/>
      <c r="G910" s="41"/>
    </row>
    <row r="911" spans="1:14" x14ac:dyDescent="0.25">
      <c r="A911" s="4" t="s">
        <v>7</v>
      </c>
      <c r="B911" s="33" t="s">
        <v>50</v>
      </c>
      <c r="C911" s="34">
        <v>1</v>
      </c>
      <c r="D911" s="33" t="s">
        <v>101</v>
      </c>
      <c r="E911" s="34">
        <v>3</v>
      </c>
      <c r="F911" s="39" t="s">
        <v>101</v>
      </c>
      <c r="G911" s="38">
        <v>3</v>
      </c>
    </row>
    <row r="912" spans="1:14" x14ac:dyDescent="0.25">
      <c r="A912" s="2"/>
      <c r="B912" s="37" t="s">
        <v>923</v>
      </c>
      <c r="C912" s="38">
        <v>2</v>
      </c>
      <c r="D912" s="37" t="s">
        <v>61</v>
      </c>
      <c r="E912" s="36" t="s">
        <v>1072</v>
      </c>
      <c r="F912" s="38"/>
      <c r="G912" s="39"/>
    </row>
    <row r="913" spans="1:14" x14ac:dyDescent="0.25">
      <c r="A913" s="3"/>
      <c r="B913" s="40"/>
      <c r="C913" s="41"/>
      <c r="D913" s="40"/>
      <c r="E913" s="41"/>
      <c r="F913" s="42"/>
      <c r="G913" s="41"/>
    </row>
    <row r="914" spans="1:14" x14ac:dyDescent="0.25">
      <c r="A914" s="4" t="s">
        <v>8</v>
      </c>
      <c r="B914" s="33" t="s">
        <v>51</v>
      </c>
      <c r="C914" s="34">
        <v>1</v>
      </c>
      <c r="D914" s="33" t="s">
        <v>51</v>
      </c>
      <c r="E914" s="34">
        <v>1</v>
      </c>
      <c r="F914" s="35" t="s">
        <v>61</v>
      </c>
      <c r="G914" s="38">
        <v>3</v>
      </c>
    </row>
    <row r="915" spans="1:14" x14ac:dyDescent="0.25">
      <c r="A915" s="2"/>
      <c r="B915" s="37" t="s">
        <v>425</v>
      </c>
      <c r="C915" s="38">
        <v>2</v>
      </c>
      <c r="D915" s="37" t="s">
        <v>425</v>
      </c>
      <c r="E915" s="38">
        <v>2</v>
      </c>
      <c r="F915" s="39" t="s">
        <v>51</v>
      </c>
      <c r="G915" s="38">
        <v>1</v>
      </c>
    </row>
    <row r="916" spans="1:14" x14ac:dyDescent="0.25">
      <c r="A916" s="3"/>
      <c r="B916" s="40"/>
      <c r="C916" s="41"/>
      <c r="D916" s="40"/>
      <c r="E916" s="41"/>
      <c r="F916" s="42" t="s">
        <v>425</v>
      </c>
      <c r="G916" s="41">
        <v>2</v>
      </c>
    </row>
    <row r="917" spans="1:14" x14ac:dyDescent="0.25">
      <c r="A917" s="2" t="s">
        <v>9</v>
      </c>
      <c r="B917" s="37" t="s">
        <v>426</v>
      </c>
      <c r="C917" s="38">
        <v>1</v>
      </c>
      <c r="D917" s="37" t="s">
        <v>426</v>
      </c>
      <c r="E917" s="38">
        <v>1</v>
      </c>
      <c r="F917" s="39" t="s">
        <v>659</v>
      </c>
      <c r="G917" s="38">
        <v>4</v>
      </c>
    </row>
    <row r="918" spans="1:14" x14ac:dyDescent="0.25">
      <c r="A918" s="2"/>
      <c r="B918" s="37" t="s">
        <v>924</v>
      </c>
      <c r="C918" s="38">
        <v>2</v>
      </c>
      <c r="D918" s="37" t="s">
        <v>111</v>
      </c>
      <c r="E918" s="38">
        <v>4</v>
      </c>
      <c r="F918" s="48" t="s">
        <v>426</v>
      </c>
      <c r="G918" s="38">
        <v>1</v>
      </c>
    </row>
    <row r="919" spans="1:14" x14ac:dyDescent="0.25">
      <c r="A919" s="3"/>
      <c r="B919" s="40" t="s">
        <v>925</v>
      </c>
      <c r="C919" s="41">
        <v>3</v>
      </c>
      <c r="D919" s="40"/>
      <c r="E919" s="41"/>
      <c r="F919" s="42"/>
      <c r="G919" s="41"/>
    </row>
    <row r="920" spans="1:14" x14ac:dyDescent="0.25">
      <c r="A920" s="2" t="s">
        <v>1224</v>
      </c>
      <c r="B920" s="37" t="s">
        <v>1265</v>
      </c>
      <c r="C920" s="38" t="s">
        <v>1074</v>
      </c>
      <c r="D920" s="37" t="s">
        <v>845</v>
      </c>
      <c r="E920" s="38" t="s">
        <v>1072</v>
      </c>
      <c r="F920" s="39" t="s">
        <v>751</v>
      </c>
      <c r="G920" s="36" t="s">
        <v>1074</v>
      </c>
      <c r="H920" s="8"/>
    </row>
    <row r="921" spans="1:14" x14ac:dyDescent="0.25">
      <c r="A921" s="2"/>
      <c r="B921" s="44"/>
      <c r="C921" s="38"/>
      <c r="D921" s="37"/>
      <c r="E921" s="38"/>
      <c r="F921" s="39"/>
      <c r="G921" s="36"/>
      <c r="H921" s="8"/>
    </row>
    <row r="922" spans="1:14" x14ac:dyDescent="0.25">
      <c r="A922" s="3"/>
      <c r="B922" s="40"/>
      <c r="C922" s="41"/>
      <c r="D922" s="40"/>
      <c r="E922" s="41"/>
      <c r="F922" s="42"/>
      <c r="G922" s="43"/>
      <c r="H922" s="8"/>
    </row>
    <row r="924" spans="1:14" x14ac:dyDescent="0.25">
      <c r="A924" s="1">
        <v>47</v>
      </c>
      <c r="B924" s="29" t="s">
        <v>1164</v>
      </c>
      <c r="C924" s="30"/>
      <c r="D924" s="29" t="s">
        <v>1218</v>
      </c>
      <c r="E924" s="30"/>
      <c r="F924" s="31" t="s">
        <v>1218</v>
      </c>
      <c r="G924" s="49"/>
    </row>
    <row r="925" spans="1:14" x14ac:dyDescent="0.25">
      <c r="A925" s="4" t="s">
        <v>6</v>
      </c>
      <c r="B925" s="33" t="s">
        <v>926</v>
      </c>
      <c r="C925" s="34">
        <v>1</v>
      </c>
      <c r="D925" s="33" t="s">
        <v>427</v>
      </c>
      <c r="E925" s="34" t="s">
        <v>1056</v>
      </c>
      <c r="F925" s="35" t="s">
        <v>660</v>
      </c>
      <c r="G925" s="34">
        <v>1</v>
      </c>
      <c r="I925" s="7">
        <v>1</v>
      </c>
      <c r="J925" s="6">
        <v>0</v>
      </c>
      <c r="K925" s="7">
        <v>1</v>
      </c>
      <c r="L925" s="6">
        <v>1</v>
      </c>
      <c r="M925" s="7">
        <v>1</v>
      </c>
      <c r="N925" s="7">
        <v>1</v>
      </c>
    </row>
    <row r="926" spans="1:14" x14ac:dyDescent="0.25">
      <c r="A926" s="2"/>
      <c r="B926" s="37" t="s">
        <v>927</v>
      </c>
      <c r="C926" s="38">
        <v>2</v>
      </c>
      <c r="D926" s="37"/>
      <c r="E926" s="38"/>
      <c r="F926" s="39"/>
      <c r="G926" s="38"/>
    </row>
    <row r="927" spans="1:14" x14ac:dyDescent="0.25">
      <c r="A927" s="3"/>
      <c r="B927" s="40" t="s">
        <v>928</v>
      </c>
      <c r="C927" s="41">
        <v>3</v>
      </c>
      <c r="D927" s="40"/>
      <c r="E927" s="41"/>
      <c r="F927" s="42"/>
      <c r="G927" s="41"/>
    </row>
    <row r="928" spans="1:14" x14ac:dyDescent="0.25">
      <c r="A928" s="4" t="s">
        <v>5</v>
      </c>
      <c r="B928" s="33" t="s">
        <v>929</v>
      </c>
      <c r="C928" s="34">
        <v>1</v>
      </c>
      <c r="D928" s="33" t="s">
        <v>428</v>
      </c>
      <c r="E928" s="34">
        <v>2</v>
      </c>
      <c r="F928" s="35"/>
      <c r="G928" s="38"/>
    </row>
    <row r="929" spans="1:8" x14ac:dyDescent="0.25">
      <c r="A929" s="2"/>
      <c r="B929" s="37"/>
      <c r="C929" s="38"/>
      <c r="D929" s="37"/>
      <c r="E929" s="38"/>
      <c r="F929" s="37"/>
      <c r="G929" s="38"/>
    </row>
    <row r="930" spans="1:8" x14ac:dyDescent="0.25">
      <c r="A930" s="3"/>
      <c r="B930" s="40"/>
      <c r="C930" s="41"/>
      <c r="D930" s="40"/>
      <c r="E930" s="41"/>
      <c r="F930" s="42"/>
      <c r="G930" s="41"/>
    </row>
    <row r="931" spans="1:8" x14ac:dyDescent="0.25">
      <c r="A931" s="4" t="s">
        <v>7</v>
      </c>
      <c r="B931" s="33" t="s">
        <v>57</v>
      </c>
      <c r="C931" s="34">
        <v>1</v>
      </c>
      <c r="D931" s="33" t="s">
        <v>428</v>
      </c>
      <c r="E931" s="34">
        <v>2</v>
      </c>
      <c r="F931" s="39" t="s">
        <v>101</v>
      </c>
      <c r="G931" s="38">
        <v>2</v>
      </c>
    </row>
    <row r="932" spans="1:8" x14ac:dyDescent="0.25">
      <c r="A932" s="2"/>
      <c r="B932" s="37"/>
      <c r="C932" s="38"/>
      <c r="D932" s="37"/>
      <c r="E932" s="36"/>
      <c r="F932" s="38"/>
      <c r="G932" s="39"/>
    </row>
    <row r="933" spans="1:8" x14ac:dyDescent="0.25">
      <c r="A933" s="3"/>
      <c r="B933" s="40"/>
      <c r="C933" s="41"/>
      <c r="D933" s="40"/>
      <c r="E933" s="41"/>
      <c r="F933" s="42"/>
      <c r="G933" s="41"/>
    </row>
    <row r="934" spans="1:8" x14ac:dyDescent="0.25">
      <c r="A934" s="4" t="s">
        <v>8</v>
      </c>
      <c r="B934" s="33" t="s">
        <v>53</v>
      </c>
      <c r="C934" s="34">
        <v>1</v>
      </c>
      <c r="D934" s="33" t="s">
        <v>53</v>
      </c>
      <c r="E934" s="34">
        <v>1</v>
      </c>
      <c r="F934" s="35" t="s">
        <v>53</v>
      </c>
      <c r="G934" s="38">
        <v>1</v>
      </c>
    </row>
    <row r="935" spans="1:8" x14ac:dyDescent="0.25">
      <c r="A935" s="2"/>
      <c r="B935" s="37"/>
      <c r="C935" s="38"/>
      <c r="D935" s="37"/>
      <c r="E935" s="38"/>
      <c r="F935" s="39"/>
      <c r="G935" s="38"/>
    </row>
    <row r="936" spans="1:8" x14ac:dyDescent="0.25">
      <c r="A936" s="3"/>
      <c r="B936" s="40"/>
      <c r="C936" s="41"/>
      <c r="D936" s="40"/>
      <c r="E936" s="41"/>
      <c r="F936" s="42"/>
      <c r="G936" s="41"/>
    </row>
    <row r="937" spans="1:8" x14ac:dyDescent="0.25">
      <c r="A937" s="2" t="s">
        <v>9</v>
      </c>
      <c r="B937" s="37" t="s">
        <v>429</v>
      </c>
      <c r="C937" s="38">
        <v>1</v>
      </c>
      <c r="D937" s="37" t="s">
        <v>429</v>
      </c>
      <c r="E937" s="38">
        <v>1</v>
      </c>
      <c r="F937" s="39" t="s">
        <v>661</v>
      </c>
      <c r="G937" s="38">
        <v>2</v>
      </c>
    </row>
    <row r="938" spans="1:8" x14ac:dyDescent="0.25">
      <c r="A938" s="2"/>
      <c r="B938" s="37"/>
      <c r="C938" s="38"/>
      <c r="D938" s="37"/>
      <c r="E938" s="38"/>
      <c r="F938" s="37" t="s">
        <v>429</v>
      </c>
      <c r="G938" s="38">
        <v>1</v>
      </c>
    </row>
    <row r="939" spans="1:8" x14ac:dyDescent="0.25">
      <c r="A939" s="3"/>
      <c r="B939" s="40"/>
      <c r="C939" s="41"/>
      <c r="D939" s="40"/>
      <c r="E939" s="41"/>
      <c r="F939" s="42"/>
      <c r="G939" s="41"/>
    </row>
    <row r="940" spans="1:8" x14ac:dyDescent="0.25">
      <c r="A940" s="2" t="s">
        <v>1224</v>
      </c>
      <c r="B940" s="37" t="s">
        <v>1266</v>
      </c>
      <c r="C940" s="38" t="s">
        <v>1074</v>
      </c>
      <c r="D940" s="37"/>
      <c r="E940" s="38"/>
      <c r="F940" s="39"/>
      <c r="G940" s="36"/>
      <c r="H940" s="8"/>
    </row>
    <row r="941" spans="1:8" x14ac:dyDescent="0.25">
      <c r="A941" s="2"/>
      <c r="B941" s="44"/>
      <c r="C941" s="38"/>
      <c r="D941" s="37"/>
      <c r="E941" s="38"/>
      <c r="F941" s="39"/>
      <c r="G941" s="36"/>
      <c r="H941" s="8"/>
    </row>
    <row r="942" spans="1:8" x14ac:dyDescent="0.25">
      <c r="A942" s="3"/>
      <c r="B942" s="40"/>
      <c r="C942" s="41"/>
      <c r="D942" s="40"/>
      <c r="E942" s="41"/>
      <c r="F942" s="42"/>
      <c r="G942" s="43"/>
      <c r="H942" s="8"/>
    </row>
    <row r="944" spans="1:8" x14ac:dyDescent="0.25">
      <c r="A944" s="1">
        <v>48</v>
      </c>
      <c r="B944" s="29" t="s">
        <v>1165</v>
      </c>
      <c r="C944" s="30"/>
      <c r="D944" s="29" t="s">
        <v>1218</v>
      </c>
      <c r="E944" s="30"/>
      <c r="F944" s="31" t="s">
        <v>1218</v>
      </c>
      <c r="G944" s="49"/>
    </row>
    <row r="945" spans="1:14" x14ac:dyDescent="0.25">
      <c r="A945" s="4" t="s">
        <v>6</v>
      </c>
      <c r="B945" s="33" t="s">
        <v>430</v>
      </c>
      <c r="C945" s="34">
        <v>1</v>
      </c>
      <c r="D945" s="33" t="s">
        <v>430</v>
      </c>
      <c r="E945" s="34">
        <v>1</v>
      </c>
      <c r="F945" s="35" t="s">
        <v>662</v>
      </c>
      <c r="G945" s="34">
        <v>1</v>
      </c>
      <c r="I945" s="7">
        <v>1</v>
      </c>
      <c r="J945" s="6">
        <v>1</v>
      </c>
      <c r="K945" s="7">
        <v>0</v>
      </c>
      <c r="L945" s="6">
        <v>0.33333333333333337</v>
      </c>
      <c r="M945" s="7">
        <v>1</v>
      </c>
      <c r="N945" s="7">
        <v>1</v>
      </c>
    </row>
    <row r="946" spans="1:14" x14ac:dyDescent="0.25">
      <c r="A946" s="2"/>
      <c r="B946" s="37" t="s">
        <v>930</v>
      </c>
      <c r="C946" s="38">
        <v>2</v>
      </c>
      <c r="E946" s="38"/>
      <c r="F946" s="39"/>
      <c r="G946" s="38"/>
    </row>
    <row r="947" spans="1:14" x14ac:dyDescent="0.25">
      <c r="A947" s="3"/>
      <c r="B947" s="40" t="s">
        <v>931</v>
      </c>
      <c r="C947" s="41">
        <v>3</v>
      </c>
      <c r="D947" s="40"/>
      <c r="E947" s="41"/>
      <c r="F947" s="42"/>
      <c r="G947" s="41"/>
    </row>
    <row r="948" spans="1:14" x14ac:dyDescent="0.25">
      <c r="A948" s="4" t="s">
        <v>5</v>
      </c>
      <c r="B948" s="33" t="s">
        <v>23</v>
      </c>
      <c r="C948" s="34">
        <v>1</v>
      </c>
      <c r="D948" s="37" t="s">
        <v>23</v>
      </c>
      <c r="E948" s="34">
        <v>1</v>
      </c>
      <c r="F948" s="35" t="s">
        <v>23</v>
      </c>
      <c r="G948" s="38">
        <v>1</v>
      </c>
    </row>
    <row r="949" spans="1:14" x14ac:dyDescent="0.25">
      <c r="A949" s="2"/>
      <c r="B949" s="37" t="s">
        <v>932</v>
      </c>
      <c r="C949" s="38">
        <v>2</v>
      </c>
      <c r="D949" s="37" t="s">
        <v>61</v>
      </c>
      <c r="E949" s="38">
        <v>3</v>
      </c>
      <c r="F949" s="37"/>
      <c r="G949" s="38"/>
    </row>
    <row r="950" spans="1:14" x14ac:dyDescent="0.25">
      <c r="A950" s="3"/>
      <c r="B950" s="40"/>
      <c r="C950" s="41"/>
      <c r="D950" s="40"/>
      <c r="E950" s="41"/>
      <c r="F950" s="42"/>
      <c r="G950" s="41"/>
    </row>
    <row r="951" spans="1:14" x14ac:dyDescent="0.25">
      <c r="A951" s="4" t="s">
        <v>7</v>
      </c>
      <c r="B951" s="33" t="s">
        <v>57</v>
      </c>
      <c r="C951" s="34">
        <v>1</v>
      </c>
      <c r="D951" s="33" t="s">
        <v>61</v>
      </c>
      <c r="E951" s="34">
        <v>2</v>
      </c>
      <c r="G951" s="38"/>
    </row>
    <row r="952" spans="1:14" x14ac:dyDescent="0.25">
      <c r="A952" s="2"/>
      <c r="B952" s="37"/>
      <c r="C952" s="38"/>
      <c r="D952" s="37"/>
      <c r="E952" s="36"/>
      <c r="F952" s="38"/>
      <c r="G952" s="39"/>
    </row>
    <row r="953" spans="1:14" x14ac:dyDescent="0.25">
      <c r="A953" s="3"/>
      <c r="B953" s="40"/>
      <c r="C953" s="41"/>
      <c r="D953" s="40"/>
      <c r="E953" s="41"/>
      <c r="F953" s="42"/>
      <c r="G953" s="41"/>
    </row>
    <row r="954" spans="1:14" x14ac:dyDescent="0.25">
      <c r="A954" s="4" t="s">
        <v>8</v>
      </c>
      <c r="B954" s="33" t="s">
        <v>51</v>
      </c>
      <c r="C954" s="34">
        <v>1</v>
      </c>
      <c r="D954" s="33" t="s">
        <v>51</v>
      </c>
      <c r="E954" s="34">
        <v>1</v>
      </c>
      <c r="F954" s="53" t="s">
        <v>61</v>
      </c>
      <c r="G954" s="38">
        <v>3</v>
      </c>
    </row>
    <row r="955" spans="1:14" x14ac:dyDescent="0.25">
      <c r="A955" s="2"/>
      <c r="B955" s="37" t="s">
        <v>47</v>
      </c>
      <c r="C955" s="38">
        <v>2</v>
      </c>
      <c r="D955" s="37"/>
      <c r="E955" s="38"/>
      <c r="F955" s="39"/>
      <c r="G955" s="38"/>
    </row>
    <row r="956" spans="1:14" x14ac:dyDescent="0.25">
      <c r="A956" s="3"/>
      <c r="B956" s="40"/>
      <c r="C956" s="41"/>
      <c r="D956" s="40"/>
      <c r="E956" s="41"/>
      <c r="F956" s="42"/>
      <c r="G956" s="41"/>
    </row>
    <row r="957" spans="1:14" x14ac:dyDescent="0.25">
      <c r="A957" s="2" t="s">
        <v>9</v>
      </c>
      <c r="B957" s="37" t="s">
        <v>933</v>
      </c>
      <c r="C957" s="38">
        <v>1</v>
      </c>
      <c r="D957" s="37" t="s">
        <v>431</v>
      </c>
      <c r="E957" s="38">
        <v>3</v>
      </c>
      <c r="F957" s="39" t="s">
        <v>431</v>
      </c>
      <c r="G957" s="38">
        <v>3</v>
      </c>
    </row>
    <row r="958" spans="1:14" x14ac:dyDescent="0.25">
      <c r="A958" s="2"/>
      <c r="B958" s="37" t="s">
        <v>930</v>
      </c>
      <c r="C958" s="38">
        <v>2</v>
      </c>
      <c r="D958" s="37"/>
      <c r="E958" s="38"/>
      <c r="F958" s="48"/>
      <c r="G958" s="38"/>
    </row>
    <row r="959" spans="1:14" x14ac:dyDescent="0.25">
      <c r="A959" s="3"/>
      <c r="B959" s="40" t="s">
        <v>934</v>
      </c>
      <c r="C959" s="41">
        <v>3</v>
      </c>
      <c r="D959" s="40"/>
      <c r="E959" s="41"/>
      <c r="F959" s="42"/>
      <c r="G959" s="41"/>
    </row>
    <row r="960" spans="1:14" x14ac:dyDescent="0.25">
      <c r="A960" s="2" t="s">
        <v>1224</v>
      </c>
      <c r="B960" s="37" t="s">
        <v>1267</v>
      </c>
      <c r="C960" s="38" t="s">
        <v>1074</v>
      </c>
      <c r="D960" s="37" t="s">
        <v>845</v>
      </c>
      <c r="E960" s="38" t="s">
        <v>1074</v>
      </c>
      <c r="F960" s="39" t="s">
        <v>1379</v>
      </c>
      <c r="G960" s="36" t="s">
        <v>1072</v>
      </c>
      <c r="H960" s="8"/>
    </row>
    <row r="961" spans="1:14" x14ac:dyDescent="0.25">
      <c r="A961" s="2"/>
      <c r="B961" s="44"/>
      <c r="C961" s="38"/>
      <c r="D961" s="37"/>
      <c r="E961" s="38"/>
      <c r="F961" s="39"/>
      <c r="G961" s="36"/>
      <c r="H961" s="8"/>
    </row>
    <row r="962" spans="1:14" x14ac:dyDescent="0.25">
      <c r="A962" s="3"/>
      <c r="B962" s="40"/>
      <c r="C962" s="41"/>
      <c r="D962" s="40"/>
      <c r="E962" s="41"/>
      <c r="F962" s="42"/>
      <c r="G962" s="43"/>
      <c r="H962" s="8"/>
    </row>
    <row r="964" spans="1:14" x14ac:dyDescent="0.25">
      <c r="A964" s="1">
        <v>49</v>
      </c>
      <c r="B964" s="29" t="s">
        <v>1166</v>
      </c>
      <c r="C964" s="30"/>
      <c r="D964" s="29" t="s">
        <v>1218</v>
      </c>
      <c r="E964" s="30"/>
      <c r="F964" s="31" t="s">
        <v>1218</v>
      </c>
      <c r="G964" s="49"/>
    </row>
    <row r="965" spans="1:14" x14ac:dyDescent="0.25">
      <c r="A965" s="4" t="s">
        <v>6</v>
      </c>
      <c r="B965" s="33" t="s">
        <v>935</v>
      </c>
      <c r="C965" s="34">
        <v>1</v>
      </c>
      <c r="D965" s="33" t="s">
        <v>432</v>
      </c>
      <c r="E965" s="34" t="s">
        <v>1056</v>
      </c>
      <c r="F965" s="35" t="s">
        <v>663</v>
      </c>
      <c r="G965" s="34">
        <v>2</v>
      </c>
      <c r="I965" s="7">
        <v>1</v>
      </c>
      <c r="J965" s="6">
        <v>0</v>
      </c>
      <c r="K965" s="7">
        <v>0.33333333333333337</v>
      </c>
      <c r="L965" s="6">
        <v>1</v>
      </c>
      <c r="M965" s="7">
        <v>1</v>
      </c>
      <c r="N965" s="7">
        <v>1</v>
      </c>
    </row>
    <row r="966" spans="1:14" x14ac:dyDescent="0.25">
      <c r="A966" s="2"/>
      <c r="B966" s="37" t="s">
        <v>936</v>
      </c>
      <c r="C966" s="38">
        <v>2</v>
      </c>
      <c r="D966" s="37"/>
      <c r="E966" s="38"/>
      <c r="F966" s="39" t="s">
        <v>664</v>
      </c>
      <c r="G966" s="38">
        <v>3</v>
      </c>
    </row>
    <row r="967" spans="1:14" x14ac:dyDescent="0.25">
      <c r="A967" s="3"/>
      <c r="B967" s="40" t="s">
        <v>937</v>
      </c>
      <c r="C967" s="41">
        <v>3</v>
      </c>
      <c r="D967" s="40"/>
      <c r="E967" s="41"/>
      <c r="F967" s="42"/>
      <c r="G967" s="41"/>
    </row>
    <row r="968" spans="1:14" x14ac:dyDescent="0.25">
      <c r="A968" s="4" t="s">
        <v>5</v>
      </c>
      <c r="B968" s="33" t="s">
        <v>938</v>
      </c>
      <c r="C968" s="34">
        <v>1</v>
      </c>
      <c r="D968" s="33" t="s">
        <v>433</v>
      </c>
      <c r="E968" s="34">
        <v>3</v>
      </c>
      <c r="F968" s="35"/>
      <c r="G968" s="38"/>
    </row>
    <row r="969" spans="1:14" x14ac:dyDescent="0.25">
      <c r="A969" s="2"/>
      <c r="B969" s="37" t="s">
        <v>929</v>
      </c>
      <c r="C969" s="38">
        <v>2</v>
      </c>
      <c r="D969" s="37"/>
      <c r="E969" s="38"/>
      <c r="F969" s="37"/>
      <c r="G969" s="38"/>
    </row>
    <row r="970" spans="1:14" x14ac:dyDescent="0.25">
      <c r="A970" s="3"/>
      <c r="B970" s="40"/>
      <c r="C970" s="41"/>
      <c r="D970" s="40"/>
      <c r="E970" s="41"/>
      <c r="F970" s="42"/>
      <c r="G970" s="41"/>
    </row>
    <row r="971" spans="1:14" x14ac:dyDescent="0.25">
      <c r="A971" s="4" t="s">
        <v>7</v>
      </c>
      <c r="B971" s="33" t="s">
        <v>57</v>
      </c>
      <c r="C971" s="34">
        <v>1</v>
      </c>
      <c r="D971" s="33" t="s">
        <v>101</v>
      </c>
      <c r="E971" s="34">
        <v>2</v>
      </c>
      <c r="F971" s="39" t="s">
        <v>101</v>
      </c>
      <c r="G971" s="38">
        <v>2</v>
      </c>
    </row>
    <row r="972" spans="1:14" x14ac:dyDescent="0.25">
      <c r="A972" s="2"/>
      <c r="B972" s="37"/>
      <c r="C972" s="38"/>
      <c r="D972" s="37"/>
      <c r="E972" s="36"/>
      <c r="F972" s="38"/>
      <c r="G972" s="39"/>
    </row>
    <row r="973" spans="1:14" x14ac:dyDescent="0.25">
      <c r="A973" s="3"/>
      <c r="B973" s="40"/>
      <c r="C973" s="41"/>
      <c r="D973" s="40"/>
      <c r="E973" s="41"/>
      <c r="F973" s="42"/>
      <c r="G973" s="41"/>
    </row>
    <row r="974" spans="1:14" x14ac:dyDescent="0.25">
      <c r="A974" s="4" t="s">
        <v>8</v>
      </c>
      <c r="B974" s="33" t="s">
        <v>434</v>
      </c>
      <c r="C974" s="34">
        <v>1</v>
      </c>
      <c r="D974" s="33" t="s">
        <v>434</v>
      </c>
      <c r="E974" s="34">
        <v>1</v>
      </c>
      <c r="F974" s="35" t="s">
        <v>434</v>
      </c>
      <c r="G974" s="38">
        <v>1</v>
      </c>
    </row>
    <row r="975" spans="1:14" x14ac:dyDescent="0.25">
      <c r="A975" s="2"/>
      <c r="B975" s="37"/>
      <c r="C975" s="38"/>
      <c r="D975" s="37"/>
      <c r="E975" s="38"/>
      <c r="F975" s="39"/>
      <c r="G975" s="38"/>
    </row>
    <row r="976" spans="1:14" x14ac:dyDescent="0.25">
      <c r="A976" s="3"/>
      <c r="B976" s="40"/>
      <c r="C976" s="41"/>
      <c r="D976" s="40"/>
      <c r="E976" s="41"/>
      <c r="F976" s="42"/>
      <c r="G976" s="41"/>
    </row>
    <row r="977" spans="1:14" x14ac:dyDescent="0.25">
      <c r="A977" s="2" t="s">
        <v>9</v>
      </c>
      <c r="B977" s="37" t="s">
        <v>939</v>
      </c>
      <c r="C977" s="38">
        <v>1</v>
      </c>
      <c r="D977" s="37" t="s">
        <v>435</v>
      </c>
      <c r="E977" s="38">
        <v>3</v>
      </c>
      <c r="F977" s="39" t="s">
        <v>665</v>
      </c>
      <c r="G977" s="38" t="s">
        <v>1073</v>
      </c>
    </row>
    <row r="978" spans="1:14" x14ac:dyDescent="0.25">
      <c r="A978" s="2"/>
      <c r="B978" s="37" t="s">
        <v>937</v>
      </c>
      <c r="C978" s="38">
        <v>2</v>
      </c>
      <c r="D978" s="37" t="s">
        <v>939</v>
      </c>
      <c r="E978" s="38" t="s">
        <v>1074</v>
      </c>
      <c r="F978" s="48"/>
      <c r="G978" s="38"/>
    </row>
    <row r="979" spans="1:14" x14ac:dyDescent="0.25">
      <c r="A979" s="3"/>
      <c r="B979" s="40" t="s">
        <v>1097</v>
      </c>
      <c r="C979" s="41" t="s">
        <v>1073</v>
      </c>
      <c r="D979" s="40"/>
      <c r="E979" s="41"/>
      <c r="F979" s="42"/>
      <c r="G979" s="41"/>
    </row>
    <row r="980" spans="1:14" x14ac:dyDescent="0.25">
      <c r="A980" s="2" t="s">
        <v>1224</v>
      </c>
      <c r="B980" s="37"/>
      <c r="C980" s="38"/>
      <c r="D980" s="37"/>
      <c r="E980" s="38"/>
      <c r="F980" s="39"/>
      <c r="G980" s="36"/>
      <c r="H980" s="8"/>
    </row>
    <row r="981" spans="1:14" x14ac:dyDescent="0.25">
      <c r="A981" s="2"/>
      <c r="B981" s="44"/>
      <c r="C981" s="38"/>
      <c r="D981" s="37"/>
      <c r="E981" s="38"/>
      <c r="F981" s="39"/>
      <c r="G981" s="36"/>
      <c r="H981" s="8"/>
    </row>
    <row r="982" spans="1:14" x14ac:dyDescent="0.25">
      <c r="A982" s="3"/>
      <c r="B982" s="40"/>
      <c r="C982" s="41"/>
      <c r="D982" s="40"/>
      <c r="E982" s="41"/>
      <c r="F982" s="42"/>
      <c r="G982" s="43"/>
      <c r="H982" s="8"/>
    </row>
    <row r="984" spans="1:14" x14ac:dyDescent="0.25">
      <c r="A984" s="1">
        <v>50</v>
      </c>
      <c r="B984" s="29" t="s">
        <v>1167</v>
      </c>
      <c r="C984" s="30"/>
      <c r="D984" s="29" t="s">
        <v>1218</v>
      </c>
      <c r="E984" s="30"/>
      <c r="F984" s="31" t="s">
        <v>1218</v>
      </c>
      <c r="G984" s="49"/>
    </row>
    <row r="985" spans="1:14" x14ac:dyDescent="0.25">
      <c r="A985" s="4" t="s">
        <v>6</v>
      </c>
      <c r="B985" s="33" t="s">
        <v>436</v>
      </c>
      <c r="C985" s="34">
        <v>1</v>
      </c>
      <c r="D985" s="33" t="s">
        <v>436</v>
      </c>
      <c r="E985" s="34">
        <v>1</v>
      </c>
      <c r="F985" s="35" t="s">
        <v>666</v>
      </c>
      <c r="G985" s="34">
        <v>1</v>
      </c>
      <c r="I985" s="7">
        <v>1</v>
      </c>
      <c r="J985" s="6">
        <v>1</v>
      </c>
      <c r="K985" s="7">
        <v>0</v>
      </c>
      <c r="L985" s="6">
        <v>1</v>
      </c>
      <c r="M985" s="7">
        <v>0</v>
      </c>
      <c r="N985" s="7">
        <v>0</v>
      </c>
    </row>
    <row r="986" spans="1:14" x14ac:dyDescent="0.25">
      <c r="A986" s="2"/>
      <c r="B986" s="37" t="s">
        <v>940</v>
      </c>
      <c r="C986" s="38">
        <v>2</v>
      </c>
      <c r="D986" s="37" t="s">
        <v>437</v>
      </c>
      <c r="E986" s="38">
        <v>3</v>
      </c>
      <c r="F986" s="39" t="s">
        <v>667</v>
      </c>
      <c r="G986" s="38">
        <v>2</v>
      </c>
    </row>
    <row r="987" spans="1:14" x14ac:dyDescent="0.25">
      <c r="A987" s="3"/>
      <c r="B987" s="40"/>
      <c r="C987" s="41"/>
      <c r="D987" s="40"/>
      <c r="E987" s="41"/>
      <c r="F987" s="42"/>
      <c r="G987" s="41"/>
    </row>
    <row r="988" spans="1:14" x14ac:dyDescent="0.25">
      <c r="A988" s="4" t="s">
        <v>5</v>
      </c>
      <c r="B988" s="33" t="s">
        <v>23</v>
      </c>
      <c r="C988" s="34">
        <v>1</v>
      </c>
      <c r="D988" s="33" t="s">
        <v>438</v>
      </c>
      <c r="E988" s="34">
        <v>1</v>
      </c>
      <c r="F988" s="35" t="s">
        <v>23</v>
      </c>
      <c r="G988" s="38">
        <v>1</v>
      </c>
    </row>
    <row r="989" spans="1:14" x14ac:dyDescent="0.25">
      <c r="A989" s="2"/>
      <c r="B989" s="37"/>
      <c r="C989" s="38"/>
      <c r="D989" s="37"/>
      <c r="E989" s="38"/>
      <c r="F989" s="37"/>
      <c r="G989" s="38"/>
    </row>
    <row r="990" spans="1:14" x14ac:dyDescent="0.25">
      <c r="A990" s="3"/>
      <c r="B990" s="40"/>
      <c r="C990" s="41"/>
      <c r="D990" s="40"/>
      <c r="E990" s="41"/>
      <c r="F990" s="42"/>
      <c r="G990" s="41"/>
    </row>
    <row r="991" spans="1:14" x14ac:dyDescent="0.25">
      <c r="A991" s="4" t="s">
        <v>7</v>
      </c>
      <c r="B991" s="33" t="s">
        <v>57</v>
      </c>
      <c r="C991" s="34">
        <v>1</v>
      </c>
      <c r="D991" s="33" t="s">
        <v>61</v>
      </c>
      <c r="E991" s="34">
        <v>2</v>
      </c>
      <c r="F991" s="39" t="s">
        <v>101</v>
      </c>
      <c r="G991" s="38">
        <v>3</v>
      </c>
    </row>
    <row r="992" spans="1:14" x14ac:dyDescent="0.25">
      <c r="A992" s="2"/>
      <c r="B992" s="37"/>
      <c r="C992" s="38"/>
      <c r="D992" s="37"/>
      <c r="E992" s="36"/>
      <c r="F992" s="38"/>
      <c r="G992" s="39"/>
    </row>
    <row r="993" spans="1:14" x14ac:dyDescent="0.25">
      <c r="A993" s="3"/>
      <c r="B993" s="40"/>
      <c r="C993" s="41"/>
      <c r="D993" s="40"/>
      <c r="E993" s="41"/>
      <c r="F993" s="42"/>
      <c r="G993" s="41"/>
    </row>
    <row r="994" spans="1:14" x14ac:dyDescent="0.25">
      <c r="A994" s="4" t="s">
        <v>8</v>
      </c>
      <c r="B994" s="33" t="s">
        <v>62</v>
      </c>
      <c r="C994" s="34">
        <v>1</v>
      </c>
      <c r="D994" s="33" t="s">
        <v>62</v>
      </c>
      <c r="E994" s="34">
        <v>1</v>
      </c>
      <c r="F994" s="35" t="s">
        <v>62</v>
      </c>
      <c r="G994" s="38">
        <v>1</v>
      </c>
    </row>
    <row r="995" spans="1:14" x14ac:dyDescent="0.25">
      <c r="A995" s="2"/>
      <c r="B995" s="37" t="s">
        <v>439</v>
      </c>
      <c r="C995" s="38">
        <v>2</v>
      </c>
      <c r="D995" s="37" t="s">
        <v>439</v>
      </c>
      <c r="E995" s="38">
        <v>2</v>
      </c>
      <c r="F995" s="39" t="s">
        <v>439</v>
      </c>
      <c r="G995" s="38">
        <v>2</v>
      </c>
    </row>
    <row r="996" spans="1:14" x14ac:dyDescent="0.25">
      <c r="A996" s="3"/>
      <c r="B996" s="40"/>
      <c r="C996" s="41"/>
      <c r="D996" s="40" t="s">
        <v>440</v>
      </c>
      <c r="E996" s="41">
        <v>3</v>
      </c>
      <c r="F996" s="42"/>
      <c r="G996" s="41"/>
    </row>
    <row r="997" spans="1:14" x14ac:dyDescent="0.25">
      <c r="A997" s="2" t="s">
        <v>9</v>
      </c>
      <c r="B997" s="37" t="s">
        <v>437</v>
      </c>
      <c r="C997" s="38">
        <v>1</v>
      </c>
      <c r="D997" s="37" t="s">
        <v>441</v>
      </c>
      <c r="E997" s="38" t="s">
        <v>1077</v>
      </c>
      <c r="F997" s="39" t="s">
        <v>668</v>
      </c>
      <c r="G997" s="38" t="s">
        <v>1107</v>
      </c>
    </row>
    <row r="998" spans="1:14" x14ac:dyDescent="0.25">
      <c r="A998" s="2"/>
      <c r="B998" s="37" t="s">
        <v>941</v>
      </c>
      <c r="C998" s="38">
        <v>2</v>
      </c>
      <c r="D998" s="37"/>
      <c r="E998" s="38"/>
      <c r="F998" s="48"/>
      <c r="G998" s="38"/>
    </row>
    <row r="999" spans="1:14" x14ac:dyDescent="0.25">
      <c r="A999" s="3"/>
      <c r="B999" s="40" t="s">
        <v>942</v>
      </c>
      <c r="C999" s="41">
        <v>3</v>
      </c>
      <c r="D999" s="40"/>
      <c r="E999" s="41"/>
      <c r="F999" s="42"/>
      <c r="G999" s="41"/>
    </row>
    <row r="1000" spans="1:14" x14ac:dyDescent="0.25">
      <c r="A1000" s="2" t="s">
        <v>1224</v>
      </c>
      <c r="B1000" s="37" t="s">
        <v>1268</v>
      </c>
      <c r="C1000" s="38" t="s">
        <v>1074</v>
      </c>
      <c r="D1000" s="37" t="s">
        <v>1324</v>
      </c>
      <c r="E1000" s="38" t="s">
        <v>1072</v>
      </c>
      <c r="F1000" s="39"/>
      <c r="G1000" s="36"/>
      <c r="H1000" s="8"/>
    </row>
    <row r="1001" spans="1:14" x14ac:dyDescent="0.25">
      <c r="A1001" s="2"/>
      <c r="B1001" s="44"/>
      <c r="C1001" s="38"/>
      <c r="D1001" s="37"/>
      <c r="E1001" s="38"/>
      <c r="F1001" s="39"/>
      <c r="G1001" s="36"/>
      <c r="H1001" s="8"/>
    </row>
    <row r="1002" spans="1:14" x14ac:dyDescent="0.25">
      <c r="A1002" s="3"/>
      <c r="B1002" s="40"/>
      <c r="C1002" s="41"/>
      <c r="D1002" s="40"/>
      <c r="E1002" s="41"/>
      <c r="F1002" s="42"/>
      <c r="G1002" s="43"/>
      <c r="H1002" s="8"/>
    </row>
    <row r="1004" spans="1:14" x14ac:dyDescent="0.25">
      <c r="A1004" s="1">
        <v>51</v>
      </c>
      <c r="B1004" s="29" t="s">
        <v>1168</v>
      </c>
      <c r="C1004" s="30"/>
      <c r="D1004" s="29" t="s">
        <v>1218</v>
      </c>
      <c r="E1004" s="30"/>
      <c r="F1004" s="31" t="s">
        <v>1218</v>
      </c>
      <c r="G1004" s="49"/>
    </row>
    <row r="1005" spans="1:14" x14ac:dyDescent="0.25">
      <c r="A1005" s="4" t="s">
        <v>6</v>
      </c>
      <c r="B1005" s="33" t="s">
        <v>521</v>
      </c>
      <c r="C1005" s="34">
        <v>1</v>
      </c>
      <c r="D1005" s="33" t="s">
        <v>442</v>
      </c>
      <c r="E1005" s="34">
        <v>1</v>
      </c>
      <c r="F1005" s="35" t="s">
        <v>442</v>
      </c>
      <c r="G1005" s="34">
        <v>1</v>
      </c>
      <c r="I1005" s="7">
        <v>1</v>
      </c>
      <c r="J1005" s="6">
        <v>0.33333333333333337</v>
      </c>
      <c r="K1005" s="7">
        <v>0.66666666666666674</v>
      </c>
      <c r="L1005" s="6">
        <v>1</v>
      </c>
      <c r="M1005" s="7">
        <v>0.33333333333333337</v>
      </c>
      <c r="N1005" s="7">
        <v>0.33333333333333337</v>
      </c>
    </row>
    <row r="1006" spans="1:14" x14ac:dyDescent="0.25">
      <c r="A1006" s="2"/>
      <c r="B1006" s="37"/>
      <c r="C1006" s="38"/>
      <c r="D1006" s="37" t="s">
        <v>443</v>
      </c>
      <c r="E1006" s="38">
        <v>2</v>
      </c>
      <c r="F1006" s="39" t="s">
        <v>747</v>
      </c>
      <c r="G1006" s="38">
        <v>1</v>
      </c>
    </row>
    <row r="1007" spans="1:14" x14ac:dyDescent="0.25">
      <c r="A1007" s="3"/>
      <c r="B1007" s="40"/>
      <c r="C1007" s="41"/>
      <c r="D1007" s="40" t="s">
        <v>444</v>
      </c>
      <c r="E1007" s="41">
        <v>3</v>
      </c>
      <c r="F1007" s="42" t="s">
        <v>748</v>
      </c>
      <c r="G1007" s="41">
        <v>1</v>
      </c>
    </row>
    <row r="1008" spans="1:14" x14ac:dyDescent="0.25">
      <c r="A1008" s="4" t="s">
        <v>5</v>
      </c>
      <c r="B1008" s="33"/>
      <c r="C1008" s="34"/>
      <c r="D1008" s="33" t="s">
        <v>61</v>
      </c>
      <c r="E1008" s="34">
        <v>1</v>
      </c>
      <c r="F1008" s="35" t="s">
        <v>61</v>
      </c>
      <c r="G1008" s="38">
        <v>1</v>
      </c>
    </row>
    <row r="1009" spans="1:8" x14ac:dyDescent="0.25">
      <c r="A1009" s="2"/>
      <c r="B1009" s="37"/>
      <c r="C1009" s="38"/>
      <c r="D1009" s="37"/>
      <c r="E1009" s="38"/>
      <c r="F1009" s="37" t="s">
        <v>749</v>
      </c>
      <c r="G1009" s="38">
        <v>2</v>
      </c>
    </row>
    <row r="1010" spans="1:8" x14ac:dyDescent="0.25">
      <c r="A1010" s="3"/>
      <c r="B1010" s="40"/>
      <c r="C1010" s="41"/>
      <c r="D1010" s="40"/>
      <c r="E1010" s="41"/>
      <c r="F1010" s="42"/>
      <c r="G1010" s="41"/>
    </row>
    <row r="1011" spans="1:8" x14ac:dyDescent="0.25">
      <c r="A1011" s="4" t="s">
        <v>7</v>
      </c>
      <c r="B1011" s="33" t="s">
        <v>61</v>
      </c>
      <c r="C1011" s="34">
        <v>1</v>
      </c>
      <c r="D1011" s="33" t="s">
        <v>445</v>
      </c>
      <c r="E1011" s="34">
        <v>3</v>
      </c>
      <c r="F1011" s="39" t="s">
        <v>522</v>
      </c>
      <c r="G1011" s="38">
        <v>2</v>
      </c>
    </row>
    <row r="1012" spans="1:8" x14ac:dyDescent="0.25">
      <c r="A1012" s="2"/>
      <c r="B1012" s="37" t="s">
        <v>522</v>
      </c>
      <c r="C1012" s="38">
        <v>2</v>
      </c>
      <c r="D1012" s="37" t="s">
        <v>446</v>
      </c>
      <c r="E1012" s="36">
        <v>4</v>
      </c>
      <c r="F1012" s="38" t="s">
        <v>61</v>
      </c>
      <c r="G1012" s="39">
        <v>1</v>
      </c>
    </row>
    <row r="1013" spans="1:8" x14ac:dyDescent="0.25">
      <c r="A1013" s="3"/>
      <c r="B1013" s="40"/>
      <c r="C1013" s="41"/>
      <c r="D1013" s="40"/>
      <c r="E1013" s="41"/>
      <c r="F1013" s="42" t="s">
        <v>57</v>
      </c>
      <c r="G1013" s="41">
        <v>4</v>
      </c>
    </row>
    <row r="1014" spans="1:8" x14ac:dyDescent="0.25">
      <c r="A1014" s="4" t="s">
        <v>8</v>
      </c>
      <c r="B1014" s="33" t="s">
        <v>62</v>
      </c>
      <c r="C1014" s="34">
        <v>1</v>
      </c>
      <c r="D1014" s="33" t="s">
        <v>62</v>
      </c>
      <c r="E1014" s="34">
        <v>1</v>
      </c>
      <c r="F1014" s="35" t="s">
        <v>62</v>
      </c>
      <c r="G1014" s="38">
        <v>1</v>
      </c>
    </row>
    <row r="1015" spans="1:8" x14ac:dyDescent="0.25">
      <c r="A1015" s="2"/>
      <c r="B1015" s="37"/>
      <c r="C1015" s="38"/>
      <c r="D1015" s="37" t="s">
        <v>425</v>
      </c>
      <c r="E1015" s="38">
        <v>2</v>
      </c>
      <c r="F1015" s="39" t="s">
        <v>750</v>
      </c>
      <c r="G1015" s="38">
        <v>4</v>
      </c>
    </row>
    <row r="1016" spans="1:8" x14ac:dyDescent="0.25">
      <c r="A1016" s="3"/>
      <c r="B1016" s="40"/>
      <c r="C1016" s="41"/>
      <c r="D1016" s="40" t="s">
        <v>47</v>
      </c>
      <c r="E1016" s="41">
        <v>3</v>
      </c>
      <c r="F1016" s="42"/>
      <c r="G1016" s="41"/>
    </row>
    <row r="1017" spans="1:8" x14ac:dyDescent="0.25">
      <c r="A1017" s="2" t="s">
        <v>9</v>
      </c>
      <c r="B1017" s="37" t="s">
        <v>523</v>
      </c>
      <c r="C1017" s="38">
        <v>1</v>
      </c>
      <c r="D1017" s="37" t="s">
        <v>447</v>
      </c>
      <c r="E1017" s="38">
        <v>2</v>
      </c>
      <c r="F1017" s="39" t="s">
        <v>751</v>
      </c>
      <c r="G1017" s="38">
        <v>2</v>
      </c>
    </row>
    <row r="1018" spans="1:8" x14ac:dyDescent="0.25">
      <c r="A1018" s="2"/>
      <c r="B1018" s="37"/>
      <c r="C1018" s="38"/>
      <c r="D1018" s="37"/>
      <c r="E1018" s="38"/>
      <c r="F1018" s="48" t="s">
        <v>752</v>
      </c>
      <c r="G1018" s="38">
        <v>3</v>
      </c>
    </row>
    <row r="1019" spans="1:8" x14ac:dyDescent="0.25">
      <c r="A1019" s="3"/>
      <c r="B1019" s="40"/>
      <c r="C1019" s="41"/>
      <c r="D1019" s="40"/>
      <c r="E1019" s="41"/>
      <c r="F1019" s="42"/>
      <c r="G1019" s="41"/>
    </row>
    <row r="1020" spans="1:8" x14ac:dyDescent="0.25">
      <c r="A1020" s="2" t="s">
        <v>1224</v>
      </c>
      <c r="B1020" s="37" t="s">
        <v>1269</v>
      </c>
      <c r="C1020" s="38" t="s">
        <v>1074</v>
      </c>
      <c r="D1020" s="37" t="s">
        <v>1325</v>
      </c>
      <c r="E1020" s="38" t="s">
        <v>1072</v>
      </c>
      <c r="F1020" s="39" t="s">
        <v>1380</v>
      </c>
      <c r="G1020" s="36" t="s">
        <v>1074</v>
      </c>
      <c r="H1020" s="8"/>
    </row>
    <row r="1021" spans="1:8" x14ac:dyDescent="0.25">
      <c r="A1021" s="2"/>
      <c r="B1021" s="44"/>
      <c r="C1021" s="38"/>
      <c r="D1021" s="37"/>
      <c r="E1021" s="38"/>
      <c r="F1021" s="39"/>
      <c r="G1021" s="36"/>
      <c r="H1021" s="8"/>
    </row>
    <row r="1022" spans="1:8" x14ac:dyDescent="0.25">
      <c r="A1022" s="3"/>
      <c r="B1022" s="40"/>
      <c r="C1022" s="41"/>
      <c r="D1022" s="40"/>
      <c r="E1022" s="41"/>
      <c r="F1022" s="42"/>
      <c r="G1022" s="43"/>
      <c r="H1022" s="8"/>
    </row>
    <row r="1024" spans="1:8" x14ac:dyDescent="0.25">
      <c r="A1024" s="1">
        <v>52</v>
      </c>
      <c r="B1024" s="29" t="s">
        <v>1169</v>
      </c>
      <c r="C1024" s="30"/>
      <c r="D1024" s="29" t="s">
        <v>1218</v>
      </c>
      <c r="E1024" s="30"/>
      <c r="F1024" s="31" t="s">
        <v>1218</v>
      </c>
      <c r="G1024" s="49"/>
    </row>
    <row r="1025" spans="1:14" x14ac:dyDescent="0.25">
      <c r="A1025" s="4" t="s">
        <v>6</v>
      </c>
      <c r="B1025" s="33" t="s">
        <v>524</v>
      </c>
      <c r="C1025" s="34">
        <v>1</v>
      </c>
      <c r="D1025" s="33" t="s">
        <v>448</v>
      </c>
      <c r="E1025" s="34">
        <v>1</v>
      </c>
      <c r="F1025" s="35" t="s">
        <v>448</v>
      </c>
      <c r="G1025" s="34">
        <v>1</v>
      </c>
      <c r="I1025" s="7">
        <v>1</v>
      </c>
      <c r="J1025" s="6">
        <v>1</v>
      </c>
      <c r="K1025" s="7">
        <v>1</v>
      </c>
      <c r="L1025" s="6">
        <v>1</v>
      </c>
      <c r="M1025" s="7">
        <v>0.66666666666666674</v>
      </c>
      <c r="N1025" s="7">
        <v>0.66666666666666674</v>
      </c>
    </row>
    <row r="1026" spans="1:14" x14ac:dyDescent="0.25">
      <c r="A1026" s="2"/>
      <c r="B1026" s="37"/>
      <c r="C1026" s="38"/>
      <c r="D1026" s="37"/>
      <c r="E1026" s="38"/>
      <c r="F1026" s="39" t="s">
        <v>450</v>
      </c>
      <c r="G1026" s="38">
        <v>2</v>
      </c>
    </row>
    <row r="1027" spans="1:14" x14ac:dyDescent="0.25">
      <c r="A1027" s="3"/>
      <c r="B1027" s="40"/>
      <c r="C1027" s="41"/>
      <c r="D1027" s="40"/>
      <c r="E1027" s="41"/>
      <c r="F1027" s="42"/>
      <c r="G1027" s="41"/>
    </row>
    <row r="1028" spans="1:14" x14ac:dyDescent="0.25">
      <c r="A1028" s="4" t="s">
        <v>5</v>
      </c>
      <c r="B1028" s="33" t="s">
        <v>23</v>
      </c>
      <c r="C1028" s="34">
        <v>1</v>
      </c>
      <c r="D1028" s="33" t="s">
        <v>438</v>
      </c>
      <c r="E1028" s="34">
        <v>1</v>
      </c>
      <c r="F1028" s="35" t="s">
        <v>438</v>
      </c>
      <c r="G1028" s="38">
        <v>1</v>
      </c>
    </row>
    <row r="1029" spans="1:14" x14ac:dyDescent="0.25">
      <c r="A1029" s="2"/>
      <c r="B1029" s="37"/>
      <c r="C1029" s="38"/>
      <c r="D1029" s="37"/>
      <c r="E1029" s="38"/>
      <c r="F1029" s="37"/>
      <c r="G1029" s="38"/>
    </row>
    <row r="1030" spans="1:14" x14ac:dyDescent="0.25">
      <c r="A1030" s="3"/>
      <c r="B1030" s="40"/>
      <c r="C1030" s="41"/>
      <c r="D1030" s="40"/>
      <c r="E1030" s="41"/>
      <c r="F1030" s="42"/>
      <c r="G1030" s="41"/>
    </row>
    <row r="1031" spans="1:14" x14ac:dyDescent="0.25">
      <c r="A1031" s="4" t="s">
        <v>7</v>
      </c>
      <c r="B1031" s="33" t="s">
        <v>57</v>
      </c>
      <c r="C1031" s="34">
        <v>1</v>
      </c>
      <c r="D1031" s="33" t="s">
        <v>446</v>
      </c>
      <c r="E1031" s="34">
        <v>1</v>
      </c>
      <c r="F1031" s="39" t="s">
        <v>57</v>
      </c>
      <c r="G1031" s="38">
        <v>1</v>
      </c>
    </row>
    <row r="1032" spans="1:14" x14ac:dyDescent="0.25">
      <c r="A1032" s="2"/>
      <c r="B1032" s="37" t="s">
        <v>61</v>
      </c>
      <c r="C1032" s="38">
        <v>2</v>
      </c>
      <c r="D1032" s="37"/>
      <c r="E1032" s="36"/>
      <c r="F1032" s="38" t="s">
        <v>61</v>
      </c>
      <c r="G1032" s="39">
        <v>2</v>
      </c>
    </row>
    <row r="1033" spans="1:14" x14ac:dyDescent="0.25">
      <c r="A1033" s="3"/>
      <c r="B1033" s="40"/>
      <c r="C1033" s="41"/>
      <c r="D1033" s="40"/>
      <c r="E1033" s="41"/>
      <c r="F1033" s="42"/>
      <c r="G1033" s="41"/>
    </row>
    <row r="1034" spans="1:14" x14ac:dyDescent="0.25">
      <c r="A1034" s="4" t="s">
        <v>8</v>
      </c>
      <c r="B1034" s="33" t="s">
        <v>439</v>
      </c>
      <c r="C1034" s="34">
        <v>1</v>
      </c>
      <c r="D1034" s="33" t="s">
        <v>449</v>
      </c>
      <c r="E1034" s="34">
        <v>1</v>
      </c>
      <c r="F1034" s="35" t="s">
        <v>439</v>
      </c>
      <c r="G1034" s="38">
        <v>1</v>
      </c>
    </row>
    <row r="1035" spans="1:14" x14ac:dyDescent="0.25">
      <c r="A1035" s="2"/>
      <c r="B1035" s="37" t="s">
        <v>62</v>
      </c>
      <c r="C1035" s="38">
        <v>2</v>
      </c>
      <c r="D1035" s="37"/>
      <c r="E1035" s="38"/>
      <c r="F1035" s="39" t="s">
        <v>753</v>
      </c>
      <c r="G1035" s="38">
        <v>1</v>
      </c>
    </row>
    <row r="1036" spans="1:14" x14ac:dyDescent="0.25">
      <c r="A1036" s="3"/>
      <c r="B1036" s="40"/>
      <c r="C1036" s="41"/>
      <c r="D1036" s="40"/>
      <c r="E1036" s="41"/>
      <c r="F1036" s="42"/>
      <c r="G1036" s="41"/>
    </row>
    <row r="1037" spans="1:14" x14ac:dyDescent="0.25">
      <c r="A1037" s="2" t="s">
        <v>9</v>
      </c>
      <c r="B1037" s="37" t="s">
        <v>525</v>
      </c>
      <c r="C1037" s="38">
        <v>1</v>
      </c>
      <c r="D1037" s="37" t="s">
        <v>450</v>
      </c>
      <c r="E1037" s="38">
        <v>2</v>
      </c>
      <c r="F1037" s="39" t="s">
        <v>525</v>
      </c>
      <c r="G1037" s="38">
        <v>1</v>
      </c>
    </row>
    <row r="1038" spans="1:14" x14ac:dyDescent="0.25">
      <c r="A1038" s="2"/>
      <c r="B1038" s="37"/>
      <c r="C1038" s="38"/>
      <c r="D1038" s="37"/>
      <c r="E1038" s="38"/>
      <c r="F1038" s="48" t="s">
        <v>450</v>
      </c>
      <c r="G1038" s="38">
        <v>2</v>
      </c>
    </row>
    <row r="1039" spans="1:14" x14ac:dyDescent="0.25">
      <c r="A1039" s="3"/>
      <c r="B1039" s="40"/>
      <c r="C1039" s="41"/>
      <c r="D1039" s="40"/>
      <c r="E1039" s="41"/>
      <c r="F1039" s="42" t="s">
        <v>754</v>
      </c>
      <c r="G1039" s="41">
        <v>3</v>
      </c>
    </row>
    <row r="1040" spans="1:14" x14ac:dyDescent="0.25">
      <c r="A1040" s="2" t="s">
        <v>1224</v>
      </c>
      <c r="B1040" s="37" t="s">
        <v>441</v>
      </c>
      <c r="C1040" s="38" t="s">
        <v>1074</v>
      </c>
      <c r="D1040" s="37" t="s">
        <v>441</v>
      </c>
      <c r="E1040" s="38" t="s">
        <v>1074</v>
      </c>
      <c r="F1040" s="37" t="s">
        <v>441</v>
      </c>
      <c r="G1040" s="36" t="s">
        <v>1074</v>
      </c>
      <c r="H1040" s="8"/>
    </row>
    <row r="1041" spans="1:14" x14ac:dyDescent="0.25">
      <c r="A1041" s="2"/>
      <c r="B1041" s="44"/>
      <c r="C1041" s="38"/>
      <c r="D1041" s="37"/>
      <c r="E1041" s="38"/>
      <c r="F1041" s="39"/>
      <c r="G1041" s="36"/>
      <c r="H1041" s="8"/>
    </row>
    <row r="1042" spans="1:14" x14ac:dyDescent="0.25">
      <c r="A1042" s="3"/>
      <c r="B1042" s="40"/>
      <c r="C1042" s="41"/>
      <c r="D1042" s="40"/>
      <c r="E1042" s="41"/>
      <c r="F1042" s="42"/>
      <c r="G1042" s="43"/>
      <c r="H1042" s="8"/>
    </row>
    <row r="1044" spans="1:14" x14ac:dyDescent="0.25">
      <c r="A1044" s="1">
        <v>53</v>
      </c>
      <c r="B1044" s="29" t="s">
        <v>1170</v>
      </c>
      <c r="C1044" s="30"/>
      <c r="D1044" s="29" t="s">
        <v>1218</v>
      </c>
      <c r="E1044" s="30"/>
      <c r="F1044" s="31" t="s">
        <v>1218</v>
      </c>
      <c r="G1044" s="49"/>
    </row>
    <row r="1045" spans="1:14" x14ac:dyDescent="0.25">
      <c r="A1045" s="4" t="s">
        <v>6</v>
      </c>
      <c r="B1045" s="33" t="s">
        <v>526</v>
      </c>
      <c r="C1045" s="34">
        <v>1</v>
      </c>
      <c r="D1045" s="33" t="s">
        <v>451</v>
      </c>
      <c r="E1045" s="34">
        <v>1</v>
      </c>
      <c r="F1045" s="35" t="s">
        <v>755</v>
      </c>
      <c r="G1045" s="34">
        <v>1</v>
      </c>
      <c r="I1045" s="7">
        <v>1</v>
      </c>
      <c r="J1045" s="6">
        <v>0.33333333333333337</v>
      </c>
      <c r="K1045" s="7">
        <v>0.33333333333333337</v>
      </c>
      <c r="L1045" s="6">
        <v>1</v>
      </c>
      <c r="M1045" s="7">
        <v>0.33333333333333337</v>
      </c>
      <c r="N1045" s="7">
        <v>0.33333333333333337</v>
      </c>
    </row>
    <row r="1046" spans="1:14" x14ac:dyDescent="0.25">
      <c r="A1046" s="2"/>
      <c r="B1046" s="37"/>
      <c r="C1046" s="38"/>
      <c r="D1046" s="37"/>
      <c r="E1046" s="38"/>
      <c r="F1046" s="39"/>
      <c r="G1046" s="38"/>
    </row>
    <row r="1047" spans="1:14" x14ac:dyDescent="0.25">
      <c r="A1047" s="3"/>
      <c r="B1047" s="40"/>
      <c r="C1047" s="41"/>
      <c r="D1047" s="40"/>
      <c r="E1047" s="41"/>
      <c r="F1047" s="42"/>
      <c r="G1047" s="41"/>
    </row>
    <row r="1048" spans="1:14" x14ac:dyDescent="0.25">
      <c r="A1048" s="4" t="s">
        <v>5</v>
      </c>
      <c r="B1048" s="33"/>
      <c r="C1048" s="34"/>
      <c r="D1048" s="33" t="s">
        <v>452</v>
      </c>
      <c r="E1048" s="34">
        <v>1</v>
      </c>
      <c r="F1048" s="35" t="s">
        <v>61</v>
      </c>
      <c r="G1048" s="38">
        <v>1</v>
      </c>
    </row>
    <row r="1049" spans="1:14" x14ac:dyDescent="0.25">
      <c r="A1049" s="2"/>
      <c r="B1049" s="37"/>
      <c r="C1049" s="38"/>
      <c r="D1049" s="37"/>
      <c r="E1049" s="38"/>
      <c r="F1049" s="37"/>
      <c r="G1049" s="38"/>
    </row>
    <row r="1050" spans="1:14" x14ac:dyDescent="0.25">
      <c r="A1050" s="3"/>
      <c r="B1050" s="40"/>
      <c r="C1050" s="41"/>
      <c r="D1050" s="40"/>
      <c r="E1050" s="41"/>
      <c r="F1050" s="42"/>
      <c r="G1050" s="41"/>
    </row>
    <row r="1051" spans="1:14" x14ac:dyDescent="0.25">
      <c r="A1051" s="4" t="s">
        <v>7</v>
      </c>
      <c r="B1051" s="33" t="s">
        <v>61</v>
      </c>
      <c r="C1051" s="34">
        <v>1</v>
      </c>
      <c r="E1051" s="34"/>
      <c r="F1051" s="39" t="s">
        <v>61</v>
      </c>
      <c r="G1051" s="38">
        <v>1</v>
      </c>
    </row>
    <row r="1052" spans="1:14" x14ac:dyDescent="0.25">
      <c r="A1052" s="2"/>
      <c r="B1052" s="37"/>
      <c r="C1052" s="38"/>
      <c r="D1052" s="37"/>
      <c r="E1052" s="36"/>
      <c r="F1052" s="38"/>
      <c r="G1052" s="39"/>
    </row>
    <row r="1053" spans="1:14" x14ac:dyDescent="0.25">
      <c r="A1053" s="3"/>
      <c r="B1053" s="40"/>
      <c r="C1053" s="41"/>
      <c r="D1053" s="40"/>
      <c r="E1053" s="41"/>
      <c r="F1053" s="42"/>
      <c r="G1053" s="41"/>
    </row>
    <row r="1054" spans="1:14" x14ac:dyDescent="0.25">
      <c r="A1054" s="4" t="s">
        <v>8</v>
      </c>
      <c r="B1054" s="33" t="s">
        <v>62</v>
      </c>
      <c r="C1054" s="34">
        <v>1</v>
      </c>
      <c r="D1054" s="33" t="s">
        <v>62</v>
      </c>
      <c r="E1054" s="34">
        <v>1</v>
      </c>
      <c r="F1054" s="35" t="s">
        <v>62</v>
      </c>
      <c r="G1054" s="38">
        <v>1</v>
      </c>
    </row>
    <row r="1055" spans="1:14" x14ac:dyDescent="0.25">
      <c r="A1055" s="2"/>
      <c r="B1055" s="37" t="s">
        <v>527</v>
      </c>
      <c r="C1055" s="38">
        <v>2</v>
      </c>
      <c r="D1055" s="37"/>
      <c r="E1055" s="38"/>
      <c r="F1055" s="39" t="s">
        <v>756</v>
      </c>
      <c r="G1055" s="38">
        <v>2</v>
      </c>
    </row>
    <row r="1056" spans="1:14" x14ac:dyDescent="0.25">
      <c r="A1056" s="3"/>
      <c r="B1056" s="40"/>
      <c r="C1056" s="41"/>
      <c r="D1056" s="40"/>
      <c r="E1056" s="41"/>
      <c r="F1056" s="42"/>
      <c r="G1056" s="41"/>
    </row>
    <row r="1057" spans="1:14" x14ac:dyDescent="0.25">
      <c r="A1057" s="2" t="s">
        <v>9</v>
      </c>
      <c r="B1057" s="37"/>
      <c r="C1057" s="38"/>
      <c r="D1057" s="33" t="s">
        <v>453</v>
      </c>
      <c r="E1057" s="38">
        <v>1</v>
      </c>
      <c r="F1057" s="39" t="s">
        <v>757</v>
      </c>
      <c r="G1057" s="38">
        <v>1</v>
      </c>
    </row>
    <row r="1058" spans="1:14" x14ac:dyDescent="0.25">
      <c r="A1058" s="2"/>
      <c r="B1058" s="37"/>
      <c r="C1058" s="38"/>
      <c r="D1058" s="37"/>
      <c r="E1058" s="38"/>
      <c r="F1058" s="48" t="s">
        <v>758</v>
      </c>
      <c r="G1058" s="38">
        <v>2</v>
      </c>
    </row>
    <row r="1059" spans="1:14" x14ac:dyDescent="0.25">
      <c r="A1059" s="3"/>
      <c r="B1059" s="40"/>
      <c r="C1059" s="41"/>
      <c r="D1059" s="40"/>
      <c r="E1059" s="41"/>
      <c r="F1059" s="42" t="s">
        <v>759</v>
      </c>
      <c r="G1059" s="41">
        <v>3</v>
      </c>
    </row>
    <row r="1060" spans="1:14" x14ac:dyDescent="0.25">
      <c r="A1060" s="2" t="s">
        <v>1224</v>
      </c>
      <c r="B1060" s="37" t="s">
        <v>453</v>
      </c>
      <c r="C1060" s="38" t="s">
        <v>1072</v>
      </c>
      <c r="D1060" s="37" t="s">
        <v>1326</v>
      </c>
      <c r="E1060" s="38" t="s">
        <v>1074</v>
      </c>
      <c r="F1060" s="37" t="s">
        <v>1326</v>
      </c>
      <c r="G1060" s="36" t="s">
        <v>1074</v>
      </c>
      <c r="H1060" s="8"/>
    </row>
    <row r="1061" spans="1:14" x14ac:dyDescent="0.25">
      <c r="A1061" s="2"/>
      <c r="B1061" s="44"/>
      <c r="C1061" s="38"/>
      <c r="D1061" s="37"/>
      <c r="E1061" s="38"/>
      <c r="F1061" s="39"/>
      <c r="G1061" s="36"/>
      <c r="H1061" s="8"/>
    </row>
    <row r="1062" spans="1:14" x14ac:dyDescent="0.25">
      <c r="A1062" s="3"/>
      <c r="B1062" s="40"/>
      <c r="C1062" s="41"/>
      <c r="D1062" s="40"/>
      <c r="E1062" s="41"/>
      <c r="F1062" s="42"/>
      <c r="G1062" s="43"/>
      <c r="H1062" s="8"/>
    </row>
    <row r="1064" spans="1:14" x14ac:dyDescent="0.25">
      <c r="A1064" s="1">
        <v>54</v>
      </c>
      <c r="B1064" s="29" t="s">
        <v>1171</v>
      </c>
      <c r="C1064" s="30"/>
      <c r="D1064" s="29" t="s">
        <v>1218</v>
      </c>
      <c r="E1064" s="30"/>
      <c r="F1064" s="31" t="s">
        <v>1218</v>
      </c>
      <c r="G1064" s="49"/>
    </row>
    <row r="1065" spans="1:14" x14ac:dyDescent="0.25">
      <c r="A1065" s="4" t="s">
        <v>6</v>
      </c>
      <c r="B1065" s="33" t="s">
        <v>454</v>
      </c>
      <c r="C1065" s="34">
        <v>1</v>
      </c>
      <c r="D1065" s="33" t="s">
        <v>454</v>
      </c>
      <c r="E1065" s="34">
        <v>1</v>
      </c>
      <c r="F1065" s="35" t="s">
        <v>760</v>
      </c>
      <c r="G1065" s="34">
        <v>1</v>
      </c>
      <c r="I1065" s="7">
        <v>1</v>
      </c>
      <c r="J1065" s="6">
        <v>1</v>
      </c>
      <c r="K1065" s="7">
        <v>1</v>
      </c>
      <c r="L1065" s="6">
        <v>1</v>
      </c>
      <c r="M1065" s="7">
        <v>0</v>
      </c>
      <c r="N1065" s="7">
        <v>0</v>
      </c>
    </row>
    <row r="1066" spans="1:14" x14ac:dyDescent="0.25">
      <c r="A1066" s="2"/>
      <c r="B1066" s="37" t="s">
        <v>528</v>
      </c>
      <c r="C1066" s="38">
        <v>1</v>
      </c>
      <c r="D1066" s="37"/>
      <c r="E1066" s="38"/>
      <c r="F1066" s="39" t="s">
        <v>761</v>
      </c>
      <c r="G1066" s="38">
        <v>2</v>
      </c>
    </row>
    <row r="1067" spans="1:14" x14ac:dyDescent="0.25">
      <c r="A1067" s="3"/>
      <c r="B1067" s="40"/>
      <c r="C1067" s="41"/>
      <c r="D1067" s="40"/>
      <c r="E1067" s="41"/>
      <c r="F1067" s="42"/>
      <c r="G1067" s="41"/>
    </row>
    <row r="1068" spans="1:14" x14ac:dyDescent="0.25">
      <c r="A1068" s="4" t="s">
        <v>5</v>
      </c>
      <c r="B1068" s="33" t="s">
        <v>1110</v>
      </c>
      <c r="C1068" s="34">
        <v>1</v>
      </c>
      <c r="D1068" s="33" t="s">
        <v>455</v>
      </c>
      <c r="E1068" s="34">
        <v>1</v>
      </c>
      <c r="F1068" s="77" t="s">
        <v>1110</v>
      </c>
      <c r="G1068" s="38" t="s">
        <v>1074</v>
      </c>
    </row>
    <row r="1069" spans="1:14" x14ac:dyDescent="0.25">
      <c r="A1069" s="2"/>
      <c r="B1069" s="37"/>
      <c r="C1069" s="38"/>
      <c r="D1069" s="37"/>
      <c r="E1069" s="38"/>
      <c r="F1069" s="37"/>
      <c r="G1069" s="38"/>
    </row>
    <row r="1070" spans="1:14" x14ac:dyDescent="0.25">
      <c r="A1070" s="3"/>
      <c r="B1070" s="40"/>
      <c r="C1070" s="41"/>
      <c r="D1070" s="40"/>
      <c r="E1070" s="41"/>
      <c r="F1070" s="42"/>
      <c r="G1070" s="41"/>
    </row>
    <row r="1071" spans="1:14" x14ac:dyDescent="0.25">
      <c r="A1071" s="4" t="s">
        <v>7</v>
      </c>
      <c r="B1071" s="33" t="s">
        <v>529</v>
      </c>
      <c r="C1071" s="34">
        <v>1</v>
      </c>
      <c r="D1071" s="33" t="s">
        <v>456</v>
      </c>
      <c r="E1071" s="34">
        <v>1</v>
      </c>
      <c r="F1071" s="39" t="s">
        <v>529</v>
      </c>
      <c r="G1071" s="38">
        <v>1</v>
      </c>
    </row>
    <row r="1072" spans="1:14" x14ac:dyDescent="0.25">
      <c r="A1072" s="2"/>
      <c r="B1072" s="37"/>
      <c r="C1072" s="38"/>
      <c r="D1072" s="37"/>
      <c r="E1072" s="36"/>
      <c r="F1072" s="38" t="s">
        <v>154</v>
      </c>
      <c r="G1072" s="39">
        <v>2</v>
      </c>
    </row>
    <row r="1073" spans="1:14" x14ac:dyDescent="0.25">
      <c r="A1073" s="3"/>
      <c r="B1073" s="40"/>
      <c r="C1073" s="41"/>
      <c r="D1073" s="40"/>
      <c r="E1073" s="41"/>
      <c r="F1073" s="42"/>
      <c r="G1073" s="41"/>
    </row>
    <row r="1074" spans="1:14" x14ac:dyDescent="0.25">
      <c r="A1074" s="4" t="s">
        <v>8</v>
      </c>
      <c r="B1074" s="33" t="s">
        <v>152</v>
      </c>
      <c r="C1074" s="34">
        <v>1</v>
      </c>
      <c r="D1074" s="33" t="s">
        <v>152</v>
      </c>
      <c r="E1074" s="34">
        <v>1</v>
      </c>
      <c r="F1074" s="35" t="s">
        <v>152</v>
      </c>
      <c r="G1074" s="38">
        <v>1</v>
      </c>
    </row>
    <row r="1075" spans="1:14" x14ac:dyDescent="0.25">
      <c r="A1075" s="2"/>
      <c r="B1075" s="37"/>
      <c r="C1075" s="38"/>
      <c r="D1075" s="37"/>
      <c r="E1075" s="38"/>
      <c r="F1075" s="39"/>
      <c r="G1075" s="38"/>
    </row>
    <row r="1076" spans="1:14" x14ac:dyDescent="0.25">
      <c r="A1076" s="3"/>
      <c r="B1076" s="40"/>
      <c r="C1076" s="41"/>
      <c r="D1076" s="40"/>
      <c r="E1076" s="41"/>
      <c r="F1076" s="42"/>
      <c r="G1076" s="41"/>
    </row>
    <row r="1077" spans="1:14" x14ac:dyDescent="0.25">
      <c r="A1077" s="2" t="s">
        <v>9</v>
      </c>
      <c r="B1077" s="37"/>
      <c r="C1077" s="38"/>
      <c r="D1077" s="37" t="s">
        <v>457</v>
      </c>
      <c r="E1077" s="38">
        <v>1</v>
      </c>
      <c r="F1077" s="39" t="s">
        <v>761</v>
      </c>
      <c r="G1077" s="38">
        <v>2</v>
      </c>
    </row>
    <row r="1078" spans="1:14" x14ac:dyDescent="0.25">
      <c r="A1078" s="2"/>
      <c r="B1078" s="37"/>
      <c r="C1078" s="38"/>
      <c r="D1078" s="37"/>
      <c r="E1078" s="38"/>
      <c r="F1078" s="48" t="s">
        <v>762</v>
      </c>
      <c r="G1078" s="38">
        <v>3</v>
      </c>
    </row>
    <row r="1079" spans="1:14" x14ac:dyDescent="0.25">
      <c r="A1079" s="3"/>
      <c r="B1079" s="40"/>
      <c r="C1079" s="41"/>
      <c r="D1079" s="40"/>
      <c r="E1079" s="41"/>
      <c r="F1079" s="42" t="s">
        <v>763</v>
      </c>
      <c r="G1079" s="41">
        <v>4</v>
      </c>
    </row>
    <row r="1080" spans="1:14" x14ac:dyDescent="0.25">
      <c r="A1080" s="2" t="s">
        <v>1224</v>
      </c>
      <c r="B1080" s="37" t="s">
        <v>760</v>
      </c>
      <c r="C1080" s="38" t="s">
        <v>1072</v>
      </c>
      <c r="D1080" s="37" t="s">
        <v>1327</v>
      </c>
      <c r="E1080" s="38" t="s">
        <v>1074</v>
      </c>
      <c r="F1080" s="39" t="s">
        <v>1381</v>
      </c>
      <c r="G1080" s="36" t="s">
        <v>1074</v>
      </c>
      <c r="H1080" s="8"/>
    </row>
    <row r="1081" spans="1:14" x14ac:dyDescent="0.25">
      <c r="A1081" s="2"/>
      <c r="B1081" s="44"/>
      <c r="C1081" s="38"/>
      <c r="D1081" s="37"/>
      <c r="E1081" s="38"/>
      <c r="F1081" s="39"/>
      <c r="G1081" s="36"/>
      <c r="H1081" s="8"/>
    </row>
    <row r="1082" spans="1:14" x14ac:dyDescent="0.25">
      <c r="A1082" s="3"/>
      <c r="B1082" s="40"/>
      <c r="C1082" s="41"/>
      <c r="D1082" s="40"/>
      <c r="E1082" s="41"/>
      <c r="F1082" s="42"/>
      <c r="G1082" s="43"/>
      <c r="H1082" s="8"/>
    </row>
    <row r="1084" spans="1:14" x14ac:dyDescent="0.25">
      <c r="A1084" s="1">
        <v>55</v>
      </c>
      <c r="B1084" s="29" t="s">
        <v>1172</v>
      </c>
      <c r="C1084" s="30"/>
      <c r="D1084" s="29" t="s">
        <v>1218</v>
      </c>
      <c r="E1084" s="30"/>
      <c r="F1084" s="31" t="s">
        <v>1218</v>
      </c>
      <c r="G1084" s="49"/>
    </row>
    <row r="1085" spans="1:14" x14ac:dyDescent="0.25">
      <c r="A1085" s="4" t="s">
        <v>6</v>
      </c>
      <c r="B1085" s="33" t="s">
        <v>458</v>
      </c>
      <c r="C1085" s="34">
        <v>1</v>
      </c>
      <c r="D1085" s="33" t="s">
        <v>458</v>
      </c>
      <c r="E1085" s="34">
        <v>1</v>
      </c>
      <c r="F1085" s="35" t="s">
        <v>458</v>
      </c>
      <c r="G1085" s="34">
        <v>1</v>
      </c>
      <c r="I1085" s="7">
        <v>1</v>
      </c>
      <c r="J1085" s="6">
        <v>1</v>
      </c>
      <c r="K1085" s="7">
        <v>1</v>
      </c>
      <c r="L1085" s="6">
        <v>1</v>
      </c>
      <c r="M1085" s="7">
        <v>0.33333333333333337</v>
      </c>
      <c r="N1085" s="7">
        <v>0.33333333333333337</v>
      </c>
    </row>
    <row r="1086" spans="1:14" x14ac:dyDescent="0.25">
      <c r="A1086" s="2"/>
      <c r="B1086" s="37" t="s">
        <v>530</v>
      </c>
      <c r="C1086" s="38">
        <v>1</v>
      </c>
      <c r="D1086" s="37"/>
      <c r="E1086" s="38"/>
      <c r="F1086" s="39" t="s">
        <v>764</v>
      </c>
      <c r="G1086" s="38">
        <v>1</v>
      </c>
    </row>
    <row r="1087" spans="1:14" x14ac:dyDescent="0.25">
      <c r="A1087" s="3"/>
      <c r="B1087" s="40"/>
      <c r="C1087" s="41"/>
      <c r="D1087" s="40"/>
      <c r="E1087" s="41"/>
      <c r="F1087" s="42" t="s">
        <v>765</v>
      </c>
      <c r="G1087" s="41">
        <v>1</v>
      </c>
    </row>
    <row r="1088" spans="1:14" x14ac:dyDescent="0.25">
      <c r="A1088" s="4" t="s">
        <v>5</v>
      </c>
      <c r="B1088" s="33" t="s">
        <v>189</v>
      </c>
      <c r="C1088" s="34">
        <v>1</v>
      </c>
      <c r="D1088" s="33" t="s">
        <v>189</v>
      </c>
      <c r="E1088" s="34">
        <v>1</v>
      </c>
      <c r="F1088" s="35" t="s">
        <v>189</v>
      </c>
      <c r="G1088" s="38">
        <v>1</v>
      </c>
    </row>
    <row r="1089" spans="1:8" x14ac:dyDescent="0.25">
      <c r="A1089" s="2"/>
      <c r="B1089" s="37" t="s">
        <v>531</v>
      </c>
      <c r="C1089" s="38">
        <v>2</v>
      </c>
      <c r="D1089" s="37"/>
      <c r="E1089" s="38"/>
      <c r="F1089" s="37"/>
      <c r="G1089" s="38"/>
    </row>
    <row r="1090" spans="1:8" x14ac:dyDescent="0.25">
      <c r="A1090" s="3"/>
      <c r="B1090" s="40"/>
      <c r="C1090" s="41"/>
      <c r="D1090" s="40"/>
      <c r="E1090" s="41"/>
      <c r="F1090" s="42"/>
      <c r="G1090" s="41"/>
    </row>
    <row r="1091" spans="1:8" x14ac:dyDescent="0.25">
      <c r="A1091" s="4" t="s">
        <v>7</v>
      </c>
      <c r="B1091" s="33" t="s">
        <v>529</v>
      </c>
      <c r="C1091" s="34">
        <v>1</v>
      </c>
      <c r="D1091" s="33" t="s">
        <v>459</v>
      </c>
      <c r="E1091" s="34">
        <v>1</v>
      </c>
      <c r="F1091" s="39" t="s">
        <v>766</v>
      </c>
      <c r="G1091" s="38">
        <v>2</v>
      </c>
    </row>
    <row r="1092" spans="1:8" x14ac:dyDescent="0.25">
      <c r="A1092" s="2"/>
      <c r="B1092" s="37"/>
      <c r="C1092" s="38"/>
      <c r="D1092" s="37"/>
      <c r="E1092" s="36"/>
      <c r="F1092" s="38" t="s">
        <v>536</v>
      </c>
      <c r="G1092" s="39">
        <v>1</v>
      </c>
    </row>
    <row r="1093" spans="1:8" x14ac:dyDescent="0.25">
      <c r="A1093" s="3"/>
      <c r="B1093" s="40"/>
      <c r="C1093" s="41"/>
      <c r="D1093" s="40"/>
      <c r="E1093" s="41"/>
      <c r="F1093" s="42" t="s">
        <v>537</v>
      </c>
      <c r="G1093" s="41">
        <v>1</v>
      </c>
    </row>
    <row r="1094" spans="1:8" x14ac:dyDescent="0.25">
      <c r="A1094" s="4" t="s">
        <v>8</v>
      </c>
      <c r="B1094" s="33" t="s">
        <v>152</v>
      </c>
      <c r="C1094" s="34">
        <v>1</v>
      </c>
      <c r="D1094" s="33" t="s">
        <v>152</v>
      </c>
      <c r="E1094" s="34">
        <v>1</v>
      </c>
      <c r="F1094" s="35" t="s">
        <v>152</v>
      </c>
      <c r="G1094" s="38">
        <v>1</v>
      </c>
    </row>
    <row r="1095" spans="1:8" x14ac:dyDescent="0.25">
      <c r="A1095" s="2"/>
      <c r="B1095" s="37"/>
      <c r="C1095" s="38"/>
      <c r="D1095" s="37"/>
      <c r="E1095" s="38"/>
      <c r="F1095" s="39"/>
      <c r="G1095" s="38"/>
    </row>
    <row r="1096" spans="1:8" x14ac:dyDescent="0.25">
      <c r="A1096" s="3"/>
      <c r="B1096" s="40"/>
      <c r="C1096" s="41"/>
      <c r="D1096" s="40"/>
      <c r="E1096" s="41"/>
      <c r="F1096" s="42"/>
      <c r="G1096" s="41"/>
    </row>
    <row r="1097" spans="1:8" x14ac:dyDescent="0.25">
      <c r="A1097" s="2" t="s">
        <v>9</v>
      </c>
      <c r="B1097" s="37" t="s">
        <v>532</v>
      </c>
      <c r="C1097" s="38">
        <v>1</v>
      </c>
      <c r="D1097" s="37"/>
      <c r="E1097" s="38"/>
      <c r="F1097" s="39" t="s">
        <v>532</v>
      </c>
      <c r="G1097" s="38">
        <v>1</v>
      </c>
    </row>
    <row r="1098" spans="1:8" x14ac:dyDescent="0.25">
      <c r="A1098" s="2"/>
      <c r="B1098" s="37"/>
      <c r="C1098" s="38"/>
      <c r="D1098" s="37"/>
      <c r="E1098" s="38"/>
      <c r="F1098" s="48"/>
      <c r="G1098" s="38"/>
    </row>
    <row r="1099" spans="1:8" x14ac:dyDescent="0.25">
      <c r="A1099" s="3"/>
      <c r="B1099" s="40"/>
      <c r="C1099" s="41"/>
      <c r="D1099" s="40"/>
      <c r="E1099" s="41"/>
      <c r="F1099" s="42"/>
      <c r="G1099" s="41"/>
    </row>
    <row r="1100" spans="1:8" x14ac:dyDescent="0.25">
      <c r="A1100" s="2" t="s">
        <v>1224</v>
      </c>
      <c r="B1100" s="37" t="s">
        <v>532</v>
      </c>
      <c r="C1100" s="38" t="s">
        <v>1074</v>
      </c>
      <c r="D1100" s="37" t="s">
        <v>532</v>
      </c>
      <c r="E1100" s="38" t="s">
        <v>1074</v>
      </c>
      <c r="F1100" s="39" t="s">
        <v>1382</v>
      </c>
      <c r="G1100" s="36" t="s">
        <v>1074</v>
      </c>
      <c r="H1100" s="8"/>
    </row>
    <row r="1101" spans="1:8" x14ac:dyDescent="0.25">
      <c r="A1101" s="2"/>
      <c r="B1101" s="44"/>
      <c r="C1101" s="38"/>
      <c r="D1101" s="37"/>
      <c r="E1101" s="38"/>
      <c r="F1101" s="39"/>
      <c r="G1101" s="36"/>
      <c r="H1101" s="8"/>
    </row>
    <row r="1102" spans="1:8" x14ac:dyDescent="0.25">
      <c r="A1102" s="3"/>
      <c r="B1102" s="40"/>
      <c r="C1102" s="41"/>
      <c r="D1102" s="40"/>
      <c r="E1102" s="41"/>
      <c r="F1102" s="42"/>
      <c r="G1102" s="43"/>
      <c r="H1102" s="8"/>
    </row>
    <row r="1104" spans="1:8" x14ac:dyDescent="0.25">
      <c r="A1104" s="1">
        <v>56</v>
      </c>
      <c r="B1104" s="29" t="s">
        <v>1173</v>
      </c>
      <c r="C1104" s="30"/>
      <c r="D1104" s="29" t="s">
        <v>1218</v>
      </c>
      <c r="E1104" s="30"/>
      <c r="F1104" s="31" t="s">
        <v>1218</v>
      </c>
      <c r="G1104" s="49"/>
    </row>
    <row r="1105" spans="1:14" x14ac:dyDescent="0.25">
      <c r="A1105" s="4" t="s">
        <v>6</v>
      </c>
      <c r="B1105" s="33" t="s">
        <v>533</v>
      </c>
      <c r="C1105" s="34">
        <v>1</v>
      </c>
      <c r="D1105" s="33" t="s">
        <v>460</v>
      </c>
      <c r="E1105" s="34">
        <v>2</v>
      </c>
      <c r="F1105" s="35" t="s">
        <v>767</v>
      </c>
      <c r="G1105" s="34">
        <v>1</v>
      </c>
      <c r="I1105" s="7">
        <v>1</v>
      </c>
      <c r="J1105" s="6">
        <v>0.33333333333333337</v>
      </c>
      <c r="K1105" s="7">
        <v>1</v>
      </c>
      <c r="L1105" s="6">
        <v>1</v>
      </c>
      <c r="M1105" s="7">
        <v>0.33333333333333337</v>
      </c>
      <c r="N1105" s="7">
        <v>0.33333333333333337</v>
      </c>
    </row>
    <row r="1106" spans="1:14" x14ac:dyDescent="0.25">
      <c r="A1106" s="2"/>
      <c r="B1106" s="37"/>
      <c r="C1106" s="38"/>
      <c r="D1106" s="37" t="s">
        <v>461</v>
      </c>
      <c r="E1106" s="38">
        <v>3</v>
      </c>
      <c r="F1106" s="39"/>
      <c r="G1106" s="38"/>
    </row>
    <row r="1107" spans="1:14" x14ac:dyDescent="0.25">
      <c r="A1107" s="3"/>
      <c r="B1107" s="40"/>
      <c r="C1107" s="41"/>
      <c r="D1107" s="40"/>
      <c r="E1107" s="41"/>
      <c r="F1107" s="42"/>
      <c r="G1107" s="41"/>
    </row>
    <row r="1108" spans="1:14" x14ac:dyDescent="0.25">
      <c r="A1108" s="4" t="s">
        <v>5</v>
      </c>
      <c r="B1108" s="33">
        <v>2016</v>
      </c>
      <c r="C1108" s="34">
        <v>1</v>
      </c>
      <c r="D1108" s="33"/>
      <c r="E1108" s="34"/>
      <c r="F1108" s="39">
        <v>2016</v>
      </c>
      <c r="G1108" s="38">
        <v>1</v>
      </c>
    </row>
    <row r="1109" spans="1:14" x14ac:dyDescent="0.25">
      <c r="A1109" s="2"/>
      <c r="B1109" s="37"/>
      <c r="C1109" s="38"/>
      <c r="D1109" s="37"/>
      <c r="E1109" s="38"/>
      <c r="F1109" s="37" t="s">
        <v>768</v>
      </c>
      <c r="G1109" s="38">
        <v>2</v>
      </c>
    </row>
    <row r="1110" spans="1:14" x14ac:dyDescent="0.25">
      <c r="A1110" s="3"/>
      <c r="B1110" s="40"/>
      <c r="C1110" s="41"/>
      <c r="D1110" s="40"/>
      <c r="E1110" s="41"/>
      <c r="F1110" s="42"/>
      <c r="G1110" s="41"/>
    </row>
    <row r="1111" spans="1:14" x14ac:dyDescent="0.25">
      <c r="A1111" s="4" t="s">
        <v>7</v>
      </c>
      <c r="B1111" s="33"/>
      <c r="C1111" s="34"/>
      <c r="D1111" s="33"/>
      <c r="E1111" s="34"/>
      <c r="F1111" s="39"/>
      <c r="G1111" s="38"/>
    </row>
    <row r="1112" spans="1:14" x14ac:dyDescent="0.25">
      <c r="A1112" s="2"/>
      <c r="B1112" s="37"/>
      <c r="C1112" s="38"/>
      <c r="D1112" s="37"/>
      <c r="E1112" s="36"/>
      <c r="F1112" s="38"/>
      <c r="G1112" s="39"/>
    </row>
    <row r="1113" spans="1:14" x14ac:dyDescent="0.25">
      <c r="A1113" s="3"/>
      <c r="B1113" s="40"/>
      <c r="C1113" s="41"/>
      <c r="D1113" s="40"/>
      <c r="E1113" s="41"/>
      <c r="F1113" s="42"/>
      <c r="G1113" s="41"/>
    </row>
    <row r="1114" spans="1:14" x14ac:dyDescent="0.25">
      <c r="A1114" s="4" t="s">
        <v>8</v>
      </c>
      <c r="B1114" s="33" t="s">
        <v>152</v>
      </c>
      <c r="C1114" s="34">
        <v>1</v>
      </c>
      <c r="D1114" s="33" t="s">
        <v>152</v>
      </c>
      <c r="E1114" s="34">
        <v>1</v>
      </c>
      <c r="F1114" s="35" t="s">
        <v>152</v>
      </c>
      <c r="G1114" s="38">
        <v>1</v>
      </c>
    </row>
    <row r="1115" spans="1:14" x14ac:dyDescent="0.25">
      <c r="A1115" s="2"/>
      <c r="B1115" s="37"/>
      <c r="C1115" s="38"/>
      <c r="D1115" s="37" t="s">
        <v>462</v>
      </c>
      <c r="E1115" s="38">
        <v>2</v>
      </c>
      <c r="F1115" s="39" t="s">
        <v>258</v>
      </c>
      <c r="G1115" s="38">
        <v>3</v>
      </c>
    </row>
    <row r="1116" spans="1:14" x14ac:dyDescent="0.25">
      <c r="A1116" s="3"/>
      <c r="B1116" s="40"/>
      <c r="C1116" s="41"/>
      <c r="D1116" s="40"/>
      <c r="E1116" s="41"/>
      <c r="F1116" s="42"/>
      <c r="G1116" s="41"/>
    </row>
    <row r="1117" spans="1:14" x14ac:dyDescent="0.25">
      <c r="A1117" s="2" t="s">
        <v>9</v>
      </c>
      <c r="B1117" s="37" t="s">
        <v>534</v>
      </c>
      <c r="C1117" s="38">
        <v>1</v>
      </c>
      <c r="D1117" s="37" t="s">
        <v>463</v>
      </c>
      <c r="E1117" s="38">
        <v>1</v>
      </c>
      <c r="F1117" s="39"/>
      <c r="G1117" s="38"/>
    </row>
    <row r="1118" spans="1:14" x14ac:dyDescent="0.25">
      <c r="A1118" s="2"/>
      <c r="B1118" s="37"/>
      <c r="C1118" s="38"/>
      <c r="D1118" s="37"/>
      <c r="E1118" s="38"/>
      <c r="F1118" s="48"/>
      <c r="G1118" s="38"/>
    </row>
    <row r="1119" spans="1:14" x14ac:dyDescent="0.25">
      <c r="A1119" s="3"/>
      <c r="B1119" s="40"/>
      <c r="C1119" s="41"/>
      <c r="D1119" s="40"/>
      <c r="E1119" s="41"/>
      <c r="F1119" s="42"/>
      <c r="G1119" s="41"/>
    </row>
    <row r="1120" spans="1:14" x14ac:dyDescent="0.25">
      <c r="A1120" s="2" t="s">
        <v>1224</v>
      </c>
      <c r="B1120" s="37" t="s">
        <v>1270</v>
      </c>
      <c r="C1120" s="38" t="s">
        <v>1074</v>
      </c>
      <c r="D1120" s="37" t="s">
        <v>1328</v>
      </c>
      <c r="E1120" s="38" t="s">
        <v>1074</v>
      </c>
      <c r="F1120" s="39" t="s">
        <v>1383</v>
      </c>
      <c r="G1120" s="36" t="s">
        <v>1074</v>
      </c>
      <c r="H1120" s="8"/>
    </row>
    <row r="1121" spans="1:14" x14ac:dyDescent="0.25">
      <c r="A1121" s="2"/>
      <c r="B1121" s="44"/>
      <c r="C1121" s="38"/>
      <c r="D1121" s="37"/>
      <c r="E1121" s="38"/>
      <c r="F1121" s="39"/>
      <c r="G1121" s="36"/>
      <c r="H1121" s="8"/>
    </row>
    <row r="1122" spans="1:14" x14ac:dyDescent="0.25">
      <c r="A1122" s="3"/>
      <c r="B1122" s="40"/>
      <c r="C1122" s="41"/>
      <c r="D1122" s="40"/>
      <c r="E1122" s="41"/>
      <c r="F1122" s="42"/>
      <c r="G1122" s="43"/>
      <c r="H1122" s="8"/>
    </row>
    <row r="1124" spans="1:14" x14ac:dyDescent="0.25">
      <c r="A1124" s="1">
        <v>57</v>
      </c>
      <c r="B1124" s="29" t="s">
        <v>1174</v>
      </c>
      <c r="C1124" s="30"/>
      <c r="D1124" s="29" t="s">
        <v>1218</v>
      </c>
      <c r="E1124" s="30"/>
      <c r="F1124" s="31" t="s">
        <v>1218</v>
      </c>
      <c r="G1124" s="49"/>
    </row>
    <row r="1125" spans="1:14" x14ac:dyDescent="0.25">
      <c r="A1125" s="4" t="s">
        <v>6</v>
      </c>
      <c r="B1125" s="33" t="s">
        <v>454</v>
      </c>
      <c r="C1125" s="34">
        <v>1</v>
      </c>
      <c r="D1125" s="33" t="s">
        <v>464</v>
      </c>
      <c r="E1125" s="34">
        <v>1</v>
      </c>
      <c r="F1125" s="35" t="s">
        <v>769</v>
      </c>
      <c r="G1125" s="34">
        <v>1</v>
      </c>
      <c r="I1125" s="7">
        <v>1</v>
      </c>
      <c r="J1125" s="6">
        <v>1</v>
      </c>
      <c r="K1125" s="7">
        <v>0.33333333333333337</v>
      </c>
      <c r="L1125" s="6">
        <v>1</v>
      </c>
      <c r="M1125" s="7">
        <v>0</v>
      </c>
      <c r="N1125" s="7">
        <v>0</v>
      </c>
    </row>
    <row r="1126" spans="1:14" x14ac:dyDescent="0.25">
      <c r="A1126" s="2"/>
      <c r="B1126" s="37"/>
      <c r="C1126" s="38"/>
      <c r="D1126" s="37"/>
      <c r="E1126" s="38"/>
      <c r="F1126" s="39"/>
      <c r="G1126" s="38"/>
    </row>
    <row r="1127" spans="1:14" x14ac:dyDescent="0.25">
      <c r="A1127" s="3"/>
      <c r="B1127" s="40"/>
      <c r="C1127" s="41"/>
      <c r="D1127" s="40"/>
      <c r="E1127" s="41"/>
      <c r="F1127" s="42"/>
      <c r="G1127" s="41"/>
    </row>
    <row r="1128" spans="1:14" x14ac:dyDescent="0.25">
      <c r="A1128" s="4" t="s">
        <v>5</v>
      </c>
      <c r="B1128" s="33" t="s">
        <v>535</v>
      </c>
      <c r="C1128" s="34">
        <v>1</v>
      </c>
      <c r="D1128" s="33" t="s">
        <v>465</v>
      </c>
      <c r="E1128" s="34">
        <v>1</v>
      </c>
      <c r="F1128" s="35" t="s">
        <v>37</v>
      </c>
      <c r="G1128" s="38">
        <v>1</v>
      </c>
    </row>
    <row r="1129" spans="1:14" x14ac:dyDescent="0.25">
      <c r="A1129" s="2"/>
      <c r="B1129" s="37"/>
      <c r="C1129" s="38"/>
      <c r="D1129" s="37"/>
      <c r="E1129" s="38"/>
      <c r="F1129" s="37" t="s">
        <v>770</v>
      </c>
      <c r="G1129" s="38">
        <v>2</v>
      </c>
    </row>
    <row r="1130" spans="1:14" x14ac:dyDescent="0.25">
      <c r="A1130" s="3"/>
      <c r="B1130" s="40"/>
      <c r="C1130" s="41"/>
      <c r="D1130" s="40"/>
      <c r="E1130" s="41"/>
      <c r="F1130" s="42"/>
      <c r="G1130" s="41"/>
    </row>
    <row r="1131" spans="1:14" x14ac:dyDescent="0.25">
      <c r="A1131" s="4" t="s">
        <v>7</v>
      </c>
      <c r="B1131" s="33" t="s">
        <v>536</v>
      </c>
      <c r="C1131" s="34">
        <v>1</v>
      </c>
      <c r="D1131" s="33" t="s">
        <v>466</v>
      </c>
      <c r="E1131" s="34">
        <v>3</v>
      </c>
      <c r="F1131" s="39" t="s">
        <v>466</v>
      </c>
      <c r="G1131" s="38">
        <v>3</v>
      </c>
    </row>
    <row r="1132" spans="1:14" x14ac:dyDescent="0.25">
      <c r="A1132" s="2"/>
      <c r="B1132" s="37" t="s">
        <v>537</v>
      </c>
      <c r="C1132" s="38">
        <v>2</v>
      </c>
      <c r="D1132" s="37"/>
      <c r="E1132" s="36"/>
      <c r="F1132" s="38" t="s">
        <v>771</v>
      </c>
      <c r="G1132" s="39" t="s">
        <v>1077</v>
      </c>
    </row>
    <row r="1133" spans="1:14" x14ac:dyDescent="0.25">
      <c r="A1133" s="3"/>
      <c r="B1133" s="40"/>
      <c r="C1133" s="41"/>
      <c r="D1133" s="40"/>
      <c r="E1133" s="41"/>
      <c r="F1133" s="42"/>
      <c r="G1133" s="41"/>
    </row>
    <row r="1134" spans="1:14" x14ac:dyDescent="0.25">
      <c r="A1134" s="4" t="s">
        <v>8</v>
      </c>
      <c r="B1134" s="33" t="s">
        <v>152</v>
      </c>
      <c r="C1134" s="34">
        <v>1</v>
      </c>
      <c r="D1134" s="33" t="s">
        <v>152</v>
      </c>
      <c r="E1134" s="34">
        <v>1</v>
      </c>
      <c r="F1134" s="35" t="s">
        <v>152</v>
      </c>
      <c r="G1134" s="38">
        <v>1</v>
      </c>
    </row>
    <row r="1135" spans="1:14" x14ac:dyDescent="0.25">
      <c r="A1135" s="2"/>
      <c r="B1135" s="37"/>
      <c r="C1135" s="38"/>
      <c r="D1135" s="37"/>
      <c r="E1135" s="38"/>
      <c r="F1135" s="39" t="s">
        <v>258</v>
      </c>
      <c r="G1135" s="38">
        <v>2</v>
      </c>
    </row>
    <row r="1136" spans="1:14" x14ac:dyDescent="0.25">
      <c r="A1136" s="3"/>
      <c r="B1136" s="40"/>
      <c r="C1136" s="41"/>
      <c r="D1136" s="40"/>
      <c r="E1136" s="41"/>
      <c r="F1136" s="42"/>
      <c r="G1136" s="41"/>
    </row>
    <row r="1137" spans="1:14" x14ac:dyDescent="0.25">
      <c r="A1137" s="2" t="s">
        <v>9</v>
      </c>
      <c r="B1137" s="37" t="s">
        <v>538</v>
      </c>
      <c r="C1137" s="38">
        <v>1</v>
      </c>
      <c r="D1137" s="37"/>
      <c r="E1137" s="38"/>
      <c r="F1137" s="39" t="s">
        <v>772</v>
      </c>
      <c r="G1137" s="38">
        <v>2</v>
      </c>
    </row>
    <row r="1138" spans="1:14" x14ac:dyDescent="0.25">
      <c r="A1138" s="2"/>
      <c r="B1138" s="37"/>
      <c r="C1138" s="38"/>
      <c r="D1138" s="37"/>
      <c r="E1138" s="38"/>
      <c r="F1138" s="48"/>
      <c r="G1138" s="38"/>
    </row>
    <row r="1139" spans="1:14" x14ac:dyDescent="0.25">
      <c r="A1139" s="3"/>
      <c r="B1139" s="40"/>
      <c r="C1139" s="41"/>
      <c r="D1139" s="40"/>
      <c r="E1139" s="41"/>
      <c r="F1139" s="42"/>
      <c r="G1139" s="41"/>
    </row>
    <row r="1140" spans="1:14" x14ac:dyDescent="0.25">
      <c r="A1140" s="2" t="s">
        <v>1224</v>
      </c>
      <c r="B1140" s="37" t="s">
        <v>538</v>
      </c>
      <c r="C1140" s="38" t="s">
        <v>1072</v>
      </c>
      <c r="D1140" s="37" t="s">
        <v>1329</v>
      </c>
      <c r="E1140" s="38" t="s">
        <v>1074</v>
      </c>
      <c r="F1140" s="37" t="s">
        <v>1329</v>
      </c>
      <c r="G1140" s="36" t="s">
        <v>1074</v>
      </c>
      <c r="H1140" s="8"/>
    </row>
    <row r="1141" spans="1:14" x14ac:dyDescent="0.25">
      <c r="A1141" s="2"/>
      <c r="B1141" s="44"/>
      <c r="C1141" s="38"/>
      <c r="D1141" s="37"/>
      <c r="E1141" s="38"/>
      <c r="F1141" s="39"/>
      <c r="G1141" s="36"/>
      <c r="H1141" s="8"/>
    </row>
    <row r="1142" spans="1:14" x14ac:dyDescent="0.25">
      <c r="A1142" s="3"/>
      <c r="B1142" s="40"/>
      <c r="C1142" s="41"/>
      <c r="D1142" s="40"/>
      <c r="E1142" s="41"/>
      <c r="F1142" s="42"/>
      <c r="G1142" s="43"/>
      <c r="H1142" s="8"/>
    </row>
    <row r="1144" spans="1:14" x14ac:dyDescent="0.25">
      <c r="A1144" s="1">
        <v>58</v>
      </c>
      <c r="B1144" s="29" t="s">
        <v>1175</v>
      </c>
      <c r="C1144" s="30"/>
      <c r="D1144" s="29" t="s">
        <v>1218</v>
      </c>
      <c r="E1144" s="30"/>
      <c r="F1144" s="31" t="s">
        <v>1218</v>
      </c>
      <c r="G1144" s="49"/>
    </row>
    <row r="1145" spans="1:14" x14ac:dyDescent="0.25">
      <c r="A1145" s="4" t="s">
        <v>6</v>
      </c>
      <c r="B1145" s="33" t="s">
        <v>458</v>
      </c>
      <c r="C1145" s="34">
        <v>1</v>
      </c>
      <c r="D1145" s="33" t="s">
        <v>467</v>
      </c>
      <c r="E1145" s="34">
        <v>2</v>
      </c>
      <c r="F1145" s="35" t="s">
        <v>773</v>
      </c>
      <c r="G1145" s="34">
        <v>2</v>
      </c>
      <c r="I1145" s="7">
        <v>0.33333333333333337</v>
      </c>
      <c r="J1145" s="6">
        <v>0.33333333333333337</v>
      </c>
      <c r="K1145" s="7">
        <v>0.33333333333333337</v>
      </c>
      <c r="L1145" s="6">
        <v>1</v>
      </c>
      <c r="M1145" s="7">
        <v>0</v>
      </c>
      <c r="N1145" s="7">
        <v>0</v>
      </c>
    </row>
    <row r="1146" spans="1:14" x14ac:dyDescent="0.25">
      <c r="A1146" s="2"/>
      <c r="B1146" s="37"/>
      <c r="C1146" s="38"/>
      <c r="D1146" s="37"/>
      <c r="E1146" s="38"/>
      <c r="F1146" s="39"/>
      <c r="G1146" s="38"/>
    </row>
    <row r="1147" spans="1:14" x14ac:dyDescent="0.25">
      <c r="A1147" s="3"/>
      <c r="B1147" s="40"/>
      <c r="C1147" s="41"/>
      <c r="D1147" s="40"/>
      <c r="E1147" s="41"/>
      <c r="F1147" s="42"/>
      <c r="G1147" s="41"/>
    </row>
    <row r="1148" spans="1:14" x14ac:dyDescent="0.25">
      <c r="A1148" s="4" t="s">
        <v>5</v>
      </c>
      <c r="B1148" s="33"/>
      <c r="C1148" s="34"/>
      <c r="D1148" s="33" t="s">
        <v>468</v>
      </c>
      <c r="E1148" s="34">
        <v>1</v>
      </c>
      <c r="F1148" s="42" t="s">
        <v>468</v>
      </c>
      <c r="G1148" s="38" t="s">
        <v>1074</v>
      </c>
    </row>
    <row r="1149" spans="1:14" x14ac:dyDescent="0.25">
      <c r="A1149" s="2"/>
      <c r="B1149" s="37"/>
      <c r="C1149" s="38"/>
      <c r="D1149" s="37"/>
      <c r="E1149" s="38"/>
      <c r="F1149" s="37"/>
      <c r="G1149" s="38"/>
    </row>
    <row r="1150" spans="1:14" x14ac:dyDescent="0.25">
      <c r="A1150" s="3"/>
      <c r="B1150" s="40"/>
      <c r="C1150" s="41"/>
      <c r="D1150" s="40"/>
      <c r="E1150" s="41"/>
      <c r="G1150" s="41"/>
    </row>
    <row r="1151" spans="1:14" x14ac:dyDescent="0.25">
      <c r="A1151" s="4" t="s">
        <v>7</v>
      </c>
      <c r="B1151" s="33" t="s">
        <v>469</v>
      </c>
      <c r="C1151" s="34">
        <v>1</v>
      </c>
      <c r="D1151" s="33" t="s">
        <v>469</v>
      </c>
      <c r="E1151" s="34">
        <v>1</v>
      </c>
      <c r="F1151" s="39" t="s">
        <v>766</v>
      </c>
      <c r="G1151" s="38">
        <v>2</v>
      </c>
    </row>
    <row r="1152" spans="1:14" x14ac:dyDescent="0.25">
      <c r="A1152" s="2"/>
      <c r="B1152" s="37"/>
      <c r="C1152" s="38"/>
      <c r="D1152" s="37"/>
      <c r="E1152" s="36"/>
      <c r="F1152" s="38"/>
      <c r="G1152" s="39"/>
    </row>
    <row r="1153" spans="1:14" x14ac:dyDescent="0.25">
      <c r="A1153" s="3"/>
      <c r="B1153" s="40"/>
      <c r="C1153" s="41"/>
      <c r="D1153" s="40"/>
      <c r="E1153" s="41"/>
      <c r="F1153" s="42"/>
      <c r="G1153" s="41"/>
    </row>
    <row r="1154" spans="1:14" x14ac:dyDescent="0.25">
      <c r="A1154" s="4" t="s">
        <v>8</v>
      </c>
      <c r="B1154" s="33" t="s">
        <v>470</v>
      </c>
      <c r="C1154" s="34">
        <v>1</v>
      </c>
      <c r="D1154" s="33" t="s">
        <v>470</v>
      </c>
      <c r="E1154" s="34">
        <v>1</v>
      </c>
      <c r="F1154" s="35" t="s">
        <v>470</v>
      </c>
      <c r="G1154" s="38">
        <v>1</v>
      </c>
    </row>
    <row r="1155" spans="1:14" x14ac:dyDescent="0.25">
      <c r="A1155" s="2"/>
      <c r="B1155" s="37"/>
      <c r="C1155" s="38"/>
      <c r="D1155" s="37"/>
      <c r="E1155" s="38"/>
      <c r="F1155" s="39" t="s">
        <v>469</v>
      </c>
      <c r="G1155" s="38">
        <v>2</v>
      </c>
    </row>
    <row r="1156" spans="1:14" x14ac:dyDescent="0.25">
      <c r="A1156" s="3"/>
      <c r="B1156" s="40"/>
      <c r="C1156" s="41"/>
      <c r="D1156" s="40"/>
      <c r="E1156" s="41"/>
      <c r="F1156" s="42"/>
      <c r="G1156" s="41"/>
    </row>
    <row r="1157" spans="1:14" x14ac:dyDescent="0.25">
      <c r="A1157" s="2" t="s">
        <v>9</v>
      </c>
      <c r="B1157" s="37" t="s">
        <v>539</v>
      </c>
      <c r="C1157" s="38">
        <v>1</v>
      </c>
      <c r="D1157" s="37"/>
      <c r="E1157" s="38"/>
      <c r="F1157" s="39" t="s">
        <v>774</v>
      </c>
      <c r="G1157" s="38">
        <v>2</v>
      </c>
    </row>
    <row r="1158" spans="1:14" x14ac:dyDescent="0.25">
      <c r="A1158" s="2"/>
      <c r="B1158" s="37"/>
      <c r="C1158" s="38"/>
      <c r="D1158" s="37"/>
      <c r="E1158" s="38"/>
      <c r="F1158" s="48"/>
      <c r="G1158" s="38"/>
    </row>
    <row r="1159" spans="1:14" x14ac:dyDescent="0.25">
      <c r="A1159" s="3"/>
      <c r="B1159" s="40"/>
      <c r="C1159" s="41"/>
      <c r="D1159" s="40"/>
      <c r="E1159" s="41"/>
      <c r="F1159" s="42"/>
      <c r="G1159" s="41"/>
    </row>
    <row r="1160" spans="1:14" x14ac:dyDescent="0.25">
      <c r="A1160" s="2" t="s">
        <v>1224</v>
      </c>
      <c r="B1160" s="37" t="s">
        <v>1271</v>
      </c>
      <c r="C1160" s="38" t="s">
        <v>1074</v>
      </c>
      <c r="D1160" s="37" t="s">
        <v>1330</v>
      </c>
      <c r="E1160" s="38" t="s">
        <v>1072</v>
      </c>
      <c r="F1160" s="39"/>
      <c r="G1160" s="36"/>
      <c r="H1160" s="8"/>
    </row>
    <row r="1161" spans="1:14" x14ac:dyDescent="0.25">
      <c r="A1161" s="2"/>
      <c r="B1161" s="44"/>
      <c r="C1161" s="38"/>
      <c r="D1161" s="37"/>
      <c r="E1161" s="38"/>
      <c r="F1161" s="39"/>
      <c r="G1161" s="36"/>
      <c r="H1161" s="8"/>
    </row>
    <row r="1162" spans="1:14" x14ac:dyDescent="0.25">
      <c r="A1162" s="3"/>
      <c r="B1162" s="40"/>
      <c r="C1162" s="41"/>
      <c r="D1162" s="40"/>
      <c r="E1162" s="41"/>
      <c r="F1162" s="42"/>
      <c r="G1162" s="43"/>
      <c r="H1162" s="8"/>
    </row>
    <row r="1164" spans="1:14" x14ac:dyDescent="0.25">
      <c r="A1164" s="1">
        <v>59</v>
      </c>
      <c r="B1164" s="29" t="s">
        <v>1176</v>
      </c>
      <c r="C1164" s="30"/>
      <c r="D1164" s="29" t="s">
        <v>1218</v>
      </c>
      <c r="E1164" s="30"/>
      <c r="F1164" s="31" t="s">
        <v>1218</v>
      </c>
      <c r="G1164" s="49"/>
    </row>
    <row r="1165" spans="1:14" x14ac:dyDescent="0.25">
      <c r="A1165" s="4" t="s">
        <v>6</v>
      </c>
      <c r="B1165" s="33" t="s">
        <v>540</v>
      </c>
      <c r="C1165" s="34">
        <v>1</v>
      </c>
      <c r="D1165" s="33" t="s">
        <v>471</v>
      </c>
      <c r="E1165" s="34">
        <v>3</v>
      </c>
      <c r="F1165" s="35" t="s">
        <v>775</v>
      </c>
      <c r="G1165" s="34">
        <v>1</v>
      </c>
      <c r="I1165" s="7">
        <v>0.66666666666666674</v>
      </c>
      <c r="J1165" s="6">
        <v>1</v>
      </c>
      <c r="K1165" s="7">
        <v>1</v>
      </c>
      <c r="L1165" s="6">
        <v>1</v>
      </c>
      <c r="M1165" s="7">
        <v>1</v>
      </c>
      <c r="N1165" s="7">
        <v>1</v>
      </c>
    </row>
    <row r="1166" spans="1:14" x14ac:dyDescent="0.25">
      <c r="A1166" s="2"/>
      <c r="B1166" s="37" t="s">
        <v>541</v>
      </c>
      <c r="C1166" s="38">
        <v>2</v>
      </c>
      <c r="D1166" s="37" t="s">
        <v>472</v>
      </c>
      <c r="E1166" s="38" t="s">
        <v>1220</v>
      </c>
      <c r="F1166" s="39"/>
      <c r="G1166" s="38"/>
    </row>
    <row r="1167" spans="1:14" x14ac:dyDescent="0.25">
      <c r="A1167" s="3"/>
      <c r="B1167" s="40" t="s">
        <v>471</v>
      </c>
      <c r="C1167" s="41">
        <v>3</v>
      </c>
      <c r="D1167" s="40"/>
      <c r="E1167" s="41"/>
      <c r="F1167" s="42"/>
      <c r="G1167" s="41"/>
    </row>
    <row r="1168" spans="1:14" x14ac:dyDescent="0.25">
      <c r="A1168" s="4" t="s">
        <v>5</v>
      </c>
      <c r="B1168" s="33"/>
      <c r="C1168" s="34"/>
      <c r="D1168" s="33"/>
      <c r="E1168" s="34"/>
      <c r="F1168" s="35"/>
      <c r="G1168" s="38"/>
    </row>
    <row r="1169" spans="1:8" x14ac:dyDescent="0.25">
      <c r="A1169" s="2"/>
      <c r="B1169" s="37"/>
      <c r="C1169" s="38"/>
      <c r="D1169" s="37"/>
      <c r="E1169" s="38"/>
      <c r="F1169" s="37"/>
      <c r="G1169" s="38"/>
    </row>
    <row r="1170" spans="1:8" x14ac:dyDescent="0.25">
      <c r="A1170" s="3"/>
      <c r="B1170" s="40"/>
      <c r="C1170" s="41"/>
      <c r="D1170" s="40"/>
      <c r="E1170" s="41"/>
      <c r="F1170" s="42"/>
      <c r="G1170" s="41"/>
    </row>
    <row r="1171" spans="1:8" x14ac:dyDescent="0.25">
      <c r="A1171" s="4" t="s">
        <v>7</v>
      </c>
      <c r="B1171" s="33"/>
      <c r="C1171" s="34"/>
      <c r="D1171" s="33"/>
      <c r="E1171" s="34"/>
      <c r="F1171" s="39"/>
      <c r="G1171" s="38"/>
    </row>
    <row r="1172" spans="1:8" x14ac:dyDescent="0.25">
      <c r="A1172" s="2"/>
      <c r="B1172" s="37"/>
      <c r="C1172" s="38"/>
      <c r="D1172" s="37"/>
      <c r="E1172" s="36"/>
      <c r="F1172" s="38"/>
      <c r="G1172" s="39"/>
    </row>
    <row r="1173" spans="1:8" x14ac:dyDescent="0.25">
      <c r="A1173" s="3"/>
      <c r="B1173" s="40"/>
      <c r="C1173" s="41"/>
      <c r="D1173" s="40"/>
      <c r="E1173" s="41"/>
      <c r="F1173" s="42"/>
      <c r="G1173" s="41"/>
    </row>
    <row r="1174" spans="1:8" x14ac:dyDescent="0.25">
      <c r="A1174" s="4" t="s">
        <v>8</v>
      </c>
      <c r="B1174" s="33" t="s">
        <v>152</v>
      </c>
      <c r="C1174" s="34">
        <v>1</v>
      </c>
      <c r="D1174" s="33" t="s">
        <v>152</v>
      </c>
      <c r="E1174" s="34">
        <v>1</v>
      </c>
      <c r="F1174" s="35" t="s">
        <v>152</v>
      </c>
      <c r="G1174" s="38">
        <v>1</v>
      </c>
    </row>
    <row r="1175" spans="1:8" x14ac:dyDescent="0.25">
      <c r="A1175" s="2"/>
      <c r="B1175" s="37" t="s">
        <v>542</v>
      </c>
      <c r="C1175" s="38">
        <v>2</v>
      </c>
      <c r="D1175" s="37"/>
      <c r="E1175" s="38"/>
      <c r="F1175" s="39" t="s">
        <v>258</v>
      </c>
      <c r="G1175" s="38" t="s">
        <v>1073</v>
      </c>
    </row>
    <row r="1176" spans="1:8" x14ac:dyDescent="0.25">
      <c r="A1176" s="3"/>
      <c r="B1176" s="40"/>
      <c r="C1176" s="41"/>
      <c r="D1176" s="40"/>
      <c r="E1176" s="41"/>
      <c r="F1176" s="42" t="s">
        <v>542</v>
      </c>
      <c r="G1176" s="41" t="s">
        <v>1072</v>
      </c>
    </row>
    <row r="1177" spans="1:8" x14ac:dyDescent="0.25">
      <c r="A1177" s="2" t="s">
        <v>9</v>
      </c>
      <c r="B1177" s="37"/>
      <c r="C1177" s="38"/>
      <c r="D1177" s="37"/>
      <c r="E1177" s="38"/>
      <c r="F1177" s="39"/>
      <c r="G1177" s="38"/>
    </row>
    <row r="1178" spans="1:8" x14ac:dyDescent="0.25">
      <c r="A1178" s="2"/>
      <c r="B1178" s="37"/>
      <c r="C1178" s="38"/>
      <c r="D1178" s="37"/>
      <c r="E1178" s="38"/>
      <c r="F1178" s="48"/>
      <c r="G1178" s="38"/>
    </row>
    <row r="1179" spans="1:8" x14ac:dyDescent="0.25">
      <c r="A1179" s="3"/>
      <c r="B1179" s="40"/>
      <c r="C1179" s="41"/>
      <c r="D1179" s="40"/>
      <c r="E1179" s="41"/>
      <c r="F1179" s="42"/>
      <c r="G1179" s="41"/>
    </row>
    <row r="1180" spans="1:8" x14ac:dyDescent="0.25">
      <c r="A1180" s="2" t="s">
        <v>1224</v>
      </c>
      <c r="B1180" s="37" t="s">
        <v>1272</v>
      </c>
      <c r="C1180" s="38" t="s">
        <v>1072</v>
      </c>
      <c r="D1180" s="37" t="s">
        <v>1331</v>
      </c>
      <c r="E1180" s="38" t="s">
        <v>1074</v>
      </c>
      <c r="F1180" s="39" t="s">
        <v>1332</v>
      </c>
      <c r="G1180" s="36" t="s">
        <v>1074</v>
      </c>
      <c r="H1180" s="8"/>
    </row>
    <row r="1181" spans="1:8" x14ac:dyDescent="0.25">
      <c r="A1181" s="2"/>
      <c r="B1181" s="44"/>
      <c r="C1181" s="38"/>
      <c r="D1181" s="37"/>
      <c r="E1181" s="38"/>
      <c r="F1181" s="39"/>
      <c r="G1181" s="36"/>
      <c r="H1181" s="8"/>
    </row>
    <row r="1182" spans="1:8" x14ac:dyDescent="0.25">
      <c r="A1182" s="3"/>
      <c r="B1182" s="40"/>
      <c r="C1182" s="41"/>
      <c r="D1182" s="40"/>
      <c r="E1182" s="41"/>
      <c r="F1182" s="42"/>
      <c r="G1182" s="43"/>
      <c r="H1182" s="8"/>
    </row>
    <row r="1184" spans="1:8" x14ac:dyDescent="0.25">
      <c r="A1184" s="1">
        <v>60</v>
      </c>
      <c r="B1184" s="29" t="s">
        <v>1177</v>
      </c>
      <c r="C1184" s="30"/>
      <c r="D1184" s="29" t="s">
        <v>1218</v>
      </c>
      <c r="E1184" s="30"/>
      <c r="F1184" s="31" t="s">
        <v>1218</v>
      </c>
      <c r="G1184" s="49"/>
    </row>
    <row r="1185" spans="1:14" x14ac:dyDescent="0.25">
      <c r="A1185" s="4" t="s">
        <v>6</v>
      </c>
      <c r="B1185" s="33" t="s">
        <v>543</v>
      </c>
      <c r="C1185" s="34">
        <v>1</v>
      </c>
      <c r="D1185" s="33" t="s">
        <v>473</v>
      </c>
      <c r="E1185" s="34">
        <v>1</v>
      </c>
      <c r="F1185" s="35" t="s">
        <v>543</v>
      </c>
      <c r="G1185" s="34">
        <v>1</v>
      </c>
      <c r="I1185" s="7">
        <v>1</v>
      </c>
      <c r="J1185" s="6">
        <v>0.33333333333333337</v>
      </c>
      <c r="K1185" s="7">
        <v>0.33333333333333337</v>
      </c>
      <c r="L1185" s="6">
        <v>1</v>
      </c>
      <c r="M1185" s="7">
        <v>1</v>
      </c>
      <c r="N1185" s="7">
        <v>1</v>
      </c>
    </row>
    <row r="1186" spans="1:14" x14ac:dyDescent="0.25">
      <c r="A1186" s="2"/>
      <c r="B1186" s="37" t="s">
        <v>544</v>
      </c>
      <c r="C1186" s="38">
        <v>2</v>
      </c>
      <c r="D1186" s="37" t="s">
        <v>474</v>
      </c>
      <c r="E1186" s="38">
        <v>3</v>
      </c>
      <c r="F1186" s="39"/>
      <c r="G1186" s="38"/>
    </row>
    <row r="1187" spans="1:14" x14ac:dyDescent="0.25">
      <c r="A1187" s="3"/>
      <c r="B1187" s="40"/>
      <c r="C1187" s="41"/>
      <c r="D1187" s="40"/>
      <c r="E1187" s="41"/>
      <c r="F1187" s="42"/>
      <c r="G1187" s="41"/>
    </row>
    <row r="1188" spans="1:14" x14ac:dyDescent="0.25">
      <c r="A1188" s="4" t="s">
        <v>5</v>
      </c>
      <c r="B1188" s="33"/>
      <c r="C1188" s="34"/>
      <c r="D1188" s="33" t="s">
        <v>475</v>
      </c>
      <c r="E1188" s="34">
        <v>1</v>
      </c>
      <c r="F1188" s="35" t="s">
        <v>116</v>
      </c>
      <c r="G1188" s="38">
        <v>1</v>
      </c>
    </row>
    <row r="1189" spans="1:14" x14ac:dyDescent="0.25">
      <c r="A1189" s="2"/>
      <c r="B1189" s="37"/>
      <c r="C1189" s="38"/>
      <c r="D1189" s="37"/>
      <c r="E1189" s="38"/>
      <c r="F1189" s="37"/>
      <c r="G1189" s="38"/>
    </row>
    <row r="1190" spans="1:14" x14ac:dyDescent="0.25">
      <c r="A1190" s="3"/>
      <c r="B1190" s="40"/>
      <c r="C1190" s="41"/>
      <c r="D1190" s="40"/>
      <c r="E1190" s="41"/>
      <c r="F1190" s="42"/>
      <c r="G1190" s="41"/>
    </row>
    <row r="1191" spans="1:14" x14ac:dyDescent="0.25">
      <c r="A1191" s="4" t="s">
        <v>7</v>
      </c>
      <c r="B1191" s="33"/>
      <c r="C1191" s="34"/>
      <c r="D1191" s="33"/>
      <c r="E1191" s="34"/>
      <c r="F1191" s="39" t="s">
        <v>771</v>
      </c>
      <c r="G1191" s="38">
        <v>3</v>
      </c>
    </row>
    <row r="1192" spans="1:14" x14ac:dyDescent="0.25">
      <c r="A1192" s="2"/>
      <c r="B1192" s="37"/>
      <c r="C1192" s="38"/>
      <c r="D1192" s="37"/>
      <c r="E1192" s="36"/>
      <c r="F1192" s="38"/>
      <c r="G1192" s="39"/>
    </row>
    <row r="1193" spans="1:14" x14ac:dyDescent="0.25">
      <c r="A1193" s="3"/>
      <c r="B1193" s="40"/>
      <c r="C1193" s="41"/>
      <c r="D1193" s="40"/>
      <c r="E1193" s="41"/>
      <c r="F1193" s="42"/>
      <c r="G1193" s="41"/>
    </row>
    <row r="1194" spans="1:14" x14ac:dyDescent="0.25">
      <c r="A1194" s="4" t="s">
        <v>8</v>
      </c>
      <c r="B1194" s="33" t="s">
        <v>152</v>
      </c>
      <c r="C1194" s="34">
        <v>1</v>
      </c>
      <c r="D1194" s="33" t="s">
        <v>152</v>
      </c>
      <c r="E1194" s="34">
        <v>1</v>
      </c>
      <c r="F1194" s="35" t="s">
        <v>152</v>
      </c>
      <c r="G1194" s="38">
        <v>1</v>
      </c>
    </row>
    <row r="1195" spans="1:14" x14ac:dyDescent="0.25">
      <c r="A1195" s="2"/>
      <c r="B1195" s="37"/>
      <c r="C1195" s="38"/>
      <c r="D1195" s="37" t="s">
        <v>476</v>
      </c>
      <c r="E1195" s="38">
        <v>2</v>
      </c>
      <c r="F1195" s="39" t="s">
        <v>258</v>
      </c>
      <c r="G1195" s="38">
        <v>2</v>
      </c>
    </row>
    <row r="1196" spans="1:14" x14ac:dyDescent="0.25">
      <c r="A1196" s="3"/>
      <c r="B1196" s="40"/>
      <c r="C1196" s="41"/>
      <c r="D1196" s="40"/>
      <c r="E1196" s="41"/>
      <c r="F1196" s="42" t="s">
        <v>776</v>
      </c>
      <c r="G1196" s="41">
        <v>3</v>
      </c>
    </row>
    <row r="1197" spans="1:14" x14ac:dyDescent="0.25">
      <c r="A1197" s="2" t="s">
        <v>9</v>
      </c>
      <c r="B1197" s="37"/>
      <c r="C1197" s="38"/>
      <c r="D1197" s="37"/>
      <c r="E1197" s="38"/>
      <c r="F1197" s="39"/>
      <c r="G1197" s="38"/>
    </row>
    <row r="1198" spans="1:14" x14ac:dyDescent="0.25">
      <c r="A1198" s="2"/>
      <c r="B1198" s="37"/>
      <c r="C1198" s="38"/>
      <c r="D1198" s="37"/>
      <c r="E1198" s="38"/>
      <c r="F1198" s="48"/>
      <c r="G1198" s="38"/>
    </row>
    <row r="1199" spans="1:14" x14ac:dyDescent="0.25">
      <c r="A1199" s="3"/>
      <c r="B1199" s="40"/>
      <c r="C1199" s="41"/>
      <c r="D1199" s="40"/>
      <c r="E1199" s="41"/>
      <c r="F1199" s="42"/>
      <c r="G1199" s="41"/>
    </row>
    <row r="1200" spans="1:14" x14ac:dyDescent="0.25">
      <c r="A1200" s="2" t="s">
        <v>1224</v>
      </c>
      <c r="B1200" s="37"/>
      <c r="C1200" s="38"/>
      <c r="D1200" s="37" t="s">
        <v>1332</v>
      </c>
      <c r="E1200" s="38" t="s">
        <v>1074</v>
      </c>
      <c r="F1200" s="39" t="s">
        <v>1332</v>
      </c>
      <c r="G1200" s="36" t="s">
        <v>1074</v>
      </c>
      <c r="H1200" s="8"/>
    </row>
    <row r="1201" spans="1:14" x14ac:dyDescent="0.25">
      <c r="A1201" s="2"/>
      <c r="B1201" s="44"/>
      <c r="C1201" s="38"/>
      <c r="D1201" s="37"/>
      <c r="E1201" s="38"/>
      <c r="F1201" s="39"/>
      <c r="G1201" s="36"/>
      <c r="H1201" s="8"/>
    </row>
    <row r="1202" spans="1:14" x14ac:dyDescent="0.25">
      <c r="A1202" s="3"/>
      <c r="B1202" s="40"/>
      <c r="C1202" s="41"/>
      <c r="D1202" s="40"/>
      <c r="E1202" s="41"/>
      <c r="F1202" s="42"/>
      <c r="G1202" s="43"/>
      <c r="H1202" s="8"/>
    </row>
    <row r="1204" spans="1:14" x14ac:dyDescent="0.25">
      <c r="A1204" s="1">
        <v>61</v>
      </c>
      <c r="B1204" s="29" t="s">
        <v>1178</v>
      </c>
      <c r="C1204" s="30"/>
      <c r="D1204" s="29" t="s">
        <v>1218</v>
      </c>
      <c r="E1204" s="30"/>
      <c r="F1204" s="31" t="s">
        <v>1218</v>
      </c>
      <c r="G1204" s="49"/>
    </row>
    <row r="1205" spans="1:14" x14ac:dyDescent="0.25">
      <c r="A1205" s="4" t="s">
        <v>6</v>
      </c>
      <c r="B1205" s="33" t="s">
        <v>458</v>
      </c>
      <c r="C1205" s="34">
        <v>1</v>
      </c>
      <c r="D1205" s="33" t="s">
        <v>545</v>
      </c>
      <c r="E1205" s="34" t="s">
        <v>1054</v>
      </c>
      <c r="F1205" s="33" t="s">
        <v>541</v>
      </c>
      <c r="G1205" s="34">
        <v>3</v>
      </c>
      <c r="I1205" s="7">
        <v>1</v>
      </c>
      <c r="J1205" s="6">
        <v>1</v>
      </c>
      <c r="K1205" s="7">
        <v>1</v>
      </c>
      <c r="L1205" s="6">
        <v>1</v>
      </c>
      <c r="M1205" s="7">
        <v>1</v>
      </c>
      <c r="N1205" s="7">
        <v>1</v>
      </c>
    </row>
    <row r="1206" spans="1:14" x14ac:dyDescent="0.25">
      <c r="A1206" s="2"/>
      <c r="B1206" s="37" t="s">
        <v>545</v>
      </c>
      <c r="C1206" s="38">
        <v>2</v>
      </c>
      <c r="D1206" s="37" t="s">
        <v>477</v>
      </c>
      <c r="E1206" s="38">
        <v>4</v>
      </c>
      <c r="F1206" s="37" t="s">
        <v>545</v>
      </c>
      <c r="G1206" s="38" t="s">
        <v>1072</v>
      </c>
    </row>
    <row r="1207" spans="1:14" x14ac:dyDescent="0.25">
      <c r="A1207" s="3"/>
      <c r="B1207" s="40"/>
      <c r="C1207" s="41"/>
      <c r="D1207" s="40"/>
      <c r="E1207" s="41"/>
      <c r="F1207" s="40"/>
      <c r="G1207" s="41"/>
    </row>
    <row r="1208" spans="1:14" x14ac:dyDescent="0.25">
      <c r="A1208" s="4" t="s">
        <v>5</v>
      </c>
      <c r="B1208" s="33"/>
      <c r="C1208" s="34"/>
      <c r="D1208" s="33"/>
      <c r="E1208" s="34"/>
      <c r="F1208" s="54"/>
      <c r="G1208" s="38"/>
    </row>
    <row r="1209" spans="1:14" x14ac:dyDescent="0.25">
      <c r="A1209" s="2"/>
      <c r="B1209" s="37"/>
      <c r="C1209" s="38"/>
      <c r="D1209" s="37"/>
      <c r="E1209" s="38"/>
      <c r="F1209" s="51"/>
      <c r="G1209" s="38"/>
    </row>
    <row r="1210" spans="1:14" x14ac:dyDescent="0.25">
      <c r="A1210" s="3"/>
      <c r="B1210" s="40"/>
      <c r="C1210" s="41"/>
      <c r="D1210" s="40"/>
      <c r="E1210" s="41"/>
      <c r="F1210" s="42"/>
      <c r="G1210" s="41"/>
    </row>
    <row r="1211" spans="1:14" x14ac:dyDescent="0.25">
      <c r="A1211" s="4" t="s">
        <v>7</v>
      </c>
      <c r="B1211" s="33"/>
      <c r="C1211" s="34"/>
      <c r="D1211" s="51"/>
      <c r="E1211" s="34"/>
      <c r="F1211" s="39"/>
      <c r="G1211" s="38"/>
    </row>
    <row r="1212" spans="1:14" x14ac:dyDescent="0.25">
      <c r="A1212" s="2"/>
      <c r="B1212" s="37"/>
      <c r="C1212" s="38"/>
      <c r="D1212" s="37"/>
      <c r="E1212" s="36"/>
      <c r="F1212" s="38"/>
      <c r="G1212" s="39"/>
    </row>
    <row r="1213" spans="1:14" x14ac:dyDescent="0.25">
      <c r="A1213" s="3"/>
      <c r="B1213" s="40"/>
      <c r="C1213" s="41"/>
      <c r="D1213" s="40"/>
      <c r="E1213" s="41"/>
      <c r="F1213" s="42"/>
      <c r="G1213" s="41"/>
    </row>
    <row r="1214" spans="1:14" x14ac:dyDescent="0.25">
      <c r="A1214" s="4" t="s">
        <v>8</v>
      </c>
      <c r="B1214" s="33" t="s">
        <v>470</v>
      </c>
      <c r="C1214" s="34">
        <v>1</v>
      </c>
      <c r="D1214" s="33" t="s">
        <v>478</v>
      </c>
      <c r="E1214" s="34">
        <v>2</v>
      </c>
      <c r="F1214" s="35" t="s">
        <v>777</v>
      </c>
      <c r="G1214" s="38">
        <v>2</v>
      </c>
    </row>
    <row r="1215" spans="1:14" x14ac:dyDescent="0.25">
      <c r="A1215" s="2"/>
      <c r="B1215" s="37" t="s">
        <v>546</v>
      </c>
      <c r="C1215" s="38">
        <v>2</v>
      </c>
      <c r="D1215" s="37" t="s">
        <v>470</v>
      </c>
      <c r="E1215" s="38">
        <v>1</v>
      </c>
      <c r="F1215" s="39" t="s">
        <v>542</v>
      </c>
      <c r="G1215" s="38">
        <v>2</v>
      </c>
    </row>
    <row r="1216" spans="1:14" x14ac:dyDescent="0.25">
      <c r="A1216" s="3"/>
      <c r="B1216" s="40"/>
      <c r="C1216" s="41"/>
      <c r="D1216" s="40" t="s">
        <v>476</v>
      </c>
      <c r="E1216" s="41">
        <v>3</v>
      </c>
      <c r="F1216" s="42" t="s">
        <v>470</v>
      </c>
      <c r="G1216" s="41">
        <v>1</v>
      </c>
    </row>
    <row r="1217" spans="1:14" x14ac:dyDescent="0.25">
      <c r="A1217" s="2" t="s">
        <v>9</v>
      </c>
      <c r="B1217" s="37" t="s">
        <v>547</v>
      </c>
      <c r="C1217" s="38">
        <v>1</v>
      </c>
      <c r="D1217" s="37" t="s">
        <v>541</v>
      </c>
      <c r="E1217" s="38"/>
      <c r="F1217" s="39" t="s">
        <v>778</v>
      </c>
      <c r="G1217" s="38">
        <v>1</v>
      </c>
    </row>
    <row r="1218" spans="1:14" x14ac:dyDescent="0.25">
      <c r="A1218" s="2"/>
      <c r="B1218" s="37"/>
      <c r="C1218" s="38"/>
      <c r="D1218" s="37"/>
      <c r="E1218" s="38"/>
      <c r="F1218" s="48"/>
      <c r="G1218" s="38"/>
    </row>
    <row r="1219" spans="1:14" x14ac:dyDescent="0.25">
      <c r="A1219" s="3"/>
      <c r="B1219" s="40"/>
      <c r="C1219" s="41"/>
      <c r="D1219" s="40"/>
      <c r="E1219" s="41"/>
      <c r="F1219" s="42"/>
      <c r="G1219" s="41"/>
    </row>
    <row r="1220" spans="1:14" x14ac:dyDescent="0.25">
      <c r="A1220" s="2" t="s">
        <v>1224</v>
      </c>
      <c r="B1220" s="37"/>
      <c r="C1220" s="38"/>
      <c r="D1220" s="37"/>
      <c r="E1220" s="38"/>
      <c r="F1220" s="39"/>
      <c r="G1220" s="36"/>
      <c r="H1220" s="8"/>
    </row>
    <row r="1221" spans="1:14" x14ac:dyDescent="0.25">
      <c r="A1221" s="2"/>
      <c r="B1221" s="44"/>
      <c r="C1221" s="38"/>
      <c r="D1221" s="37"/>
      <c r="E1221" s="38"/>
      <c r="F1221" s="39"/>
      <c r="G1221" s="36"/>
      <c r="H1221" s="8"/>
    </row>
    <row r="1222" spans="1:14" x14ac:dyDescent="0.25">
      <c r="A1222" s="3"/>
      <c r="B1222" s="40"/>
      <c r="C1222" s="41"/>
      <c r="D1222" s="40"/>
      <c r="E1222" s="41"/>
      <c r="F1222" s="42"/>
      <c r="G1222" s="43"/>
      <c r="H1222" s="8"/>
    </row>
    <row r="1224" spans="1:14" x14ac:dyDescent="0.25">
      <c r="A1224" s="1">
        <v>62</v>
      </c>
      <c r="B1224" s="29" t="s">
        <v>1179</v>
      </c>
      <c r="C1224" s="30"/>
      <c r="D1224" s="29" t="s">
        <v>1218</v>
      </c>
      <c r="E1224" s="30"/>
      <c r="F1224" s="31" t="s">
        <v>1218</v>
      </c>
      <c r="G1224" s="49"/>
    </row>
    <row r="1225" spans="1:14" x14ac:dyDescent="0.25">
      <c r="A1225" s="4" t="s">
        <v>6</v>
      </c>
      <c r="B1225" s="33" t="s">
        <v>548</v>
      </c>
      <c r="C1225" s="34">
        <v>1</v>
      </c>
      <c r="D1225" s="33" t="s">
        <v>479</v>
      </c>
      <c r="E1225" s="34">
        <v>1</v>
      </c>
      <c r="F1225" s="35" t="s">
        <v>779</v>
      </c>
      <c r="G1225" s="34">
        <v>2</v>
      </c>
      <c r="I1225" s="7">
        <v>0.33333333333333337</v>
      </c>
      <c r="J1225" s="6">
        <v>1</v>
      </c>
      <c r="K1225" s="7">
        <v>0.33333333333333337</v>
      </c>
      <c r="L1225" s="6">
        <v>0.66666666666666674</v>
      </c>
      <c r="M1225" s="7">
        <v>0.33333333333333337</v>
      </c>
      <c r="N1225" s="7">
        <v>0.33333333333333337</v>
      </c>
    </row>
    <row r="1226" spans="1:14" x14ac:dyDescent="0.25">
      <c r="A1226" s="2"/>
      <c r="B1226" s="37"/>
      <c r="C1226" s="38"/>
      <c r="D1226" s="37"/>
      <c r="E1226" s="38"/>
      <c r="F1226" s="39"/>
      <c r="G1226" s="38"/>
    </row>
    <row r="1227" spans="1:14" x14ac:dyDescent="0.25">
      <c r="A1227" s="3"/>
      <c r="B1227" s="40"/>
      <c r="C1227" s="41"/>
      <c r="D1227" s="40"/>
      <c r="E1227" s="41"/>
      <c r="F1227" s="42"/>
      <c r="G1227" s="41"/>
    </row>
    <row r="1228" spans="1:14" x14ac:dyDescent="0.25">
      <c r="A1228" s="4" t="s">
        <v>5</v>
      </c>
      <c r="B1228" s="55" t="s">
        <v>780</v>
      </c>
      <c r="C1228" s="34">
        <v>1</v>
      </c>
      <c r="D1228" s="55" t="s">
        <v>780</v>
      </c>
      <c r="E1228" s="34">
        <v>1</v>
      </c>
      <c r="F1228" s="35" t="s">
        <v>780</v>
      </c>
      <c r="G1228" s="38">
        <v>1</v>
      </c>
    </row>
    <row r="1229" spans="1:14" x14ac:dyDescent="0.25">
      <c r="A1229" s="2"/>
      <c r="B1229" s="37"/>
      <c r="C1229" s="38"/>
      <c r="D1229" s="37"/>
      <c r="E1229" s="38"/>
      <c r="F1229" s="37"/>
      <c r="G1229" s="38"/>
    </row>
    <row r="1230" spans="1:14" x14ac:dyDescent="0.25">
      <c r="A1230" s="3"/>
      <c r="B1230" s="40"/>
      <c r="C1230" s="41"/>
      <c r="D1230" s="40"/>
      <c r="E1230" s="41"/>
      <c r="F1230" s="42"/>
      <c r="G1230" s="41"/>
    </row>
    <row r="1231" spans="1:14" x14ac:dyDescent="0.25">
      <c r="A1231" s="4" t="s">
        <v>7</v>
      </c>
      <c r="B1231" s="33"/>
      <c r="C1231" s="34"/>
      <c r="D1231" s="33" t="s">
        <v>480</v>
      </c>
      <c r="E1231" s="34">
        <v>1</v>
      </c>
      <c r="F1231" s="39" t="s">
        <v>766</v>
      </c>
      <c r="G1231" s="38">
        <v>1</v>
      </c>
    </row>
    <row r="1232" spans="1:14" x14ac:dyDescent="0.25">
      <c r="A1232" s="2"/>
      <c r="B1232" s="37"/>
      <c r="C1232" s="38"/>
      <c r="D1232" s="37"/>
      <c r="E1232" s="36"/>
      <c r="F1232" s="38"/>
      <c r="G1232" s="39"/>
    </row>
    <row r="1233" spans="1:14" x14ac:dyDescent="0.25">
      <c r="A1233" s="3"/>
      <c r="B1233" s="40"/>
      <c r="C1233" s="41"/>
      <c r="D1233" s="40"/>
      <c r="E1233" s="41"/>
      <c r="F1233" s="42"/>
      <c r="G1233" s="41"/>
    </row>
    <row r="1234" spans="1:14" x14ac:dyDescent="0.25">
      <c r="A1234" s="4" t="s">
        <v>8</v>
      </c>
      <c r="B1234" s="33" t="s">
        <v>481</v>
      </c>
      <c r="C1234" s="34">
        <v>1</v>
      </c>
      <c r="D1234" s="33" t="s">
        <v>481</v>
      </c>
      <c r="E1234" s="34">
        <v>1</v>
      </c>
      <c r="F1234" s="35" t="s">
        <v>470</v>
      </c>
      <c r="G1234" s="38">
        <v>2</v>
      </c>
    </row>
    <row r="1235" spans="1:14" x14ac:dyDescent="0.25">
      <c r="A1235" s="2"/>
      <c r="B1235" s="37" t="s">
        <v>152</v>
      </c>
      <c r="C1235" s="38">
        <v>2</v>
      </c>
      <c r="D1235" s="37"/>
      <c r="E1235" s="38"/>
      <c r="F1235" s="39" t="s">
        <v>258</v>
      </c>
      <c r="G1235" s="38">
        <v>3</v>
      </c>
    </row>
    <row r="1236" spans="1:14" x14ac:dyDescent="0.25">
      <c r="A1236" s="3"/>
      <c r="B1236" s="40"/>
      <c r="C1236" s="41"/>
      <c r="D1236" s="40"/>
      <c r="E1236" s="41"/>
      <c r="F1236" s="42"/>
      <c r="G1236" s="41"/>
    </row>
    <row r="1237" spans="1:14" x14ac:dyDescent="0.25">
      <c r="A1237" s="2" t="s">
        <v>9</v>
      </c>
      <c r="B1237" s="37" t="s">
        <v>549</v>
      </c>
      <c r="C1237" s="38">
        <v>1</v>
      </c>
      <c r="D1237" s="37" t="s">
        <v>482</v>
      </c>
      <c r="E1237" s="38">
        <v>1</v>
      </c>
      <c r="F1237" s="39"/>
      <c r="G1237" s="38"/>
    </row>
    <row r="1238" spans="1:14" x14ac:dyDescent="0.25">
      <c r="A1238" s="2"/>
      <c r="B1238" s="37"/>
      <c r="C1238" s="38"/>
      <c r="D1238" s="37"/>
      <c r="E1238" s="38"/>
      <c r="F1238" s="48"/>
      <c r="G1238" s="38"/>
    </row>
    <row r="1239" spans="1:14" x14ac:dyDescent="0.25">
      <c r="A1239" s="3"/>
      <c r="B1239" s="40"/>
      <c r="C1239" s="41"/>
      <c r="D1239" s="40"/>
      <c r="E1239" s="41"/>
      <c r="F1239" s="42"/>
      <c r="G1239" s="41"/>
    </row>
    <row r="1240" spans="1:14" x14ac:dyDescent="0.25">
      <c r="A1240" s="2" t="s">
        <v>1224</v>
      </c>
      <c r="B1240" s="37" t="s">
        <v>1384</v>
      </c>
      <c r="C1240" s="38" t="s">
        <v>1074</v>
      </c>
      <c r="D1240" s="37" t="s">
        <v>1333</v>
      </c>
      <c r="E1240" s="38" t="s">
        <v>1074</v>
      </c>
      <c r="F1240" s="39"/>
      <c r="G1240" s="36"/>
      <c r="H1240" s="8"/>
    </row>
    <row r="1241" spans="1:14" x14ac:dyDescent="0.25">
      <c r="A1241" s="2"/>
      <c r="B1241" s="44"/>
      <c r="C1241" s="38"/>
      <c r="D1241" s="37"/>
      <c r="E1241" s="38"/>
      <c r="F1241" s="39"/>
      <c r="G1241" s="36"/>
      <c r="H1241" s="8"/>
    </row>
    <row r="1242" spans="1:14" x14ac:dyDescent="0.25">
      <c r="A1242" s="3"/>
      <c r="B1242" s="40"/>
      <c r="C1242" s="41"/>
      <c r="D1242" s="40"/>
      <c r="E1242" s="41"/>
      <c r="F1242" s="42"/>
      <c r="G1242" s="43"/>
      <c r="H1242" s="8"/>
    </row>
    <row r="1244" spans="1:14" x14ac:dyDescent="0.25">
      <c r="A1244" s="1">
        <v>63</v>
      </c>
      <c r="B1244" s="29" t="s">
        <v>1180</v>
      </c>
      <c r="C1244" s="30"/>
      <c r="D1244" s="29" t="s">
        <v>1218</v>
      </c>
      <c r="E1244" s="30"/>
      <c r="F1244" s="31" t="s">
        <v>1218</v>
      </c>
      <c r="G1244" s="49"/>
    </row>
    <row r="1245" spans="1:14" x14ac:dyDescent="0.25">
      <c r="A1245" s="4" t="s">
        <v>6</v>
      </c>
      <c r="B1245" s="33" t="s">
        <v>483</v>
      </c>
      <c r="C1245" s="34">
        <v>1</v>
      </c>
      <c r="D1245" s="33" t="s">
        <v>483</v>
      </c>
      <c r="E1245" s="34">
        <v>1</v>
      </c>
      <c r="F1245" s="35" t="s">
        <v>781</v>
      </c>
      <c r="G1245" s="34">
        <v>1</v>
      </c>
      <c r="I1245" s="7">
        <v>1</v>
      </c>
      <c r="J1245" s="6">
        <v>1</v>
      </c>
      <c r="K1245" s="7">
        <v>1</v>
      </c>
      <c r="L1245" s="6">
        <v>1</v>
      </c>
      <c r="M1245" s="7">
        <v>1</v>
      </c>
      <c r="N1245" s="7">
        <v>1</v>
      </c>
    </row>
    <row r="1246" spans="1:14" x14ac:dyDescent="0.25">
      <c r="A1246" s="2"/>
      <c r="B1246" s="37"/>
      <c r="C1246" s="38"/>
      <c r="D1246" s="37"/>
      <c r="E1246" s="38"/>
      <c r="F1246" s="39"/>
      <c r="G1246" s="38"/>
    </row>
    <row r="1247" spans="1:14" x14ac:dyDescent="0.25">
      <c r="A1247" s="3"/>
      <c r="B1247" s="40"/>
      <c r="C1247" s="41"/>
      <c r="D1247" s="40"/>
      <c r="E1247" s="41"/>
      <c r="F1247" s="42"/>
      <c r="G1247" s="41"/>
    </row>
    <row r="1248" spans="1:14" x14ac:dyDescent="0.25">
      <c r="A1248" s="4" t="s">
        <v>5</v>
      </c>
      <c r="B1248" s="33" t="s">
        <v>189</v>
      </c>
      <c r="C1248" s="34">
        <v>1</v>
      </c>
      <c r="D1248" s="33" t="s">
        <v>189</v>
      </c>
      <c r="E1248" s="34">
        <v>1</v>
      </c>
      <c r="F1248" s="35" t="s">
        <v>189</v>
      </c>
      <c r="G1248" s="38">
        <v>1</v>
      </c>
    </row>
    <row r="1249" spans="1:8" x14ac:dyDescent="0.25">
      <c r="A1249" s="2"/>
      <c r="B1249" s="37"/>
      <c r="C1249" s="38"/>
      <c r="D1249" s="37"/>
      <c r="E1249" s="38"/>
      <c r="F1249" s="37"/>
      <c r="G1249" s="38"/>
    </row>
    <row r="1250" spans="1:8" x14ac:dyDescent="0.25">
      <c r="A1250" s="3"/>
      <c r="B1250" s="40"/>
      <c r="C1250" s="41"/>
      <c r="D1250" s="40"/>
      <c r="E1250" s="41"/>
      <c r="F1250" s="42"/>
      <c r="G1250" s="41"/>
    </row>
    <row r="1251" spans="1:8" x14ac:dyDescent="0.25">
      <c r="A1251" s="4" t="s">
        <v>7</v>
      </c>
      <c r="B1251" s="33"/>
      <c r="C1251" s="34"/>
      <c r="D1251" s="33"/>
      <c r="E1251" s="34"/>
      <c r="F1251" s="39"/>
      <c r="G1251" s="38"/>
    </row>
    <row r="1252" spans="1:8" x14ac:dyDescent="0.25">
      <c r="A1252" s="2"/>
      <c r="B1252" s="37"/>
      <c r="C1252" s="38"/>
      <c r="D1252" s="37"/>
      <c r="E1252" s="36"/>
      <c r="F1252" s="38"/>
      <c r="G1252" s="39"/>
    </row>
    <row r="1253" spans="1:8" x14ac:dyDescent="0.25">
      <c r="A1253" s="3"/>
      <c r="B1253" s="40"/>
      <c r="C1253" s="41"/>
      <c r="D1253" s="40"/>
      <c r="E1253" s="41"/>
      <c r="F1253" s="42"/>
      <c r="G1253" s="41"/>
    </row>
    <row r="1254" spans="1:8" x14ac:dyDescent="0.25">
      <c r="A1254" s="4" t="s">
        <v>8</v>
      </c>
      <c r="B1254" s="33" t="s">
        <v>152</v>
      </c>
      <c r="C1254" s="34">
        <v>1</v>
      </c>
      <c r="D1254" s="33" t="s">
        <v>484</v>
      </c>
      <c r="E1254" s="34">
        <v>1</v>
      </c>
      <c r="F1254" s="35" t="s">
        <v>470</v>
      </c>
      <c r="G1254" s="38">
        <v>1</v>
      </c>
    </row>
    <row r="1255" spans="1:8" x14ac:dyDescent="0.25">
      <c r="A1255" s="2"/>
      <c r="B1255" s="37"/>
      <c r="C1255" s="38"/>
      <c r="D1255" s="37"/>
      <c r="E1255" s="38"/>
      <c r="F1255" s="39" t="s">
        <v>536</v>
      </c>
      <c r="G1255" s="38">
        <v>2</v>
      </c>
    </row>
    <row r="1256" spans="1:8" x14ac:dyDescent="0.25">
      <c r="A1256" s="3"/>
      <c r="B1256" s="40"/>
      <c r="C1256" s="41"/>
      <c r="D1256" s="40"/>
      <c r="E1256" s="41"/>
      <c r="F1256" s="42"/>
      <c r="G1256" s="41"/>
    </row>
    <row r="1257" spans="1:8" x14ac:dyDescent="0.25">
      <c r="A1257" s="2" t="s">
        <v>9</v>
      </c>
      <c r="B1257" s="37" t="s">
        <v>538</v>
      </c>
      <c r="C1257" s="38">
        <v>1</v>
      </c>
      <c r="D1257" s="37" t="s">
        <v>485</v>
      </c>
      <c r="E1257" s="38">
        <v>1</v>
      </c>
      <c r="F1257" s="39" t="s">
        <v>1064</v>
      </c>
      <c r="G1257" s="38">
        <v>1</v>
      </c>
    </row>
    <row r="1258" spans="1:8" x14ac:dyDescent="0.25">
      <c r="A1258" s="2"/>
      <c r="B1258" s="37"/>
      <c r="C1258" s="38"/>
      <c r="D1258" s="37"/>
      <c r="E1258" s="38"/>
      <c r="F1258" s="48"/>
      <c r="G1258" s="38"/>
    </row>
    <row r="1259" spans="1:8" x14ac:dyDescent="0.25">
      <c r="A1259" s="3"/>
      <c r="B1259" s="40"/>
      <c r="C1259" s="41"/>
      <c r="D1259" s="40"/>
      <c r="E1259" s="41"/>
      <c r="F1259" s="42"/>
      <c r="G1259" s="41"/>
    </row>
    <row r="1260" spans="1:8" x14ac:dyDescent="0.25">
      <c r="A1260" s="2" t="s">
        <v>1224</v>
      </c>
      <c r="B1260" s="37"/>
      <c r="C1260" s="38"/>
      <c r="D1260" s="37" t="s">
        <v>1334</v>
      </c>
      <c r="E1260" s="38" t="s">
        <v>1074</v>
      </c>
      <c r="F1260" s="39" t="s">
        <v>1385</v>
      </c>
      <c r="G1260" s="36" t="s">
        <v>1074</v>
      </c>
      <c r="H1260" s="8"/>
    </row>
    <row r="1261" spans="1:8" x14ac:dyDescent="0.25">
      <c r="A1261" s="2"/>
      <c r="B1261" s="44"/>
      <c r="C1261" s="38"/>
      <c r="D1261" s="37"/>
      <c r="E1261" s="38"/>
      <c r="F1261" s="39"/>
      <c r="G1261" s="36"/>
      <c r="H1261" s="8"/>
    </row>
    <row r="1262" spans="1:8" x14ac:dyDescent="0.25">
      <c r="A1262" s="3"/>
      <c r="B1262" s="40"/>
      <c r="C1262" s="41"/>
      <c r="D1262" s="40"/>
      <c r="E1262" s="41"/>
      <c r="F1262" s="42"/>
      <c r="G1262" s="43"/>
      <c r="H1262" s="8"/>
    </row>
    <row r="1264" spans="1:8" x14ac:dyDescent="0.25">
      <c r="A1264" s="1">
        <v>64</v>
      </c>
      <c r="B1264" s="29" t="s">
        <v>1181</v>
      </c>
      <c r="C1264" s="30"/>
      <c r="D1264" s="29" t="s">
        <v>1218</v>
      </c>
      <c r="E1264" s="30"/>
      <c r="F1264" s="31" t="s">
        <v>1218</v>
      </c>
      <c r="G1264" s="49"/>
    </row>
    <row r="1265" spans="1:14" x14ac:dyDescent="0.25">
      <c r="A1265" s="4" t="s">
        <v>6</v>
      </c>
      <c r="B1265" s="33" t="s">
        <v>550</v>
      </c>
      <c r="C1265" s="34">
        <v>1</v>
      </c>
      <c r="D1265" s="33" t="s">
        <v>486</v>
      </c>
      <c r="E1265" s="34">
        <v>2</v>
      </c>
      <c r="F1265" s="35" t="s">
        <v>488</v>
      </c>
      <c r="G1265" s="34">
        <v>1</v>
      </c>
      <c r="I1265" s="7">
        <v>1</v>
      </c>
      <c r="J1265" s="6">
        <v>1</v>
      </c>
      <c r="K1265" s="7">
        <v>1</v>
      </c>
      <c r="L1265" s="6">
        <v>1</v>
      </c>
      <c r="M1265" s="7">
        <v>1</v>
      </c>
      <c r="N1265" s="7">
        <v>1</v>
      </c>
    </row>
    <row r="1266" spans="1:14" x14ac:dyDescent="0.25">
      <c r="A1266" s="2"/>
      <c r="B1266" s="37" t="s">
        <v>551</v>
      </c>
      <c r="C1266" s="38">
        <v>2</v>
      </c>
      <c r="D1266" s="37" t="s">
        <v>1066</v>
      </c>
      <c r="E1266" s="38">
        <v>1</v>
      </c>
      <c r="F1266" s="39"/>
      <c r="G1266" s="38"/>
    </row>
    <row r="1267" spans="1:14" x14ac:dyDescent="0.25">
      <c r="A1267" s="3"/>
      <c r="B1267" s="40"/>
      <c r="C1267" s="41"/>
      <c r="D1267" s="40"/>
      <c r="E1267" s="41"/>
      <c r="F1267" s="42"/>
      <c r="G1267" s="41"/>
    </row>
    <row r="1268" spans="1:14" x14ac:dyDescent="0.25">
      <c r="A1268" s="4" t="s">
        <v>5</v>
      </c>
      <c r="B1268" s="33"/>
      <c r="C1268" s="34"/>
      <c r="D1268" s="33"/>
      <c r="E1268" s="34"/>
      <c r="F1268" s="35"/>
      <c r="G1268" s="38"/>
    </row>
    <row r="1269" spans="1:14" x14ac:dyDescent="0.25">
      <c r="A1269" s="2"/>
      <c r="B1269" s="37"/>
      <c r="C1269" s="38"/>
      <c r="D1269" s="37"/>
      <c r="E1269" s="38"/>
      <c r="F1269" s="37"/>
      <c r="G1269" s="38"/>
    </row>
    <row r="1270" spans="1:14" x14ac:dyDescent="0.25">
      <c r="A1270" s="3"/>
      <c r="B1270" s="40"/>
      <c r="C1270" s="41"/>
      <c r="D1270" s="40"/>
      <c r="E1270" s="41"/>
      <c r="F1270" s="42"/>
      <c r="G1270" s="41"/>
    </row>
    <row r="1271" spans="1:14" x14ac:dyDescent="0.25">
      <c r="A1271" s="4" t="s">
        <v>7</v>
      </c>
      <c r="B1271" s="33" t="s">
        <v>223</v>
      </c>
      <c r="C1271" s="34">
        <v>1</v>
      </c>
      <c r="D1271" s="33" t="s">
        <v>487</v>
      </c>
      <c r="E1271" s="34">
        <v>1</v>
      </c>
      <c r="F1271" s="39" t="s">
        <v>223</v>
      </c>
      <c r="G1271" s="38">
        <v>1</v>
      </c>
    </row>
    <row r="1272" spans="1:14" x14ac:dyDescent="0.25">
      <c r="A1272" s="2"/>
      <c r="B1272" s="37"/>
      <c r="C1272" s="38"/>
      <c r="D1272" s="37"/>
      <c r="E1272" s="36"/>
      <c r="F1272" s="38" t="s">
        <v>782</v>
      </c>
      <c r="G1272" s="39">
        <v>2</v>
      </c>
    </row>
    <row r="1273" spans="1:14" x14ac:dyDescent="0.25">
      <c r="A1273" s="3"/>
      <c r="B1273" s="40"/>
      <c r="C1273" s="41"/>
      <c r="D1273" s="40"/>
      <c r="E1273" s="41"/>
      <c r="F1273" s="42"/>
      <c r="G1273" s="41"/>
    </row>
    <row r="1274" spans="1:14" x14ac:dyDescent="0.25">
      <c r="A1274" s="4" t="s">
        <v>8</v>
      </c>
      <c r="B1274" s="33" t="s">
        <v>225</v>
      </c>
      <c r="C1274" s="34">
        <v>1</v>
      </c>
      <c r="D1274" s="33" t="s">
        <v>239</v>
      </c>
      <c r="E1274" s="34">
        <v>1</v>
      </c>
      <c r="F1274" s="35" t="s">
        <v>159</v>
      </c>
      <c r="G1274" s="38">
        <v>1</v>
      </c>
    </row>
    <row r="1275" spans="1:14" x14ac:dyDescent="0.25">
      <c r="A1275" s="2"/>
      <c r="B1275" s="37" t="s">
        <v>159</v>
      </c>
      <c r="C1275" s="38">
        <v>2</v>
      </c>
      <c r="D1275" s="37" t="s">
        <v>159</v>
      </c>
      <c r="E1275" s="38">
        <v>2</v>
      </c>
      <c r="F1275" s="39" t="s">
        <v>783</v>
      </c>
      <c r="G1275" s="38">
        <v>3</v>
      </c>
    </row>
    <row r="1276" spans="1:14" x14ac:dyDescent="0.25">
      <c r="A1276" s="3"/>
      <c r="B1276" s="40"/>
      <c r="C1276" s="41"/>
      <c r="D1276" s="40"/>
      <c r="E1276" s="41"/>
      <c r="F1276" s="42" t="s">
        <v>784</v>
      </c>
      <c r="G1276" s="41">
        <v>1</v>
      </c>
    </row>
    <row r="1277" spans="1:14" x14ac:dyDescent="0.25">
      <c r="A1277" s="2" t="s">
        <v>9</v>
      </c>
      <c r="B1277" s="37" t="s">
        <v>552</v>
      </c>
      <c r="C1277" s="38">
        <v>1</v>
      </c>
      <c r="D1277" s="37" t="s">
        <v>488</v>
      </c>
      <c r="E1277" s="38">
        <v>2</v>
      </c>
      <c r="F1277" s="39" t="s">
        <v>1065</v>
      </c>
      <c r="G1277" s="38">
        <v>1</v>
      </c>
    </row>
    <row r="1278" spans="1:14" x14ac:dyDescent="0.25">
      <c r="A1278" s="2"/>
      <c r="B1278" s="37"/>
      <c r="C1278" s="38"/>
      <c r="D1278" s="37" t="s">
        <v>1067</v>
      </c>
      <c r="E1278" s="38">
        <v>1</v>
      </c>
      <c r="F1278" s="39" t="s">
        <v>785</v>
      </c>
      <c r="G1278" s="38">
        <v>3</v>
      </c>
    </row>
    <row r="1279" spans="1:14" x14ac:dyDescent="0.25">
      <c r="A1279" s="3"/>
      <c r="B1279" s="40"/>
      <c r="C1279" s="41"/>
      <c r="D1279" s="40"/>
      <c r="E1279" s="41"/>
      <c r="F1279" s="56" t="s">
        <v>786</v>
      </c>
      <c r="G1279" s="41">
        <v>4</v>
      </c>
    </row>
    <row r="1280" spans="1:14" x14ac:dyDescent="0.25">
      <c r="A1280" s="2" t="s">
        <v>1224</v>
      </c>
      <c r="B1280" s="37" t="s">
        <v>1273</v>
      </c>
      <c r="C1280" s="38" t="s">
        <v>1074</v>
      </c>
      <c r="D1280" s="37" t="s">
        <v>1335</v>
      </c>
      <c r="E1280" s="38" t="s">
        <v>1074</v>
      </c>
      <c r="F1280" s="39" t="s">
        <v>1386</v>
      </c>
      <c r="G1280" s="36" t="s">
        <v>1074</v>
      </c>
      <c r="H1280" s="8"/>
    </row>
    <row r="1281" spans="1:14" x14ac:dyDescent="0.25">
      <c r="A1281" s="2"/>
      <c r="B1281" s="44"/>
      <c r="C1281" s="38"/>
      <c r="D1281" s="37"/>
      <c r="E1281" s="38"/>
      <c r="F1281" s="39"/>
      <c r="G1281" s="36"/>
      <c r="H1281" s="8"/>
    </row>
    <row r="1282" spans="1:14" x14ac:dyDescent="0.25">
      <c r="A1282" s="3"/>
      <c r="B1282" s="40"/>
      <c r="C1282" s="41"/>
      <c r="D1282" s="40"/>
      <c r="E1282" s="41"/>
      <c r="F1282" s="42"/>
      <c r="G1282" s="43"/>
      <c r="H1282" s="8"/>
    </row>
    <row r="1284" spans="1:14" x14ac:dyDescent="0.25">
      <c r="A1284" s="1">
        <v>65</v>
      </c>
      <c r="B1284" s="29" t="s">
        <v>1182</v>
      </c>
      <c r="C1284" s="30"/>
      <c r="D1284" s="29" t="s">
        <v>1218</v>
      </c>
      <c r="E1284" s="30"/>
      <c r="F1284" s="31" t="s">
        <v>1218</v>
      </c>
      <c r="G1284" s="49"/>
    </row>
    <row r="1285" spans="1:14" x14ac:dyDescent="0.25">
      <c r="A1285" s="4" t="s">
        <v>6</v>
      </c>
      <c r="B1285" s="33" t="s">
        <v>492</v>
      </c>
      <c r="C1285" s="34">
        <v>1</v>
      </c>
      <c r="D1285" s="33" t="s">
        <v>492</v>
      </c>
      <c r="E1285" s="34">
        <v>1</v>
      </c>
      <c r="F1285" s="35" t="s">
        <v>787</v>
      </c>
      <c r="G1285" s="34">
        <v>1</v>
      </c>
      <c r="I1285" s="7">
        <v>1</v>
      </c>
      <c r="J1285" s="6">
        <v>1</v>
      </c>
      <c r="K1285" s="7">
        <v>1</v>
      </c>
      <c r="L1285" s="6">
        <v>1</v>
      </c>
      <c r="M1285" s="7">
        <v>1</v>
      </c>
      <c r="N1285" s="7">
        <v>1</v>
      </c>
    </row>
    <row r="1286" spans="1:14" x14ac:dyDescent="0.25">
      <c r="A1286" s="2"/>
      <c r="B1286" s="37"/>
      <c r="C1286" s="38"/>
      <c r="D1286" s="37"/>
      <c r="E1286" s="38"/>
      <c r="F1286" s="39" t="s">
        <v>788</v>
      </c>
      <c r="G1286" s="38">
        <v>2</v>
      </c>
    </row>
    <row r="1287" spans="1:14" x14ac:dyDescent="0.25">
      <c r="A1287" s="3"/>
      <c r="B1287" s="40"/>
      <c r="C1287" s="41"/>
      <c r="D1287" s="40"/>
      <c r="E1287" s="41"/>
      <c r="F1287" s="42"/>
      <c r="G1287" s="41"/>
    </row>
    <row r="1288" spans="1:14" x14ac:dyDescent="0.25">
      <c r="A1288" s="4" t="s">
        <v>5</v>
      </c>
      <c r="B1288" s="33" t="s">
        <v>265</v>
      </c>
      <c r="C1288" s="34">
        <v>1</v>
      </c>
      <c r="D1288" s="33" t="s">
        <v>265</v>
      </c>
      <c r="E1288" s="34">
        <v>1</v>
      </c>
      <c r="F1288" s="35" t="s">
        <v>265</v>
      </c>
      <c r="G1288" s="38">
        <v>1</v>
      </c>
    </row>
    <row r="1289" spans="1:14" x14ac:dyDescent="0.25">
      <c r="A1289" s="2"/>
      <c r="B1289" s="37"/>
      <c r="C1289" s="38"/>
      <c r="D1289" s="37"/>
      <c r="E1289" s="38"/>
      <c r="F1289" s="37"/>
      <c r="G1289" s="38"/>
    </row>
    <row r="1290" spans="1:14" x14ac:dyDescent="0.25">
      <c r="A1290" s="3"/>
      <c r="B1290" s="40"/>
      <c r="C1290" s="41"/>
      <c r="D1290" s="40"/>
      <c r="E1290" s="41"/>
      <c r="F1290" s="42"/>
      <c r="G1290" s="41"/>
    </row>
    <row r="1291" spans="1:14" x14ac:dyDescent="0.25">
      <c r="A1291" s="4" t="s">
        <v>7</v>
      </c>
      <c r="B1291" s="33" t="s">
        <v>223</v>
      </c>
      <c r="C1291" s="34">
        <v>1</v>
      </c>
      <c r="D1291" s="33" t="s">
        <v>223</v>
      </c>
      <c r="E1291" s="34">
        <v>1</v>
      </c>
      <c r="F1291" s="39" t="s">
        <v>223</v>
      </c>
      <c r="G1291" s="38">
        <v>1</v>
      </c>
    </row>
    <row r="1292" spans="1:14" x14ac:dyDescent="0.25">
      <c r="A1292" s="2"/>
      <c r="B1292" s="37"/>
      <c r="C1292" s="38"/>
      <c r="D1292" s="37"/>
      <c r="E1292" s="36"/>
      <c r="F1292" s="38" t="s">
        <v>782</v>
      </c>
      <c r="G1292" s="39">
        <v>2</v>
      </c>
    </row>
    <row r="1293" spans="1:14" x14ac:dyDescent="0.25">
      <c r="A1293" s="3"/>
      <c r="B1293" s="40"/>
      <c r="C1293" s="41"/>
      <c r="D1293" s="40"/>
      <c r="E1293" s="41"/>
      <c r="F1293" s="42"/>
      <c r="G1293" s="41"/>
    </row>
    <row r="1294" spans="1:14" x14ac:dyDescent="0.25">
      <c r="A1294" s="4" t="s">
        <v>8</v>
      </c>
      <c r="B1294" s="33" t="s">
        <v>159</v>
      </c>
      <c r="C1294" s="34">
        <v>1</v>
      </c>
      <c r="D1294" s="33" t="s">
        <v>159</v>
      </c>
      <c r="E1294" s="34">
        <v>1</v>
      </c>
      <c r="F1294" s="35" t="s">
        <v>159</v>
      </c>
      <c r="G1294" s="38">
        <v>1</v>
      </c>
    </row>
    <row r="1295" spans="1:14" x14ac:dyDescent="0.25">
      <c r="A1295" s="2"/>
      <c r="B1295" s="37" t="s">
        <v>225</v>
      </c>
      <c r="C1295" s="38">
        <v>2</v>
      </c>
      <c r="D1295" s="37"/>
      <c r="E1295" s="38"/>
      <c r="F1295" s="39" t="s">
        <v>789</v>
      </c>
      <c r="G1295" s="38">
        <v>3</v>
      </c>
    </row>
    <row r="1296" spans="1:14" x14ac:dyDescent="0.25">
      <c r="A1296" s="3"/>
      <c r="B1296" s="40"/>
      <c r="C1296" s="41"/>
      <c r="D1296" s="40"/>
      <c r="E1296" s="41"/>
      <c r="F1296" s="42" t="s">
        <v>225</v>
      </c>
      <c r="G1296" s="41">
        <v>2</v>
      </c>
    </row>
    <row r="1297" spans="1:14" x14ac:dyDescent="0.25">
      <c r="A1297" s="2" t="s">
        <v>9</v>
      </c>
      <c r="B1297" s="37" t="s">
        <v>553</v>
      </c>
      <c r="C1297" s="38">
        <v>1</v>
      </c>
      <c r="D1297" s="37" t="s">
        <v>493</v>
      </c>
      <c r="E1297" s="38">
        <v>1</v>
      </c>
      <c r="F1297" s="39" t="s">
        <v>790</v>
      </c>
      <c r="G1297" s="38">
        <v>3</v>
      </c>
    </row>
    <row r="1298" spans="1:14" x14ac:dyDescent="0.25">
      <c r="A1298" s="2"/>
      <c r="B1298" s="37" t="s">
        <v>237</v>
      </c>
      <c r="C1298" s="38">
        <v>2</v>
      </c>
      <c r="D1298" s="37"/>
      <c r="E1298" s="38"/>
      <c r="F1298" s="48" t="s">
        <v>785</v>
      </c>
      <c r="G1298" s="38">
        <v>1</v>
      </c>
    </row>
    <row r="1299" spans="1:14" x14ac:dyDescent="0.25">
      <c r="A1299" s="3"/>
      <c r="B1299" s="40"/>
      <c r="C1299" s="41"/>
      <c r="D1299" s="40"/>
      <c r="E1299" s="41"/>
      <c r="F1299" s="42" t="s">
        <v>786</v>
      </c>
      <c r="G1299" s="41">
        <v>1</v>
      </c>
    </row>
    <row r="1300" spans="1:14" x14ac:dyDescent="0.25">
      <c r="A1300" s="2" t="s">
        <v>1224</v>
      </c>
      <c r="B1300" s="37" t="s">
        <v>1274</v>
      </c>
      <c r="C1300" s="38"/>
      <c r="D1300" s="37"/>
      <c r="E1300" s="38"/>
      <c r="F1300" s="39"/>
      <c r="G1300" s="36"/>
      <c r="H1300" s="8"/>
    </row>
    <row r="1301" spans="1:14" x14ac:dyDescent="0.25">
      <c r="A1301" s="2"/>
      <c r="B1301" s="44"/>
      <c r="C1301" s="38"/>
      <c r="D1301" s="37"/>
      <c r="E1301" s="38"/>
      <c r="F1301" s="39"/>
      <c r="G1301" s="36"/>
      <c r="H1301" s="8"/>
    </row>
    <row r="1302" spans="1:14" x14ac:dyDescent="0.25">
      <c r="A1302" s="3"/>
      <c r="B1302" s="40"/>
      <c r="C1302" s="41"/>
      <c r="D1302" s="40"/>
      <c r="E1302" s="41"/>
      <c r="F1302" s="42"/>
      <c r="G1302" s="43"/>
      <c r="H1302" s="8"/>
    </row>
    <row r="1304" spans="1:14" x14ac:dyDescent="0.25">
      <c r="A1304" s="1">
        <v>66</v>
      </c>
      <c r="B1304" s="29" t="s">
        <v>1183</v>
      </c>
      <c r="C1304" s="30"/>
      <c r="D1304" s="29" t="s">
        <v>1218</v>
      </c>
      <c r="E1304" s="30"/>
      <c r="F1304" s="31" t="s">
        <v>1218</v>
      </c>
      <c r="G1304" s="49"/>
    </row>
    <row r="1305" spans="1:14" x14ac:dyDescent="0.25">
      <c r="A1305" s="4" t="s">
        <v>6</v>
      </c>
      <c r="B1305" s="33" t="s">
        <v>491</v>
      </c>
      <c r="C1305" s="34">
        <v>1</v>
      </c>
      <c r="D1305" s="33" t="s">
        <v>491</v>
      </c>
      <c r="E1305" s="34">
        <v>1</v>
      </c>
      <c r="F1305" s="35" t="s">
        <v>554</v>
      </c>
      <c r="G1305" s="34">
        <v>2</v>
      </c>
      <c r="I1305" s="7">
        <v>1</v>
      </c>
      <c r="J1305" s="6">
        <v>1</v>
      </c>
      <c r="K1305" s="7">
        <v>1</v>
      </c>
      <c r="L1305" s="6">
        <v>1</v>
      </c>
      <c r="M1305" s="7">
        <v>1</v>
      </c>
      <c r="N1305" s="7">
        <v>1</v>
      </c>
    </row>
    <row r="1306" spans="1:14" x14ac:dyDescent="0.25">
      <c r="A1306" s="2"/>
      <c r="B1306" s="37" t="s">
        <v>554</v>
      </c>
      <c r="C1306" s="38">
        <v>2</v>
      </c>
      <c r="D1306" s="37" t="s">
        <v>489</v>
      </c>
      <c r="E1306" s="38">
        <v>2</v>
      </c>
      <c r="F1306" s="39"/>
      <c r="G1306" s="38"/>
    </row>
    <row r="1307" spans="1:14" x14ac:dyDescent="0.25">
      <c r="A1307" s="3"/>
      <c r="B1307" s="40"/>
      <c r="C1307" s="41"/>
      <c r="D1307" s="40"/>
      <c r="E1307" s="41"/>
      <c r="F1307" s="39"/>
      <c r="G1307" s="41"/>
    </row>
    <row r="1308" spans="1:14" x14ac:dyDescent="0.25">
      <c r="A1308" s="4" t="s">
        <v>5</v>
      </c>
      <c r="B1308" s="33" t="s">
        <v>1068</v>
      </c>
      <c r="C1308" s="34">
        <v>1</v>
      </c>
      <c r="D1308" s="33" t="s">
        <v>1068</v>
      </c>
      <c r="E1308" s="47">
        <v>1</v>
      </c>
      <c r="F1308" s="34" t="s">
        <v>791</v>
      </c>
      <c r="G1308" s="39">
        <v>2</v>
      </c>
    </row>
    <row r="1309" spans="1:14" x14ac:dyDescent="0.25">
      <c r="A1309" s="2"/>
      <c r="B1309" s="37"/>
      <c r="C1309" s="38"/>
      <c r="D1309" s="37"/>
      <c r="E1309" s="36"/>
      <c r="F1309" s="38" t="s">
        <v>1068</v>
      </c>
      <c r="G1309" s="39">
        <v>1</v>
      </c>
    </row>
    <row r="1310" spans="1:14" x14ac:dyDescent="0.25">
      <c r="A1310" s="3"/>
      <c r="B1310" s="40"/>
      <c r="C1310" s="41"/>
      <c r="D1310" s="40"/>
      <c r="E1310" s="43"/>
      <c r="F1310" s="41"/>
      <c r="G1310" s="42"/>
    </row>
    <row r="1311" spans="1:14" x14ac:dyDescent="0.25">
      <c r="A1311" s="4" t="s">
        <v>7</v>
      </c>
      <c r="B1311" s="33" t="s">
        <v>555</v>
      </c>
      <c r="C1311" s="34">
        <v>1</v>
      </c>
      <c r="D1311" s="39" t="s">
        <v>555</v>
      </c>
      <c r="E1311" s="34">
        <v>1</v>
      </c>
      <c r="F1311" s="39" t="s">
        <v>555</v>
      </c>
      <c r="G1311" s="38">
        <v>1</v>
      </c>
    </row>
    <row r="1312" spans="1:14" x14ac:dyDescent="0.25">
      <c r="A1312" s="2"/>
      <c r="B1312" s="37"/>
      <c r="C1312" s="38"/>
      <c r="D1312" s="37"/>
      <c r="E1312" s="36"/>
      <c r="F1312" s="38" t="s">
        <v>792</v>
      </c>
      <c r="G1312" s="39">
        <v>2</v>
      </c>
    </row>
    <row r="1313" spans="1:14" x14ac:dyDescent="0.25">
      <c r="A1313" s="3"/>
      <c r="B1313" s="40"/>
      <c r="C1313" s="41"/>
      <c r="D1313" s="40"/>
      <c r="E1313" s="41"/>
      <c r="F1313" s="42"/>
      <c r="G1313" s="41"/>
    </row>
    <row r="1314" spans="1:14" x14ac:dyDescent="0.25">
      <c r="A1314" s="4" t="s">
        <v>8</v>
      </c>
      <c r="B1314" s="33" t="s">
        <v>159</v>
      </c>
      <c r="C1314" s="34">
        <v>1</v>
      </c>
      <c r="D1314" s="33" t="s">
        <v>159</v>
      </c>
      <c r="E1314" s="34">
        <v>1</v>
      </c>
      <c r="F1314" s="35" t="s">
        <v>159</v>
      </c>
      <c r="G1314" s="38">
        <v>1</v>
      </c>
    </row>
    <row r="1315" spans="1:14" x14ac:dyDescent="0.25">
      <c r="A1315" s="2"/>
      <c r="B1315" s="37" t="s">
        <v>225</v>
      </c>
      <c r="C1315" s="38">
        <v>2</v>
      </c>
      <c r="D1315" s="37" t="s">
        <v>490</v>
      </c>
      <c r="E1315" s="38">
        <v>3</v>
      </c>
      <c r="F1315" s="39" t="s">
        <v>490</v>
      </c>
      <c r="G1315" s="38">
        <v>3</v>
      </c>
    </row>
    <row r="1316" spans="1:14" x14ac:dyDescent="0.25">
      <c r="A1316" s="3"/>
      <c r="B1316" s="40"/>
      <c r="C1316" s="41"/>
      <c r="D1316" s="40"/>
      <c r="E1316" s="41"/>
      <c r="F1316" s="42" t="s">
        <v>225</v>
      </c>
      <c r="G1316" s="41">
        <v>2</v>
      </c>
    </row>
    <row r="1317" spans="1:14" x14ac:dyDescent="0.25">
      <c r="A1317" s="2" t="s">
        <v>9</v>
      </c>
      <c r="B1317" s="37" t="s">
        <v>556</v>
      </c>
      <c r="C1317" s="38">
        <v>1</v>
      </c>
      <c r="D1317" s="37" t="s">
        <v>556</v>
      </c>
      <c r="E1317" s="38">
        <v>1</v>
      </c>
      <c r="F1317" s="39" t="s">
        <v>793</v>
      </c>
      <c r="G1317" s="38">
        <v>2</v>
      </c>
    </row>
    <row r="1318" spans="1:14" x14ac:dyDescent="0.25">
      <c r="A1318" s="2"/>
      <c r="B1318" s="37"/>
      <c r="C1318" s="38"/>
      <c r="D1318" s="37"/>
      <c r="E1318" s="38"/>
      <c r="F1318" s="48" t="s">
        <v>1069</v>
      </c>
      <c r="G1318" s="38">
        <v>1</v>
      </c>
    </row>
    <row r="1319" spans="1:14" x14ac:dyDescent="0.25">
      <c r="A1319" s="3"/>
      <c r="B1319" s="40"/>
      <c r="C1319" s="41"/>
      <c r="D1319" s="40"/>
      <c r="E1319" s="41"/>
      <c r="F1319" s="42"/>
      <c r="G1319" s="41"/>
    </row>
    <row r="1320" spans="1:14" x14ac:dyDescent="0.25">
      <c r="A1320" s="2" t="s">
        <v>1224</v>
      </c>
      <c r="B1320" s="37" t="s">
        <v>1275</v>
      </c>
      <c r="C1320" s="38" t="s">
        <v>1074</v>
      </c>
      <c r="D1320" s="37" t="s">
        <v>1336</v>
      </c>
      <c r="E1320" s="38" t="s">
        <v>1072</v>
      </c>
      <c r="F1320" s="39"/>
      <c r="G1320" s="36"/>
      <c r="H1320" s="8"/>
    </row>
    <row r="1321" spans="1:14" x14ac:dyDescent="0.25">
      <c r="A1321" s="2"/>
      <c r="B1321" s="44"/>
      <c r="C1321" s="38"/>
      <c r="D1321" s="37"/>
      <c r="E1321" s="38"/>
      <c r="F1321" s="39"/>
      <c r="G1321" s="36"/>
      <c r="H1321" s="8"/>
    </row>
    <row r="1322" spans="1:14" x14ac:dyDescent="0.25">
      <c r="A1322" s="3"/>
      <c r="B1322" s="40"/>
      <c r="C1322" s="41"/>
      <c r="D1322" s="40"/>
      <c r="E1322" s="41"/>
      <c r="F1322" s="42"/>
      <c r="G1322" s="43"/>
      <c r="H1322" s="8"/>
    </row>
    <row r="1324" spans="1:14" x14ac:dyDescent="0.25">
      <c r="A1324" s="1">
        <v>67</v>
      </c>
      <c r="B1324" s="29" t="s">
        <v>1184</v>
      </c>
      <c r="C1324" s="30"/>
      <c r="D1324" s="29" t="s">
        <v>1218</v>
      </c>
      <c r="E1324" s="30"/>
      <c r="F1324" s="31" t="s">
        <v>1218</v>
      </c>
      <c r="G1324" s="49"/>
    </row>
    <row r="1325" spans="1:14" x14ac:dyDescent="0.25">
      <c r="A1325" s="4" t="s">
        <v>6</v>
      </c>
      <c r="B1325" s="33" t="s">
        <v>557</v>
      </c>
      <c r="C1325" s="34">
        <v>1</v>
      </c>
      <c r="D1325" s="33" t="s">
        <v>494</v>
      </c>
      <c r="E1325" s="34">
        <v>2</v>
      </c>
      <c r="F1325" s="35" t="s">
        <v>794</v>
      </c>
      <c r="G1325" s="34">
        <v>1</v>
      </c>
      <c r="I1325" s="7">
        <v>1</v>
      </c>
      <c r="J1325" s="6">
        <v>1</v>
      </c>
      <c r="K1325" s="7">
        <v>1</v>
      </c>
      <c r="L1325" s="6">
        <v>1</v>
      </c>
      <c r="M1325" s="7">
        <v>1</v>
      </c>
      <c r="N1325" s="7">
        <v>1</v>
      </c>
    </row>
    <row r="1326" spans="1:14" x14ac:dyDescent="0.25">
      <c r="A1326" s="2"/>
      <c r="B1326" s="37" t="s">
        <v>558</v>
      </c>
      <c r="C1326" s="38">
        <v>2</v>
      </c>
      <c r="D1326" s="37" t="s">
        <v>495</v>
      </c>
      <c r="E1326" s="38">
        <v>1</v>
      </c>
      <c r="F1326" s="39"/>
      <c r="G1326" s="38"/>
    </row>
    <row r="1327" spans="1:14" x14ac:dyDescent="0.25">
      <c r="A1327" s="3"/>
      <c r="B1327" s="40"/>
      <c r="C1327" s="41"/>
      <c r="D1327" s="40"/>
      <c r="E1327" s="41"/>
      <c r="F1327" s="42"/>
      <c r="G1327" s="41"/>
    </row>
    <row r="1328" spans="1:14" x14ac:dyDescent="0.25">
      <c r="A1328" s="4" t="s">
        <v>5</v>
      </c>
      <c r="B1328" s="33">
        <v>2016</v>
      </c>
      <c r="C1328" s="34">
        <v>1</v>
      </c>
      <c r="D1328" s="33">
        <v>2016</v>
      </c>
      <c r="E1328" s="34">
        <v>1</v>
      </c>
      <c r="F1328" s="35">
        <v>2016</v>
      </c>
      <c r="G1328" s="38">
        <v>1</v>
      </c>
    </row>
    <row r="1329" spans="1:8" x14ac:dyDescent="0.25">
      <c r="A1329" s="2"/>
      <c r="B1329" s="37"/>
      <c r="C1329" s="38"/>
      <c r="D1329" s="37"/>
      <c r="E1329" s="38"/>
      <c r="F1329" s="37"/>
      <c r="G1329" s="38"/>
    </row>
    <row r="1330" spans="1:8" x14ac:dyDescent="0.25">
      <c r="A1330" s="3"/>
      <c r="B1330" s="40"/>
      <c r="C1330" s="41"/>
      <c r="D1330" s="40"/>
      <c r="E1330" s="41"/>
      <c r="F1330" s="42"/>
      <c r="G1330" s="41"/>
    </row>
    <row r="1331" spans="1:8" x14ac:dyDescent="0.25">
      <c r="A1331" s="4" t="s">
        <v>7</v>
      </c>
      <c r="B1331" s="33" t="s">
        <v>223</v>
      </c>
      <c r="C1331" s="34">
        <v>1</v>
      </c>
      <c r="D1331" s="33" t="s">
        <v>223</v>
      </c>
      <c r="E1331" s="34">
        <v>1</v>
      </c>
      <c r="F1331" s="39" t="s">
        <v>223</v>
      </c>
      <c r="G1331" s="38">
        <v>1</v>
      </c>
    </row>
    <row r="1332" spans="1:8" x14ac:dyDescent="0.25">
      <c r="A1332" s="2"/>
      <c r="B1332" s="37"/>
      <c r="C1332" s="38"/>
      <c r="D1332" s="37"/>
      <c r="E1332" s="36"/>
      <c r="F1332" s="38" t="s">
        <v>782</v>
      </c>
      <c r="G1332" s="39">
        <v>2</v>
      </c>
    </row>
    <row r="1333" spans="1:8" x14ac:dyDescent="0.25">
      <c r="A1333" s="3"/>
      <c r="B1333" s="40"/>
      <c r="C1333" s="41"/>
      <c r="D1333" s="40"/>
      <c r="E1333" s="41"/>
      <c r="F1333" s="42"/>
      <c r="G1333" s="41"/>
    </row>
    <row r="1334" spans="1:8" x14ac:dyDescent="0.25">
      <c r="A1334" s="4" t="s">
        <v>8</v>
      </c>
      <c r="B1334" s="33" t="s">
        <v>159</v>
      </c>
      <c r="C1334" s="34">
        <v>1</v>
      </c>
      <c r="D1334" s="33" t="s">
        <v>159</v>
      </c>
      <c r="E1334" s="34">
        <v>1</v>
      </c>
      <c r="F1334" s="35" t="s">
        <v>159</v>
      </c>
      <c r="G1334" s="38">
        <v>1</v>
      </c>
    </row>
    <row r="1335" spans="1:8" x14ac:dyDescent="0.25">
      <c r="A1335" s="2"/>
      <c r="B1335" s="37" t="s">
        <v>559</v>
      </c>
      <c r="C1335" s="38">
        <v>2</v>
      </c>
      <c r="D1335" s="37" t="s">
        <v>239</v>
      </c>
      <c r="E1335" s="38">
        <v>3</v>
      </c>
      <c r="F1335" s="39" t="s">
        <v>239</v>
      </c>
      <c r="G1335" s="38">
        <v>3</v>
      </c>
    </row>
    <row r="1336" spans="1:8" x14ac:dyDescent="0.25">
      <c r="A1336" s="3"/>
      <c r="B1336" s="40"/>
      <c r="C1336" s="41"/>
      <c r="D1336" s="40"/>
      <c r="E1336" s="41"/>
      <c r="F1336" s="42" t="s">
        <v>559</v>
      </c>
      <c r="G1336" s="41">
        <v>2</v>
      </c>
    </row>
    <row r="1337" spans="1:8" x14ac:dyDescent="0.25">
      <c r="A1337" s="2" t="s">
        <v>9</v>
      </c>
      <c r="B1337" s="37" t="s">
        <v>560</v>
      </c>
      <c r="C1337" s="38">
        <v>1</v>
      </c>
      <c r="D1337" s="37" t="s">
        <v>496</v>
      </c>
      <c r="E1337" s="38">
        <v>1</v>
      </c>
      <c r="F1337" s="39" t="s">
        <v>1070</v>
      </c>
      <c r="G1337" s="38">
        <v>1</v>
      </c>
    </row>
    <row r="1338" spans="1:8" x14ac:dyDescent="0.25">
      <c r="A1338" s="2"/>
      <c r="B1338" s="37"/>
      <c r="C1338" s="38"/>
      <c r="D1338" s="37" t="s">
        <v>497</v>
      </c>
      <c r="E1338" s="38">
        <v>2</v>
      </c>
      <c r="F1338" s="48" t="s">
        <v>795</v>
      </c>
      <c r="G1338" s="38">
        <v>3</v>
      </c>
    </row>
    <row r="1339" spans="1:8" x14ac:dyDescent="0.25">
      <c r="A1339" s="3"/>
      <c r="B1339" s="40"/>
      <c r="C1339" s="41"/>
      <c r="D1339" s="40"/>
      <c r="E1339" s="41"/>
      <c r="F1339" s="56" t="s">
        <v>796</v>
      </c>
      <c r="G1339" s="41">
        <v>4</v>
      </c>
    </row>
    <row r="1340" spans="1:8" x14ac:dyDescent="0.25">
      <c r="A1340" s="2" t="s">
        <v>1224</v>
      </c>
      <c r="B1340" s="37" t="s">
        <v>1070</v>
      </c>
      <c r="C1340" s="38" t="s">
        <v>1074</v>
      </c>
      <c r="D1340" s="37" t="s">
        <v>1337</v>
      </c>
      <c r="E1340" s="38" t="s">
        <v>1074</v>
      </c>
      <c r="F1340" s="39" t="s">
        <v>1387</v>
      </c>
      <c r="G1340" s="36" t="s">
        <v>1074</v>
      </c>
      <c r="H1340" s="8"/>
    </row>
    <row r="1341" spans="1:8" x14ac:dyDescent="0.25">
      <c r="A1341" s="2"/>
      <c r="B1341" s="44"/>
      <c r="C1341" s="38"/>
      <c r="D1341" s="37"/>
      <c r="E1341" s="38"/>
      <c r="F1341" s="39"/>
      <c r="G1341" s="36"/>
      <c r="H1341" s="8"/>
    </row>
    <row r="1342" spans="1:8" x14ac:dyDescent="0.25">
      <c r="A1342" s="3"/>
      <c r="B1342" s="40"/>
      <c r="C1342" s="41"/>
      <c r="D1342" s="40"/>
      <c r="E1342" s="41"/>
      <c r="F1342" s="42"/>
      <c r="G1342" s="43"/>
      <c r="H1342" s="8"/>
    </row>
    <row r="1344" spans="1:8" x14ac:dyDescent="0.25">
      <c r="A1344" s="1">
        <v>68</v>
      </c>
      <c r="B1344" s="29" t="s">
        <v>1185</v>
      </c>
      <c r="C1344" s="30"/>
      <c r="D1344" s="29" t="s">
        <v>1218</v>
      </c>
      <c r="E1344" s="30"/>
      <c r="F1344" s="31" t="s">
        <v>1218</v>
      </c>
      <c r="G1344" s="49"/>
    </row>
    <row r="1345" spans="1:14" x14ac:dyDescent="0.25">
      <c r="A1345" s="4" t="s">
        <v>6</v>
      </c>
      <c r="B1345" s="33" t="s">
        <v>561</v>
      </c>
      <c r="C1345" s="34">
        <v>1</v>
      </c>
      <c r="D1345" s="33" t="s">
        <v>221</v>
      </c>
      <c r="E1345" s="34">
        <v>2</v>
      </c>
      <c r="F1345" s="35" t="s">
        <v>562</v>
      </c>
      <c r="G1345" s="34">
        <v>2</v>
      </c>
      <c r="I1345" s="7">
        <v>1</v>
      </c>
      <c r="J1345" s="6">
        <v>1</v>
      </c>
      <c r="K1345" s="7">
        <v>1</v>
      </c>
      <c r="L1345" s="6">
        <v>1</v>
      </c>
      <c r="M1345" s="7">
        <v>1</v>
      </c>
      <c r="N1345" s="7">
        <v>1</v>
      </c>
    </row>
    <row r="1346" spans="1:14" x14ac:dyDescent="0.25">
      <c r="A1346" s="2"/>
      <c r="B1346" s="37" t="s">
        <v>562</v>
      </c>
      <c r="C1346" s="38">
        <v>2</v>
      </c>
      <c r="D1346" s="37"/>
      <c r="E1346" s="38"/>
      <c r="F1346" s="39"/>
      <c r="G1346" s="38"/>
    </row>
    <row r="1347" spans="1:14" x14ac:dyDescent="0.25">
      <c r="A1347" s="3"/>
      <c r="B1347" s="40"/>
      <c r="C1347" s="41"/>
      <c r="D1347" s="40"/>
      <c r="E1347" s="41"/>
      <c r="F1347" s="42"/>
      <c r="G1347" s="41"/>
    </row>
    <row r="1348" spans="1:14" x14ac:dyDescent="0.25">
      <c r="A1348" s="4" t="s">
        <v>5</v>
      </c>
      <c r="B1348" s="33" t="s">
        <v>1071</v>
      </c>
      <c r="C1348" s="34">
        <v>1</v>
      </c>
      <c r="D1348" s="33" t="s">
        <v>265</v>
      </c>
      <c r="E1348" s="34">
        <v>1</v>
      </c>
      <c r="F1348" s="35" t="s">
        <v>265</v>
      </c>
      <c r="G1348" s="38">
        <v>1</v>
      </c>
    </row>
    <row r="1349" spans="1:14" x14ac:dyDescent="0.25">
      <c r="A1349" s="2"/>
      <c r="B1349" s="37"/>
      <c r="C1349" s="38"/>
      <c r="D1349" s="37"/>
      <c r="E1349" s="38"/>
      <c r="F1349" s="37"/>
      <c r="G1349" s="38"/>
    </row>
    <row r="1350" spans="1:14" x14ac:dyDescent="0.25">
      <c r="A1350" s="3"/>
      <c r="B1350" s="40"/>
      <c r="C1350" s="41"/>
      <c r="D1350" s="40"/>
      <c r="E1350" s="41"/>
      <c r="F1350" s="42"/>
      <c r="G1350" s="41"/>
    </row>
    <row r="1351" spans="1:14" x14ac:dyDescent="0.25">
      <c r="A1351" s="4" t="s">
        <v>7</v>
      </c>
      <c r="B1351" s="33"/>
      <c r="C1351" s="34"/>
      <c r="D1351" s="33"/>
      <c r="E1351" s="34"/>
      <c r="F1351" s="39"/>
      <c r="G1351" s="38"/>
    </row>
    <row r="1352" spans="1:14" x14ac:dyDescent="0.25">
      <c r="A1352" s="2"/>
      <c r="B1352" s="37"/>
      <c r="C1352" s="38"/>
      <c r="D1352" s="37"/>
      <c r="E1352" s="36"/>
      <c r="F1352" s="38"/>
      <c r="G1352" s="39"/>
    </row>
    <row r="1353" spans="1:14" x14ac:dyDescent="0.25">
      <c r="A1353" s="3"/>
      <c r="B1353" s="40"/>
      <c r="C1353" s="41"/>
      <c r="D1353" s="40"/>
      <c r="E1353" s="41"/>
      <c r="F1353" s="42"/>
      <c r="G1353" s="41"/>
    </row>
    <row r="1354" spans="1:14" x14ac:dyDescent="0.25">
      <c r="A1354" s="4" t="s">
        <v>8</v>
      </c>
      <c r="B1354" s="33" t="s">
        <v>159</v>
      </c>
      <c r="C1354" s="34">
        <v>1</v>
      </c>
      <c r="D1354" s="33" t="s">
        <v>498</v>
      </c>
      <c r="E1354" s="34">
        <v>2</v>
      </c>
      <c r="F1354" s="35" t="s">
        <v>159</v>
      </c>
      <c r="G1354" s="38">
        <v>1</v>
      </c>
    </row>
    <row r="1355" spans="1:14" x14ac:dyDescent="0.25">
      <c r="A1355" s="2"/>
      <c r="B1355" s="37" t="s">
        <v>498</v>
      </c>
      <c r="C1355" s="38" t="s">
        <v>1072</v>
      </c>
      <c r="D1355" s="37"/>
      <c r="E1355" s="38"/>
      <c r="F1355" s="39" t="s">
        <v>239</v>
      </c>
      <c r="G1355" s="38">
        <v>2</v>
      </c>
    </row>
    <row r="1356" spans="1:14" x14ac:dyDescent="0.25">
      <c r="A1356" s="3"/>
      <c r="B1356" s="42" t="s">
        <v>225</v>
      </c>
      <c r="C1356" s="41" t="s">
        <v>1073</v>
      </c>
      <c r="D1356" s="40"/>
      <c r="E1356" s="41"/>
      <c r="F1356" s="42" t="s">
        <v>225</v>
      </c>
      <c r="G1356" s="41">
        <v>3</v>
      </c>
    </row>
    <row r="1357" spans="1:14" x14ac:dyDescent="0.25">
      <c r="A1357" s="2" t="s">
        <v>9</v>
      </c>
      <c r="B1357" s="37" t="s">
        <v>563</v>
      </c>
      <c r="C1357" s="38">
        <v>1</v>
      </c>
      <c r="D1357" s="37" t="s">
        <v>499</v>
      </c>
      <c r="E1357" s="38">
        <v>2</v>
      </c>
      <c r="F1357" s="35" t="s">
        <v>797</v>
      </c>
      <c r="G1357" s="38">
        <v>2</v>
      </c>
    </row>
    <row r="1358" spans="1:14" x14ac:dyDescent="0.25">
      <c r="A1358" s="2"/>
      <c r="B1358" s="37" t="s">
        <v>564</v>
      </c>
      <c r="C1358" s="38">
        <v>2</v>
      </c>
      <c r="D1358" s="37"/>
      <c r="E1358" s="38"/>
      <c r="F1358" s="48" t="s">
        <v>798</v>
      </c>
      <c r="G1358" s="38">
        <v>1</v>
      </c>
    </row>
    <row r="1359" spans="1:14" x14ac:dyDescent="0.25">
      <c r="A1359" s="3"/>
      <c r="B1359" s="40"/>
      <c r="C1359" s="41"/>
      <c r="D1359" s="40"/>
      <c r="E1359" s="41"/>
      <c r="F1359" s="42"/>
      <c r="G1359" s="41"/>
    </row>
    <row r="1360" spans="1:14" x14ac:dyDescent="0.25">
      <c r="A1360" s="2" t="s">
        <v>1224</v>
      </c>
      <c r="B1360" s="37" t="s">
        <v>1276</v>
      </c>
      <c r="C1360" s="38" t="s">
        <v>1074</v>
      </c>
      <c r="D1360" s="37" t="s">
        <v>1338</v>
      </c>
      <c r="E1360" s="38" t="s">
        <v>1074</v>
      </c>
      <c r="F1360" s="33" t="s">
        <v>221</v>
      </c>
      <c r="G1360" s="36" t="s">
        <v>1072</v>
      </c>
      <c r="H1360" s="8"/>
    </row>
    <row r="1361" spans="1:14" x14ac:dyDescent="0.25">
      <c r="A1361" s="2"/>
      <c r="B1361" s="44"/>
      <c r="C1361" s="38"/>
      <c r="D1361" s="37"/>
      <c r="E1361" s="38"/>
      <c r="F1361" s="39"/>
      <c r="G1361" s="36"/>
      <c r="H1361" s="8"/>
    </row>
    <row r="1362" spans="1:14" x14ac:dyDescent="0.25">
      <c r="A1362" s="3"/>
      <c r="B1362" s="40"/>
      <c r="C1362" s="41"/>
      <c r="D1362" s="40"/>
      <c r="E1362" s="41"/>
      <c r="F1362" s="42"/>
      <c r="G1362" s="43"/>
      <c r="H1362" s="8"/>
    </row>
    <row r="1364" spans="1:14" x14ac:dyDescent="0.25">
      <c r="A1364" s="1">
        <v>69</v>
      </c>
      <c r="B1364" s="29" t="s">
        <v>1186</v>
      </c>
      <c r="C1364" s="30"/>
      <c r="D1364" s="29" t="s">
        <v>1218</v>
      </c>
      <c r="E1364" s="30"/>
      <c r="F1364" s="31" t="s">
        <v>1218</v>
      </c>
      <c r="G1364" s="49"/>
    </row>
    <row r="1365" spans="1:14" x14ac:dyDescent="0.25">
      <c r="A1365" s="4" t="s">
        <v>6</v>
      </c>
      <c r="B1365" s="33" t="s">
        <v>565</v>
      </c>
      <c r="C1365" s="34">
        <v>1</v>
      </c>
      <c r="D1365" s="33" t="s">
        <v>500</v>
      </c>
      <c r="E1365" s="34" t="s">
        <v>1072</v>
      </c>
      <c r="F1365" s="34" t="s">
        <v>799</v>
      </c>
      <c r="G1365" s="34" t="s">
        <v>1073</v>
      </c>
      <c r="I1365" s="7">
        <v>0.33333333333333337</v>
      </c>
      <c r="J1365" s="6">
        <v>1</v>
      </c>
      <c r="K1365" s="7">
        <v>1</v>
      </c>
      <c r="L1365" s="6">
        <v>0.66666666666666674</v>
      </c>
      <c r="M1365" s="7">
        <v>0.33333333333333337</v>
      </c>
      <c r="N1365" s="7">
        <v>0.33333333333333337</v>
      </c>
    </row>
    <row r="1366" spans="1:14" x14ac:dyDescent="0.25">
      <c r="A1366" s="2"/>
      <c r="B1366" s="37"/>
      <c r="C1366" s="38"/>
      <c r="D1366" s="37"/>
      <c r="E1366" s="38"/>
      <c r="F1366" s="39" t="s">
        <v>221</v>
      </c>
      <c r="G1366" s="38" t="s">
        <v>1072</v>
      </c>
    </row>
    <row r="1367" spans="1:14" x14ac:dyDescent="0.25">
      <c r="A1367" s="3"/>
      <c r="B1367" s="40"/>
      <c r="C1367" s="41"/>
      <c r="D1367" s="40"/>
      <c r="E1367" s="41"/>
      <c r="F1367" s="42"/>
      <c r="G1367" s="41"/>
    </row>
    <row r="1368" spans="1:14" x14ac:dyDescent="0.25">
      <c r="A1368" s="4" t="s">
        <v>5</v>
      </c>
      <c r="B1368" s="33" t="s">
        <v>566</v>
      </c>
      <c r="C1368" s="34" t="s">
        <v>1074</v>
      </c>
      <c r="D1368" s="33" t="s">
        <v>265</v>
      </c>
      <c r="E1368" s="34" t="s">
        <v>1072</v>
      </c>
      <c r="F1368" s="35" t="s">
        <v>265</v>
      </c>
      <c r="G1368" s="38" t="s">
        <v>1072</v>
      </c>
    </row>
    <row r="1369" spans="1:14" x14ac:dyDescent="0.25">
      <c r="A1369" s="2"/>
      <c r="B1369" s="37" t="s">
        <v>265</v>
      </c>
      <c r="C1369" s="38" t="s">
        <v>1072</v>
      </c>
      <c r="D1369" s="37"/>
      <c r="E1369" s="38"/>
      <c r="F1369" s="37"/>
      <c r="G1369" s="38"/>
    </row>
    <row r="1370" spans="1:14" x14ac:dyDescent="0.25">
      <c r="A1370" s="3"/>
      <c r="B1370" s="40"/>
      <c r="C1370" s="41"/>
      <c r="D1370" s="40"/>
      <c r="E1370" s="41"/>
      <c r="F1370" s="42"/>
      <c r="G1370" s="41"/>
    </row>
    <row r="1371" spans="1:14" x14ac:dyDescent="0.25">
      <c r="A1371" s="4" t="s">
        <v>7</v>
      </c>
      <c r="B1371" s="33" t="s">
        <v>223</v>
      </c>
      <c r="C1371" s="34" t="s">
        <v>1074</v>
      </c>
      <c r="D1371" s="33" t="s">
        <v>501</v>
      </c>
      <c r="E1371" s="34" t="s">
        <v>1072</v>
      </c>
      <c r="F1371" s="39" t="s">
        <v>567</v>
      </c>
      <c r="G1371" s="38" t="s">
        <v>1072</v>
      </c>
    </row>
    <row r="1372" spans="1:14" x14ac:dyDescent="0.25">
      <c r="A1372" s="2"/>
      <c r="B1372" s="37" t="s">
        <v>567</v>
      </c>
      <c r="C1372" s="38" t="s">
        <v>1072</v>
      </c>
      <c r="D1372" s="37"/>
      <c r="E1372" s="36"/>
      <c r="F1372" s="38" t="s">
        <v>223</v>
      </c>
      <c r="G1372" s="39" t="s">
        <v>1074</v>
      </c>
    </row>
    <row r="1373" spans="1:14" x14ac:dyDescent="0.25">
      <c r="A1373" s="3"/>
      <c r="B1373" s="40"/>
      <c r="C1373" s="41"/>
      <c r="D1373" s="40"/>
      <c r="E1373" s="41"/>
      <c r="F1373" s="42"/>
      <c r="G1373" s="41"/>
    </row>
    <row r="1374" spans="1:14" x14ac:dyDescent="0.25">
      <c r="A1374" s="4" t="s">
        <v>8</v>
      </c>
      <c r="B1374" s="33" t="s">
        <v>159</v>
      </c>
      <c r="C1374" s="34" t="s">
        <v>1074</v>
      </c>
      <c r="D1374" s="33" t="s">
        <v>223</v>
      </c>
      <c r="E1374" s="34" t="s">
        <v>1072</v>
      </c>
      <c r="F1374" s="35" t="s">
        <v>800</v>
      </c>
      <c r="G1374" s="38" t="s">
        <v>1073</v>
      </c>
    </row>
    <row r="1375" spans="1:14" x14ac:dyDescent="0.25">
      <c r="A1375" s="2"/>
      <c r="B1375" s="37"/>
      <c r="C1375" s="38"/>
      <c r="D1375" s="37"/>
      <c r="E1375" s="38"/>
      <c r="F1375" s="39" t="s">
        <v>223</v>
      </c>
      <c r="G1375" s="38" t="s">
        <v>1072</v>
      </c>
    </row>
    <row r="1376" spans="1:14" x14ac:dyDescent="0.25">
      <c r="A1376" s="3"/>
      <c r="B1376" s="40"/>
      <c r="C1376" s="41"/>
      <c r="D1376" s="40"/>
      <c r="E1376" s="41"/>
      <c r="F1376" s="42" t="s">
        <v>159</v>
      </c>
      <c r="G1376" s="41" t="s">
        <v>1074</v>
      </c>
    </row>
    <row r="1377" spans="1:14" x14ac:dyDescent="0.25">
      <c r="A1377" s="2" t="s">
        <v>9</v>
      </c>
      <c r="B1377" s="37" t="s">
        <v>240</v>
      </c>
      <c r="C1377" s="38" t="s">
        <v>1074</v>
      </c>
      <c r="D1377" s="37" t="s">
        <v>502</v>
      </c>
      <c r="E1377" s="38" t="s">
        <v>1072</v>
      </c>
      <c r="F1377" s="39" t="s">
        <v>801</v>
      </c>
      <c r="G1377" s="38" t="s">
        <v>1072</v>
      </c>
    </row>
    <row r="1378" spans="1:14" x14ac:dyDescent="0.25">
      <c r="A1378" s="2"/>
      <c r="B1378" s="37"/>
      <c r="C1378" s="38"/>
      <c r="D1378" s="37"/>
      <c r="E1378" s="38"/>
      <c r="F1378" s="48"/>
      <c r="G1378" s="38"/>
    </row>
    <row r="1379" spans="1:14" x14ac:dyDescent="0.25">
      <c r="A1379" s="3"/>
      <c r="B1379" s="40"/>
      <c r="C1379" s="41"/>
      <c r="D1379" s="40"/>
      <c r="E1379" s="41"/>
      <c r="F1379" s="42"/>
      <c r="G1379" s="41"/>
    </row>
    <row r="1380" spans="1:14" x14ac:dyDescent="0.25">
      <c r="A1380" s="2" t="s">
        <v>1224</v>
      </c>
      <c r="B1380" s="37" t="s">
        <v>565</v>
      </c>
      <c r="C1380" s="38" t="s">
        <v>1074</v>
      </c>
      <c r="D1380" s="37" t="s">
        <v>801</v>
      </c>
      <c r="E1380" s="38" t="s">
        <v>1074</v>
      </c>
      <c r="F1380" s="37" t="s">
        <v>801</v>
      </c>
      <c r="G1380" s="36" t="s">
        <v>1074</v>
      </c>
      <c r="H1380" s="8"/>
    </row>
    <row r="1381" spans="1:14" x14ac:dyDescent="0.25">
      <c r="A1381" s="2"/>
      <c r="B1381" s="44"/>
      <c r="C1381" s="38"/>
      <c r="D1381" s="37"/>
      <c r="E1381" s="38"/>
      <c r="F1381" s="39"/>
      <c r="G1381" s="36"/>
      <c r="H1381" s="8"/>
    </row>
    <row r="1382" spans="1:14" x14ac:dyDescent="0.25">
      <c r="A1382" s="3"/>
      <c r="B1382" s="40"/>
      <c r="C1382" s="41"/>
      <c r="D1382" s="40"/>
      <c r="E1382" s="41"/>
      <c r="F1382" s="42"/>
      <c r="G1382" s="43"/>
      <c r="H1382" s="8"/>
    </row>
    <row r="1384" spans="1:14" x14ac:dyDescent="0.25">
      <c r="A1384" s="1">
        <v>70</v>
      </c>
      <c r="B1384" s="29" t="s">
        <v>1187</v>
      </c>
      <c r="C1384" s="30"/>
      <c r="D1384" s="29" t="s">
        <v>1218</v>
      </c>
      <c r="E1384" s="30"/>
      <c r="F1384" s="31" t="s">
        <v>1218</v>
      </c>
      <c r="G1384" s="49"/>
    </row>
    <row r="1385" spans="1:14" x14ac:dyDescent="0.25">
      <c r="A1385" s="4" t="s">
        <v>6</v>
      </c>
      <c r="B1385" s="33" t="s">
        <v>503</v>
      </c>
      <c r="C1385" s="34" t="s">
        <v>1074</v>
      </c>
      <c r="D1385" s="33" t="s">
        <v>503</v>
      </c>
      <c r="E1385" s="34" t="s">
        <v>1074</v>
      </c>
      <c r="F1385" s="35" t="s">
        <v>503</v>
      </c>
      <c r="G1385" s="34" t="s">
        <v>1074</v>
      </c>
      <c r="I1385" s="7">
        <v>1</v>
      </c>
      <c r="J1385" s="6">
        <v>1</v>
      </c>
      <c r="K1385" s="7">
        <v>1</v>
      </c>
      <c r="L1385" s="6">
        <v>1</v>
      </c>
      <c r="M1385" s="7">
        <v>1</v>
      </c>
      <c r="N1385" s="7">
        <v>1</v>
      </c>
    </row>
    <row r="1386" spans="1:14" x14ac:dyDescent="0.25">
      <c r="A1386" s="2"/>
      <c r="B1386" s="37"/>
      <c r="C1386" s="38"/>
      <c r="D1386" s="37"/>
      <c r="E1386" s="38"/>
      <c r="F1386" s="39"/>
      <c r="G1386" s="38"/>
    </row>
    <row r="1387" spans="1:14" x14ac:dyDescent="0.25">
      <c r="A1387" s="3"/>
      <c r="B1387" s="40"/>
      <c r="C1387" s="41"/>
      <c r="D1387" s="40"/>
      <c r="E1387" s="41"/>
      <c r="F1387" s="42"/>
      <c r="G1387" s="41"/>
    </row>
    <row r="1388" spans="1:14" x14ac:dyDescent="0.25">
      <c r="A1388" s="4" t="s">
        <v>5</v>
      </c>
      <c r="B1388" s="33" t="s">
        <v>1071</v>
      </c>
      <c r="C1388" s="34" t="s">
        <v>1074</v>
      </c>
      <c r="D1388" s="28" t="s">
        <v>265</v>
      </c>
      <c r="E1388" s="34" t="s">
        <v>1074</v>
      </c>
      <c r="F1388" s="35" t="s">
        <v>265</v>
      </c>
      <c r="G1388" s="38" t="s">
        <v>1074</v>
      </c>
    </row>
    <row r="1389" spans="1:14" x14ac:dyDescent="0.25">
      <c r="A1389" s="2"/>
      <c r="B1389" s="37"/>
      <c r="C1389" s="38"/>
      <c r="D1389" s="37"/>
      <c r="E1389" s="38"/>
      <c r="F1389" s="37" t="s">
        <v>802</v>
      </c>
      <c r="G1389" s="38" t="s">
        <v>1072</v>
      </c>
    </row>
    <row r="1390" spans="1:14" x14ac:dyDescent="0.25">
      <c r="A1390" s="3"/>
      <c r="B1390" s="40"/>
      <c r="C1390" s="41"/>
      <c r="D1390" s="40"/>
      <c r="E1390" s="41"/>
      <c r="F1390" s="42" t="s">
        <v>270</v>
      </c>
      <c r="G1390" s="41" t="s">
        <v>1073</v>
      </c>
    </row>
    <row r="1391" spans="1:14" x14ac:dyDescent="0.25">
      <c r="A1391" s="4" t="s">
        <v>7</v>
      </c>
      <c r="B1391" s="33" t="s">
        <v>568</v>
      </c>
      <c r="C1391" s="34" t="s">
        <v>1074</v>
      </c>
      <c r="D1391" s="33" t="s">
        <v>504</v>
      </c>
      <c r="E1391" s="34" t="s">
        <v>1074</v>
      </c>
      <c r="F1391" s="39" t="s">
        <v>803</v>
      </c>
      <c r="G1391" s="38" t="s">
        <v>1074</v>
      </c>
    </row>
    <row r="1392" spans="1:14" x14ac:dyDescent="0.25">
      <c r="A1392" s="2"/>
      <c r="B1392" s="37"/>
      <c r="C1392" s="38"/>
      <c r="D1392" s="37"/>
      <c r="E1392" s="36"/>
      <c r="F1392" s="38"/>
      <c r="G1392" s="39"/>
    </row>
    <row r="1393" spans="1:14" x14ac:dyDescent="0.25">
      <c r="A1393" s="3"/>
      <c r="B1393" s="40"/>
      <c r="C1393" s="41"/>
      <c r="D1393" s="40"/>
      <c r="E1393" s="41"/>
      <c r="F1393" s="42"/>
      <c r="G1393" s="41"/>
    </row>
    <row r="1394" spans="1:14" x14ac:dyDescent="0.25">
      <c r="A1394" s="4" t="s">
        <v>8</v>
      </c>
      <c r="B1394" s="33" t="s">
        <v>505</v>
      </c>
      <c r="C1394" s="34" t="s">
        <v>1074</v>
      </c>
      <c r="D1394" s="33" t="s">
        <v>505</v>
      </c>
      <c r="E1394" s="34" t="s">
        <v>1074</v>
      </c>
      <c r="F1394" s="35" t="s">
        <v>505</v>
      </c>
      <c r="G1394" s="38" t="s">
        <v>1074</v>
      </c>
    </row>
    <row r="1395" spans="1:14" x14ac:dyDescent="0.25">
      <c r="A1395" s="2"/>
      <c r="B1395" s="37"/>
      <c r="C1395" s="38"/>
      <c r="D1395" s="37"/>
      <c r="E1395" s="38"/>
      <c r="F1395" s="39" t="s">
        <v>159</v>
      </c>
      <c r="G1395" s="38" t="s">
        <v>1072</v>
      </c>
    </row>
    <row r="1396" spans="1:14" x14ac:dyDescent="0.25">
      <c r="A1396" s="3"/>
      <c r="B1396" s="40"/>
      <c r="C1396" s="41"/>
      <c r="D1396" s="40"/>
      <c r="E1396" s="41"/>
      <c r="F1396" s="42" t="s">
        <v>225</v>
      </c>
      <c r="G1396" s="41" t="s">
        <v>1073</v>
      </c>
    </row>
    <row r="1397" spans="1:14" x14ac:dyDescent="0.25">
      <c r="A1397" s="2" t="s">
        <v>9</v>
      </c>
      <c r="B1397" s="37" t="s">
        <v>1111</v>
      </c>
      <c r="C1397" s="38" t="s">
        <v>1074</v>
      </c>
      <c r="D1397" s="37" t="s">
        <v>237</v>
      </c>
      <c r="E1397" s="38" t="s">
        <v>1074</v>
      </c>
      <c r="F1397" s="39" t="s">
        <v>790</v>
      </c>
      <c r="G1397" s="38" t="s">
        <v>1073</v>
      </c>
    </row>
    <row r="1398" spans="1:14" x14ac:dyDescent="0.25">
      <c r="A1398" s="2"/>
      <c r="B1398" s="37" t="s">
        <v>569</v>
      </c>
      <c r="C1398" s="38" t="s">
        <v>1072</v>
      </c>
      <c r="D1398" s="37"/>
      <c r="E1398" s="38"/>
      <c r="F1398" s="48" t="s">
        <v>237</v>
      </c>
      <c r="G1398" s="38" t="s">
        <v>1074</v>
      </c>
    </row>
    <row r="1399" spans="1:14" x14ac:dyDescent="0.25">
      <c r="A1399" s="3"/>
      <c r="B1399" s="40"/>
      <c r="C1399" s="41"/>
      <c r="D1399" s="40"/>
      <c r="E1399" s="41"/>
      <c r="F1399" s="42"/>
      <c r="G1399" s="41"/>
    </row>
    <row r="1400" spans="1:14" x14ac:dyDescent="0.25">
      <c r="A1400" s="2" t="s">
        <v>1224</v>
      </c>
      <c r="B1400" s="37"/>
      <c r="C1400" s="38"/>
      <c r="D1400" s="37" t="s">
        <v>1339</v>
      </c>
      <c r="E1400" s="38" t="s">
        <v>1074</v>
      </c>
      <c r="F1400" s="39" t="s">
        <v>1339</v>
      </c>
      <c r="G1400" s="36" t="s">
        <v>1074</v>
      </c>
      <c r="H1400" s="8"/>
    </row>
    <row r="1401" spans="1:14" x14ac:dyDescent="0.25">
      <c r="A1401" s="2"/>
      <c r="B1401" s="44"/>
      <c r="C1401" s="38"/>
      <c r="D1401" s="37"/>
      <c r="E1401" s="38"/>
      <c r="F1401" s="39"/>
      <c r="G1401" s="36"/>
      <c r="H1401" s="8"/>
    </row>
    <row r="1402" spans="1:14" x14ac:dyDescent="0.25">
      <c r="A1402" s="3"/>
      <c r="B1402" s="40"/>
      <c r="C1402" s="41"/>
      <c r="D1402" s="40"/>
      <c r="E1402" s="41"/>
      <c r="F1402" s="42"/>
      <c r="G1402" s="43"/>
      <c r="H1402" s="8"/>
    </row>
    <row r="1404" spans="1:14" x14ac:dyDescent="0.25">
      <c r="A1404" s="1">
        <v>71</v>
      </c>
      <c r="B1404" s="29" t="s">
        <v>1188</v>
      </c>
      <c r="C1404" s="30"/>
      <c r="D1404" s="29" t="s">
        <v>1218</v>
      </c>
      <c r="E1404" s="30"/>
      <c r="F1404" s="31" t="s">
        <v>1218</v>
      </c>
      <c r="G1404" s="49"/>
    </row>
    <row r="1405" spans="1:14" x14ac:dyDescent="0.25">
      <c r="A1405" s="4" t="s">
        <v>6</v>
      </c>
      <c r="B1405" s="33" t="s">
        <v>570</v>
      </c>
      <c r="C1405" s="34" t="s">
        <v>1074</v>
      </c>
      <c r="D1405" s="33" t="s">
        <v>506</v>
      </c>
      <c r="E1405" s="34" t="s">
        <v>1074</v>
      </c>
      <c r="F1405" s="35" t="s">
        <v>804</v>
      </c>
      <c r="G1405" s="34" t="s">
        <v>1074</v>
      </c>
      <c r="I1405" s="7">
        <v>1</v>
      </c>
      <c r="J1405" s="6">
        <v>1</v>
      </c>
      <c r="K1405" s="7">
        <v>1</v>
      </c>
      <c r="L1405" s="6">
        <v>1</v>
      </c>
      <c r="M1405" s="7">
        <v>1</v>
      </c>
      <c r="N1405" s="7">
        <v>1</v>
      </c>
    </row>
    <row r="1406" spans="1:14" x14ac:dyDescent="0.25">
      <c r="A1406" s="2"/>
      <c r="B1406" s="37"/>
      <c r="C1406" s="38"/>
      <c r="D1406" s="37"/>
      <c r="E1406" s="38"/>
      <c r="F1406" s="39"/>
      <c r="G1406" s="38"/>
    </row>
    <row r="1407" spans="1:14" x14ac:dyDescent="0.25">
      <c r="A1407" s="3"/>
      <c r="B1407" s="40"/>
      <c r="C1407" s="41"/>
      <c r="D1407" s="40"/>
      <c r="E1407" s="41"/>
      <c r="F1407" s="42"/>
      <c r="G1407" s="41"/>
    </row>
    <row r="1408" spans="1:14" x14ac:dyDescent="0.25">
      <c r="A1408" s="4" t="s">
        <v>5</v>
      </c>
      <c r="B1408" s="33">
        <v>2016</v>
      </c>
      <c r="C1408" s="34" t="s">
        <v>1074</v>
      </c>
      <c r="D1408" s="33" t="s">
        <v>1076</v>
      </c>
      <c r="E1408" s="34" t="s">
        <v>1074</v>
      </c>
      <c r="F1408" s="35">
        <v>2016</v>
      </c>
      <c r="G1408" s="38" t="s">
        <v>1074</v>
      </c>
    </row>
    <row r="1409" spans="1:8" x14ac:dyDescent="0.25">
      <c r="A1409" s="2"/>
      <c r="B1409" s="37"/>
      <c r="C1409" s="38"/>
      <c r="D1409" s="37" t="s">
        <v>1075</v>
      </c>
      <c r="E1409" s="38" t="s">
        <v>1072</v>
      </c>
      <c r="F1409" s="37" t="s">
        <v>805</v>
      </c>
      <c r="G1409" s="38" t="s">
        <v>1073</v>
      </c>
    </row>
    <row r="1410" spans="1:8" x14ac:dyDescent="0.25">
      <c r="A1410" s="3"/>
      <c r="B1410" s="40"/>
      <c r="C1410" s="41"/>
      <c r="D1410" s="40"/>
      <c r="E1410" s="41"/>
      <c r="F1410" s="42" t="s">
        <v>806</v>
      </c>
      <c r="G1410" s="41" t="s">
        <v>1077</v>
      </c>
    </row>
    <row r="1411" spans="1:8" x14ac:dyDescent="0.25">
      <c r="A1411" s="4" t="s">
        <v>7</v>
      </c>
      <c r="B1411" s="33" t="s">
        <v>1078</v>
      </c>
      <c r="C1411" s="34" t="s">
        <v>1074</v>
      </c>
      <c r="D1411" s="33" t="s">
        <v>1078</v>
      </c>
      <c r="E1411" s="34" t="s">
        <v>1074</v>
      </c>
      <c r="F1411" s="39" t="s">
        <v>807</v>
      </c>
      <c r="G1411" s="38" t="s">
        <v>1074</v>
      </c>
    </row>
    <row r="1412" spans="1:8" x14ac:dyDescent="0.25">
      <c r="A1412" s="2"/>
      <c r="B1412" s="37" t="s">
        <v>571</v>
      </c>
      <c r="C1412" s="38" t="s">
        <v>1072</v>
      </c>
      <c r="D1412" s="37"/>
      <c r="E1412" s="36"/>
      <c r="F1412" s="38" t="s">
        <v>672</v>
      </c>
      <c r="G1412" s="39" t="s">
        <v>1073</v>
      </c>
    </row>
    <row r="1413" spans="1:8" x14ac:dyDescent="0.25">
      <c r="A1413" s="3"/>
      <c r="B1413" s="40"/>
      <c r="C1413" s="41"/>
      <c r="D1413" s="40"/>
      <c r="E1413" s="41"/>
      <c r="F1413" s="42" t="s">
        <v>571</v>
      </c>
      <c r="G1413" s="41" t="s">
        <v>1072</v>
      </c>
    </row>
    <row r="1414" spans="1:8" x14ac:dyDescent="0.25">
      <c r="A1414" s="4" t="s">
        <v>8</v>
      </c>
      <c r="B1414" s="33" t="s">
        <v>213</v>
      </c>
      <c r="C1414" s="34" t="s">
        <v>1074</v>
      </c>
      <c r="D1414" s="33" t="s">
        <v>213</v>
      </c>
      <c r="E1414" s="34" t="s">
        <v>1074</v>
      </c>
      <c r="F1414" s="35" t="s">
        <v>213</v>
      </c>
      <c r="G1414" s="38" t="s">
        <v>1074</v>
      </c>
    </row>
    <row r="1415" spans="1:8" x14ac:dyDescent="0.25">
      <c r="A1415" s="2"/>
      <c r="B1415" s="37" t="s">
        <v>168</v>
      </c>
      <c r="C1415" s="38" t="s">
        <v>1072</v>
      </c>
      <c r="D1415" s="37"/>
      <c r="E1415" s="38"/>
      <c r="F1415" s="39" t="s">
        <v>167</v>
      </c>
      <c r="G1415" s="38" t="s">
        <v>1073</v>
      </c>
    </row>
    <row r="1416" spans="1:8" x14ac:dyDescent="0.25">
      <c r="A1416" s="3"/>
      <c r="B1416" s="40" t="s">
        <v>167</v>
      </c>
      <c r="C1416" s="41" t="s">
        <v>1073</v>
      </c>
      <c r="D1416" s="40"/>
      <c r="E1416" s="41"/>
      <c r="F1416" s="42" t="s">
        <v>168</v>
      </c>
      <c r="G1416" s="41" t="s">
        <v>1072</v>
      </c>
    </row>
    <row r="1417" spans="1:8" x14ac:dyDescent="0.25">
      <c r="A1417" s="2" t="s">
        <v>9</v>
      </c>
      <c r="B1417" s="37" t="s">
        <v>572</v>
      </c>
      <c r="C1417" s="38" t="s">
        <v>1074</v>
      </c>
      <c r="D1417" s="37" t="s">
        <v>507</v>
      </c>
      <c r="E1417" s="38" t="s">
        <v>1074</v>
      </c>
      <c r="F1417" s="39" t="s">
        <v>808</v>
      </c>
      <c r="G1417" s="38" t="s">
        <v>1072</v>
      </c>
    </row>
    <row r="1418" spans="1:8" x14ac:dyDescent="0.25">
      <c r="A1418" s="2"/>
      <c r="B1418" s="37"/>
      <c r="C1418" s="38"/>
      <c r="D1418" s="37"/>
      <c r="E1418" s="38"/>
      <c r="F1418" s="48" t="s">
        <v>1079</v>
      </c>
      <c r="G1418" s="38" t="s">
        <v>1074</v>
      </c>
    </row>
    <row r="1419" spans="1:8" x14ac:dyDescent="0.25">
      <c r="A1419" s="3"/>
      <c r="B1419" s="40"/>
      <c r="C1419" s="41"/>
      <c r="D1419" s="40"/>
      <c r="E1419" s="41"/>
      <c r="F1419" s="42"/>
      <c r="G1419" s="41"/>
    </row>
    <row r="1420" spans="1:8" x14ac:dyDescent="0.25">
      <c r="A1420" s="2" t="s">
        <v>1224</v>
      </c>
      <c r="B1420" s="37" t="s">
        <v>1277</v>
      </c>
      <c r="C1420" s="38" t="s">
        <v>1074</v>
      </c>
      <c r="D1420" s="37" t="s">
        <v>1340</v>
      </c>
      <c r="E1420" s="38" t="s">
        <v>1074</v>
      </c>
      <c r="F1420" s="39" t="s">
        <v>1388</v>
      </c>
      <c r="G1420" s="36" t="s">
        <v>1074</v>
      </c>
      <c r="H1420" s="8"/>
    </row>
    <row r="1421" spans="1:8" x14ac:dyDescent="0.25">
      <c r="A1421" s="2"/>
      <c r="B1421" s="44"/>
      <c r="C1421" s="38"/>
      <c r="D1421" s="37"/>
      <c r="E1421" s="38"/>
      <c r="F1421" s="39"/>
      <c r="G1421" s="36"/>
      <c r="H1421" s="8"/>
    </row>
    <row r="1422" spans="1:8" x14ac:dyDescent="0.25">
      <c r="A1422" s="3"/>
      <c r="B1422" s="40"/>
      <c r="C1422" s="41"/>
      <c r="D1422" s="40"/>
      <c r="E1422" s="41"/>
      <c r="F1422" s="42"/>
      <c r="G1422" s="43"/>
      <c r="H1422" s="8"/>
    </row>
    <row r="1424" spans="1:8" x14ac:dyDescent="0.25">
      <c r="A1424" s="1">
        <v>72</v>
      </c>
      <c r="B1424" s="29" t="s">
        <v>1189</v>
      </c>
      <c r="C1424" s="30"/>
      <c r="D1424" s="29" t="s">
        <v>1218</v>
      </c>
      <c r="E1424" s="30"/>
      <c r="F1424" s="31" t="s">
        <v>1218</v>
      </c>
      <c r="G1424" s="49"/>
    </row>
    <row r="1425" spans="1:14" x14ac:dyDescent="0.25">
      <c r="A1425" s="4" t="s">
        <v>6</v>
      </c>
      <c r="B1425" s="33" t="s">
        <v>573</v>
      </c>
      <c r="C1425" s="34" t="s">
        <v>1074</v>
      </c>
      <c r="D1425" s="33" t="s">
        <v>508</v>
      </c>
      <c r="E1425" s="34" t="s">
        <v>1074</v>
      </c>
      <c r="F1425" s="35" t="s">
        <v>809</v>
      </c>
      <c r="G1425" s="34" t="s">
        <v>1074</v>
      </c>
      <c r="I1425" s="7">
        <v>1</v>
      </c>
      <c r="J1425" s="6">
        <v>1</v>
      </c>
      <c r="K1425" s="7">
        <v>1</v>
      </c>
      <c r="L1425" s="6">
        <v>1</v>
      </c>
      <c r="M1425" s="7">
        <v>1</v>
      </c>
      <c r="N1425" s="7">
        <v>1</v>
      </c>
    </row>
    <row r="1426" spans="1:14" x14ac:dyDescent="0.25">
      <c r="A1426" s="2"/>
      <c r="B1426" s="37"/>
      <c r="C1426" s="38"/>
      <c r="D1426" s="37" t="s">
        <v>509</v>
      </c>
      <c r="E1426" s="38" t="s">
        <v>1072</v>
      </c>
      <c r="F1426" s="39"/>
      <c r="G1426" s="38"/>
    </row>
    <row r="1427" spans="1:14" x14ac:dyDescent="0.25">
      <c r="A1427" s="3"/>
      <c r="B1427" s="40"/>
      <c r="C1427" s="41"/>
      <c r="D1427" s="40"/>
      <c r="E1427" s="41"/>
      <c r="F1427" s="42"/>
      <c r="G1427" s="41"/>
    </row>
    <row r="1428" spans="1:14" x14ac:dyDescent="0.25">
      <c r="A1428" s="4" t="s">
        <v>5</v>
      </c>
      <c r="B1428" s="33" t="s">
        <v>23</v>
      </c>
      <c r="C1428" s="34" t="s">
        <v>1074</v>
      </c>
      <c r="D1428" s="33" t="s">
        <v>510</v>
      </c>
      <c r="E1428" s="34" t="s">
        <v>1074</v>
      </c>
      <c r="F1428" s="35" t="s">
        <v>1080</v>
      </c>
      <c r="G1428" s="38" t="s">
        <v>1074</v>
      </c>
    </row>
    <row r="1429" spans="1:14" x14ac:dyDescent="0.25">
      <c r="A1429" s="2"/>
      <c r="B1429" s="37" t="s">
        <v>510</v>
      </c>
      <c r="C1429" s="38" t="s">
        <v>1074</v>
      </c>
      <c r="D1429" s="37" t="s">
        <v>1080</v>
      </c>
      <c r="E1429" s="38" t="s">
        <v>1074</v>
      </c>
      <c r="F1429" s="37"/>
      <c r="G1429" s="38"/>
    </row>
    <row r="1430" spans="1:14" x14ac:dyDescent="0.25">
      <c r="A1430" s="3"/>
      <c r="B1430" s="40" t="s">
        <v>1080</v>
      </c>
      <c r="C1430" s="41" t="s">
        <v>1074</v>
      </c>
      <c r="D1430" s="40"/>
      <c r="E1430" s="41"/>
      <c r="F1430" s="42"/>
      <c r="G1430" s="41"/>
    </row>
    <row r="1431" spans="1:14" x14ac:dyDescent="0.25">
      <c r="A1431" s="4" t="s">
        <v>7</v>
      </c>
      <c r="B1431" s="33" t="s">
        <v>574</v>
      </c>
      <c r="C1431" s="34" t="s">
        <v>1074</v>
      </c>
      <c r="D1431" s="57" t="s">
        <v>574</v>
      </c>
      <c r="E1431" s="34" t="s">
        <v>1074</v>
      </c>
      <c r="F1431" s="39" t="s">
        <v>574</v>
      </c>
      <c r="G1431" s="38" t="s">
        <v>1074</v>
      </c>
    </row>
    <row r="1432" spans="1:14" x14ac:dyDescent="0.25">
      <c r="A1432" s="2"/>
      <c r="B1432" s="37"/>
      <c r="C1432" s="38"/>
      <c r="D1432" s="37"/>
      <c r="E1432" s="36"/>
      <c r="F1432" s="38" t="s">
        <v>810</v>
      </c>
      <c r="G1432" s="39" t="s">
        <v>1072</v>
      </c>
    </row>
    <row r="1433" spans="1:14" x14ac:dyDescent="0.25">
      <c r="A1433" s="3"/>
      <c r="B1433" s="40"/>
      <c r="C1433" s="41"/>
      <c r="D1433" s="40"/>
      <c r="E1433" s="41"/>
      <c r="F1433" s="42"/>
      <c r="G1433" s="41"/>
    </row>
    <row r="1434" spans="1:14" x14ac:dyDescent="0.25">
      <c r="A1434" s="4" t="s">
        <v>8</v>
      </c>
      <c r="B1434" s="33" t="s">
        <v>168</v>
      </c>
      <c r="C1434" s="34" t="s">
        <v>1074</v>
      </c>
      <c r="D1434" s="33" t="s">
        <v>168</v>
      </c>
      <c r="E1434" s="34" t="s">
        <v>1074</v>
      </c>
      <c r="F1434" s="35" t="s">
        <v>167</v>
      </c>
      <c r="G1434" s="38" t="s">
        <v>1072</v>
      </c>
    </row>
    <row r="1435" spans="1:14" x14ac:dyDescent="0.25">
      <c r="A1435" s="2"/>
      <c r="B1435" s="37" t="s">
        <v>172</v>
      </c>
      <c r="C1435" s="38" t="s">
        <v>1072</v>
      </c>
      <c r="D1435" s="37" t="s">
        <v>217</v>
      </c>
      <c r="E1435" s="38" t="s">
        <v>1073</v>
      </c>
      <c r="F1435" s="39" t="s">
        <v>168</v>
      </c>
      <c r="G1435" s="38" t="s">
        <v>1074</v>
      </c>
    </row>
    <row r="1436" spans="1:14" x14ac:dyDescent="0.25">
      <c r="A1436" s="3"/>
      <c r="B1436" s="40"/>
      <c r="C1436" s="41"/>
      <c r="D1436" s="40"/>
      <c r="E1436" s="41"/>
      <c r="F1436" s="42" t="s">
        <v>811</v>
      </c>
      <c r="G1436" s="41" t="s">
        <v>1077</v>
      </c>
    </row>
    <row r="1437" spans="1:14" x14ac:dyDescent="0.25">
      <c r="A1437" s="2" t="s">
        <v>9</v>
      </c>
      <c r="B1437" s="37" t="s">
        <v>575</v>
      </c>
      <c r="C1437" s="38" t="s">
        <v>1074</v>
      </c>
      <c r="D1437" s="37" t="s">
        <v>511</v>
      </c>
      <c r="E1437" s="38" t="s">
        <v>1074</v>
      </c>
      <c r="F1437" s="39" t="s">
        <v>575</v>
      </c>
      <c r="G1437" s="38" t="s">
        <v>1074</v>
      </c>
    </row>
    <row r="1438" spans="1:14" x14ac:dyDescent="0.25">
      <c r="A1438" s="2"/>
      <c r="B1438" s="37"/>
      <c r="C1438" s="38"/>
      <c r="D1438" s="37"/>
      <c r="E1438" s="38"/>
      <c r="F1438" s="48" t="s">
        <v>812</v>
      </c>
      <c r="G1438" s="38"/>
    </row>
    <row r="1439" spans="1:14" x14ac:dyDescent="0.25">
      <c r="A1439" s="3"/>
      <c r="B1439" s="40"/>
      <c r="C1439" s="41"/>
      <c r="D1439" s="40"/>
      <c r="E1439" s="41"/>
      <c r="F1439" s="42"/>
      <c r="G1439" s="41"/>
    </row>
    <row r="1440" spans="1:14" x14ac:dyDescent="0.25">
      <c r="A1440" s="2" t="s">
        <v>1224</v>
      </c>
      <c r="B1440" s="37" t="s">
        <v>1277</v>
      </c>
      <c r="C1440" s="38" t="s">
        <v>1074</v>
      </c>
      <c r="D1440" s="37" t="s">
        <v>1341</v>
      </c>
      <c r="E1440" s="38" t="s">
        <v>1072</v>
      </c>
      <c r="F1440" s="37" t="s">
        <v>1277</v>
      </c>
      <c r="G1440" s="36" t="s">
        <v>1074</v>
      </c>
      <c r="H1440" s="8"/>
    </row>
    <row r="1441" spans="1:14" x14ac:dyDescent="0.25">
      <c r="A1441" s="2"/>
      <c r="B1441" s="44"/>
      <c r="C1441" s="38"/>
      <c r="D1441" s="37"/>
      <c r="E1441" s="38"/>
      <c r="F1441" s="39"/>
      <c r="G1441" s="36"/>
      <c r="H1441" s="8"/>
    </row>
    <row r="1442" spans="1:14" x14ac:dyDescent="0.25">
      <c r="A1442" s="3"/>
      <c r="B1442" s="40"/>
      <c r="C1442" s="41"/>
      <c r="D1442" s="40"/>
      <c r="E1442" s="41"/>
      <c r="F1442" s="42"/>
      <c r="G1442" s="43"/>
      <c r="H1442" s="8"/>
    </row>
    <row r="1444" spans="1:14" x14ac:dyDescent="0.25">
      <c r="A1444" s="1">
        <v>73</v>
      </c>
      <c r="B1444" s="29" t="s">
        <v>1190</v>
      </c>
      <c r="C1444" s="30"/>
      <c r="D1444" s="29" t="s">
        <v>1218</v>
      </c>
      <c r="E1444" s="30"/>
      <c r="F1444" s="31" t="s">
        <v>1218</v>
      </c>
      <c r="G1444" s="49"/>
    </row>
    <row r="1445" spans="1:14" x14ac:dyDescent="0.25">
      <c r="A1445" s="4" t="s">
        <v>6</v>
      </c>
      <c r="B1445" s="33" t="s">
        <v>576</v>
      </c>
      <c r="C1445" s="34" t="s">
        <v>1074</v>
      </c>
      <c r="D1445" s="33" t="s">
        <v>512</v>
      </c>
      <c r="E1445" s="34" t="s">
        <v>1074</v>
      </c>
      <c r="F1445" s="35" t="s">
        <v>1081</v>
      </c>
      <c r="G1445" s="34" t="s">
        <v>1074</v>
      </c>
      <c r="I1445" s="7">
        <v>1</v>
      </c>
      <c r="J1445" s="6">
        <v>1</v>
      </c>
      <c r="K1445" s="7">
        <v>0.33333333333333337</v>
      </c>
      <c r="L1445" s="6">
        <v>1</v>
      </c>
      <c r="M1445" s="7">
        <v>1</v>
      </c>
      <c r="N1445" s="7">
        <v>1</v>
      </c>
    </row>
    <row r="1446" spans="1:14" x14ac:dyDescent="0.25">
      <c r="A1446" s="2"/>
      <c r="B1446" s="37"/>
      <c r="C1446" s="38"/>
      <c r="D1446" s="37"/>
      <c r="E1446" s="38"/>
      <c r="F1446" s="39"/>
      <c r="G1446" s="38"/>
    </row>
    <row r="1447" spans="1:14" x14ac:dyDescent="0.25">
      <c r="A1447" s="3"/>
      <c r="B1447" s="40"/>
      <c r="C1447" s="41"/>
      <c r="D1447" s="40"/>
      <c r="E1447" s="41"/>
      <c r="F1447" s="42"/>
      <c r="G1447" s="41"/>
    </row>
    <row r="1448" spans="1:14" x14ac:dyDescent="0.25">
      <c r="A1448" s="4" t="s">
        <v>5</v>
      </c>
      <c r="B1448" s="33" t="s">
        <v>577</v>
      </c>
      <c r="C1448" s="34" t="s">
        <v>1074</v>
      </c>
      <c r="D1448" s="33" t="s">
        <v>577</v>
      </c>
      <c r="E1448" s="34" t="s">
        <v>1074</v>
      </c>
      <c r="F1448" s="33" t="s">
        <v>577</v>
      </c>
      <c r="G1448" s="38" t="s">
        <v>1074</v>
      </c>
    </row>
    <row r="1449" spans="1:14" x14ac:dyDescent="0.25">
      <c r="A1449" s="2"/>
      <c r="B1449" s="37"/>
      <c r="C1449" s="38"/>
      <c r="D1449" s="37"/>
      <c r="E1449" s="38"/>
      <c r="F1449" s="37" t="s">
        <v>813</v>
      </c>
      <c r="G1449" s="38" t="s">
        <v>1072</v>
      </c>
    </row>
    <row r="1450" spans="1:14" x14ac:dyDescent="0.25">
      <c r="A1450" s="3"/>
      <c r="B1450" s="40"/>
      <c r="C1450" s="41"/>
      <c r="D1450" s="40"/>
      <c r="E1450" s="41"/>
      <c r="F1450" s="42"/>
      <c r="G1450" s="41"/>
    </row>
    <row r="1451" spans="1:14" x14ac:dyDescent="0.25">
      <c r="A1451" s="4" t="s">
        <v>7</v>
      </c>
      <c r="B1451" s="33"/>
      <c r="C1451" s="34"/>
      <c r="D1451" s="33"/>
      <c r="E1451" s="34"/>
      <c r="F1451" s="39" t="s">
        <v>810</v>
      </c>
      <c r="G1451" s="38" t="s">
        <v>1074</v>
      </c>
    </row>
    <row r="1452" spans="1:14" x14ac:dyDescent="0.25">
      <c r="A1452" s="2"/>
      <c r="B1452" s="37"/>
      <c r="C1452" s="38"/>
      <c r="D1452" s="37"/>
      <c r="E1452" s="36"/>
      <c r="F1452" s="38"/>
      <c r="G1452" s="39"/>
    </row>
    <row r="1453" spans="1:14" x14ac:dyDescent="0.25">
      <c r="A1453" s="3"/>
      <c r="B1453" s="40"/>
      <c r="C1453" s="41"/>
      <c r="D1453" s="40"/>
      <c r="E1453" s="41"/>
      <c r="F1453" s="42"/>
      <c r="G1453" s="41"/>
    </row>
    <row r="1454" spans="1:14" x14ac:dyDescent="0.25">
      <c r="A1454" s="4" t="s">
        <v>8</v>
      </c>
      <c r="B1454" s="33" t="s">
        <v>172</v>
      </c>
      <c r="C1454" s="34" t="s">
        <v>1074</v>
      </c>
      <c r="D1454" s="33" t="s">
        <v>172</v>
      </c>
      <c r="E1454" s="34" t="s">
        <v>1074</v>
      </c>
      <c r="F1454" s="35" t="s">
        <v>172</v>
      </c>
      <c r="G1454" s="38" t="s">
        <v>1074</v>
      </c>
    </row>
    <row r="1455" spans="1:14" x14ac:dyDescent="0.25">
      <c r="A1455" s="2"/>
      <c r="B1455" s="37" t="s">
        <v>168</v>
      </c>
      <c r="C1455" s="38" t="s">
        <v>1072</v>
      </c>
      <c r="D1455" s="37"/>
      <c r="E1455" s="38"/>
      <c r="F1455" s="39" t="s">
        <v>168</v>
      </c>
      <c r="G1455" s="38" t="s">
        <v>1072</v>
      </c>
    </row>
    <row r="1456" spans="1:14" x14ac:dyDescent="0.25">
      <c r="A1456" s="3"/>
      <c r="B1456" s="40"/>
      <c r="C1456" s="41"/>
      <c r="D1456" s="40"/>
      <c r="E1456" s="41"/>
      <c r="F1456" s="42" t="s">
        <v>814</v>
      </c>
      <c r="G1456" s="41" t="s">
        <v>1073</v>
      </c>
    </row>
    <row r="1457" spans="1:14" x14ac:dyDescent="0.25">
      <c r="A1457" s="2" t="s">
        <v>9</v>
      </c>
      <c r="B1457" s="37" t="s">
        <v>578</v>
      </c>
      <c r="C1457" s="38" t="s">
        <v>1074</v>
      </c>
      <c r="D1457" s="37" t="s">
        <v>1082</v>
      </c>
      <c r="E1457" s="38" t="s">
        <v>1074</v>
      </c>
      <c r="F1457" s="39" t="s">
        <v>815</v>
      </c>
      <c r="G1457" s="38" t="s">
        <v>1074</v>
      </c>
    </row>
    <row r="1458" spans="1:14" x14ac:dyDescent="0.25">
      <c r="A1458" s="2"/>
      <c r="B1458" s="37"/>
      <c r="C1458" s="38"/>
      <c r="D1458" s="37"/>
      <c r="E1458" s="38"/>
      <c r="F1458" s="48"/>
      <c r="G1458" s="38"/>
    </row>
    <row r="1459" spans="1:14" x14ac:dyDescent="0.25">
      <c r="A1459" s="3"/>
      <c r="B1459" s="40"/>
      <c r="C1459" s="41"/>
      <c r="D1459" s="40"/>
      <c r="E1459" s="41"/>
      <c r="F1459" s="42"/>
      <c r="G1459" s="41"/>
    </row>
    <row r="1460" spans="1:14" x14ac:dyDescent="0.25">
      <c r="A1460" s="2" t="s">
        <v>1224</v>
      </c>
      <c r="B1460" s="37" t="s">
        <v>1278</v>
      </c>
      <c r="C1460" s="38" t="s">
        <v>1074</v>
      </c>
      <c r="D1460" s="37" t="s">
        <v>1342</v>
      </c>
      <c r="E1460" s="38" t="s">
        <v>1072</v>
      </c>
      <c r="F1460" s="37" t="s">
        <v>1343</v>
      </c>
      <c r="G1460" s="36" t="s">
        <v>1074</v>
      </c>
      <c r="H1460" s="8"/>
    </row>
    <row r="1461" spans="1:14" x14ac:dyDescent="0.25">
      <c r="A1461" s="2"/>
      <c r="B1461" s="44"/>
      <c r="C1461" s="38"/>
      <c r="D1461" s="37" t="s">
        <v>1343</v>
      </c>
      <c r="E1461" s="38" t="s">
        <v>1074</v>
      </c>
      <c r="F1461" s="39"/>
      <c r="G1461" s="36"/>
      <c r="H1461" s="8"/>
    </row>
    <row r="1462" spans="1:14" x14ac:dyDescent="0.25">
      <c r="A1462" s="3"/>
      <c r="B1462" s="40"/>
      <c r="C1462" s="41"/>
      <c r="D1462" s="40"/>
      <c r="E1462" s="41"/>
      <c r="F1462" s="42"/>
      <c r="G1462" s="43"/>
      <c r="H1462" s="8"/>
    </row>
    <row r="1464" spans="1:14" x14ac:dyDescent="0.25">
      <c r="A1464" s="1">
        <v>74</v>
      </c>
      <c r="B1464" s="29" t="s">
        <v>1191</v>
      </c>
      <c r="C1464" s="30"/>
      <c r="D1464" s="29" t="s">
        <v>1218</v>
      </c>
      <c r="E1464" s="30"/>
      <c r="F1464" s="31" t="s">
        <v>1218</v>
      </c>
      <c r="G1464" s="49"/>
    </row>
    <row r="1465" spans="1:14" x14ac:dyDescent="0.25">
      <c r="A1465" s="4" t="s">
        <v>6</v>
      </c>
      <c r="B1465" s="33" t="s">
        <v>579</v>
      </c>
      <c r="C1465" s="34" t="s">
        <v>1074</v>
      </c>
      <c r="D1465" s="33" t="s">
        <v>513</v>
      </c>
      <c r="E1465" s="34" t="s">
        <v>1073</v>
      </c>
      <c r="F1465" s="35" t="s">
        <v>816</v>
      </c>
      <c r="G1465" s="34" t="s">
        <v>1074</v>
      </c>
      <c r="I1465" s="7">
        <v>0.33333333333333337</v>
      </c>
      <c r="J1465" s="6">
        <v>0.66666666666666674</v>
      </c>
      <c r="K1465" s="7">
        <v>1</v>
      </c>
      <c r="L1465" s="6">
        <v>1</v>
      </c>
      <c r="M1465" s="7">
        <v>0.33333333333333337</v>
      </c>
      <c r="N1465" s="7">
        <v>0.33333333333333337</v>
      </c>
    </row>
    <row r="1466" spans="1:14" x14ac:dyDescent="0.25">
      <c r="A1466" s="2"/>
      <c r="B1466" s="37" t="s">
        <v>580</v>
      </c>
      <c r="C1466" s="38" t="s">
        <v>1072</v>
      </c>
      <c r="D1466" s="37"/>
      <c r="E1466" s="38"/>
      <c r="F1466" s="39" t="s">
        <v>817</v>
      </c>
      <c r="G1466" s="38" t="s">
        <v>1074</v>
      </c>
    </row>
    <row r="1467" spans="1:14" x14ac:dyDescent="0.25">
      <c r="A1467" s="3"/>
      <c r="B1467" s="40"/>
      <c r="C1467" s="41"/>
      <c r="D1467" s="40"/>
      <c r="E1467" s="41"/>
      <c r="F1467" s="42"/>
      <c r="G1467" s="41"/>
    </row>
    <row r="1468" spans="1:14" x14ac:dyDescent="0.25">
      <c r="A1468" s="4" t="s">
        <v>5</v>
      </c>
      <c r="B1468" s="33" t="s">
        <v>581</v>
      </c>
      <c r="C1468" s="34" t="s">
        <v>1074</v>
      </c>
      <c r="D1468" s="33" t="s">
        <v>514</v>
      </c>
      <c r="E1468" s="34" t="s">
        <v>1074</v>
      </c>
      <c r="F1468" s="35" t="s">
        <v>582</v>
      </c>
      <c r="G1468" s="38" t="s">
        <v>1072</v>
      </c>
    </row>
    <row r="1469" spans="1:14" x14ac:dyDescent="0.25">
      <c r="A1469" s="2"/>
      <c r="B1469" s="37" t="s">
        <v>582</v>
      </c>
      <c r="C1469" s="38" t="s">
        <v>1072</v>
      </c>
      <c r="D1469" s="37"/>
      <c r="E1469" s="38"/>
      <c r="F1469" s="37" t="s">
        <v>818</v>
      </c>
      <c r="G1469" s="38" t="s">
        <v>1073</v>
      </c>
    </row>
    <row r="1470" spans="1:14" x14ac:dyDescent="0.25">
      <c r="A1470" s="3"/>
      <c r="B1470" s="40"/>
      <c r="C1470" s="41"/>
      <c r="D1470" s="40"/>
      <c r="E1470" s="41"/>
      <c r="F1470" s="42"/>
      <c r="G1470" s="41"/>
    </row>
    <row r="1471" spans="1:14" x14ac:dyDescent="0.25">
      <c r="A1471" s="4" t="s">
        <v>7</v>
      </c>
      <c r="C1471" s="34"/>
      <c r="D1471" s="33"/>
      <c r="E1471" s="34"/>
      <c r="F1471" s="39"/>
      <c r="G1471" s="38"/>
    </row>
    <row r="1472" spans="1:14" x14ac:dyDescent="0.25">
      <c r="A1472" s="2"/>
      <c r="C1472" s="38"/>
      <c r="D1472" s="37"/>
      <c r="E1472" s="36"/>
      <c r="F1472" s="38"/>
      <c r="G1472" s="39"/>
    </row>
    <row r="1473" spans="1:14" x14ac:dyDescent="0.25">
      <c r="A1473" s="3"/>
      <c r="B1473" s="40"/>
      <c r="C1473" s="41"/>
      <c r="D1473" s="40"/>
      <c r="E1473" s="41"/>
      <c r="F1473" s="42"/>
      <c r="G1473" s="41"/>
    </row>
    <row r="1474" spans="1:14" x14ac:dyDescent="0.25">
      <c r="A1474" s="4" t="s">
        <v>8</v>
      </c>
      <c r="B1474" s="33" t="s">
        <v>172</v>
      </c>
      <c r="C1474" s="34" t="s">
        <v>1074</v>
      </c>
      <c r="D1474" s="33" t="s">
        <v>172</v>
      </c>
      <c r="E1474" s="34" t="s">
        <v>1074</v>
      </c>
      <c r="F1474" s="35" t="s">
        <v>172</v>
      </c>
      <c r="G1474" s="38" t="s">
        <v>1074</v>
      </c>
    </row>
    <row r="1475" spans="1:14" x14ac:dyDescent="0.25">
      <c r="A1475" s="2"/>
      <c r="B1475" s="37" t="s">
        <v>168</v>
      </c>
      <c r="C1475" s="38" t="s">
        <v>1072</v>
      </c>
      <c r="D1475" s="37"/>
      <c r="E1475" s="38"/>
      <c r="F1475" s="39" t="s">
        <v>168</v>
      </c>
      <c r="G1475" s="38" t="s">
        <v>1072</v>
      </c>
    </row>
    <row r="1476" spans="1:14" x14ac:dyDescent="0.25">
      <c r="A1476" s="3"/>
      <c r="B1476" s="40"/>
      <c r="C1476" s="41"/>
      <c r="D1476" s="40"/>
      <c r="E1476" s="41"/>
      <c r="F1476" s="42" t="s">
        <v>285</v>
      </c>
      <c r="G1476" s="41" t="s">
        <v>1073</v>
      </c>
    </row>
    <row r="1477" spans="1:14" x14ac:dyDescent="0.25">
      <c r="A1477" s="2" t="s">
        <v>9</v>
      </c>
      <c r="B1477" s="37"/>
      <c r="C1477" s="38"/>
      <c r="D1477" s="37" t="s">
        <v>515</v>
      </c>
      <c r="E1477" s="38" t="s">
        <v>1074</v>
      </c>
      <c r="F1477" s="39"/>
      <c r="G1477" s="38"/>
    </row>
    <row r="1478" spans="1:14" x14ac:dyDescent="0.25">
      <c r="A1478" s="2"/>
      <c r="B1478" s="37"/>
      <c r="C1478" s="38"/>
      <c r="D1478" s="37"/>
      <c r="E1478" s="38"/>
      <c r="F1478" s="48"/>
      <c r="G1478" s="38"/>
    </row>
    <row r="1479" spans="1:14" x14ac:dyDescent="0.25">
      <c r="A1479" s="3"/>
      <c r="B1479" s="40"/>
      <c r="C1479" s="41"/>
      <c r="D1479" s="40"/>
      <c r="E1479" s="41"/>
      <c r="F1479" s="42"/>
      <c r="G1479" s="41"/>
    </row>
    <row r="1480" spans="1:14" x14ac:dyDescent="0.25">
      <c r="A1480" s="2" t="s">
        <v>1224</v>
      </c>
      <c r="B1480" s="37" t="s">
        <v>1279</v>
      </c>
      <c r="C1480" s="38" t="s">
        <v>1074</v>
      </c>
      <c r="D1480" s="37" t="s">
        <v>1343</v>
      </c>
      <c r="E1480" s="38" t="s">
        <v>1074</v>
      </c>
      <c r="F1480" s="37" t="s">
        <v>1389</v>
      </c>
      <c r="G1480" s="36" t="s">
        <v>1074</v>
      </c>
      <c r="H1480" s="8"/>
    </row>
    <row r="1481" spans="1:14" x14ac:dyDescent="0.25">
      <c r="A1481" s="2"/>
      <c r="B1481" s="44"/>
      <c r="C1481" s="38"/>
      <c r="D1481" s="37"/>
      <c r="E1481" s="38"/>
      <c r="F1481" s="39"/>
      <c r="G1481" s="36"/>
      <c r="H1481" s="8"/>
    </row>
    <row r="1482" spans="1:14" x14ac:dyDescent="0.25">
      <c r="A1482" s="3"/>
      <c r="B1482" s="40"/>
      <c r="C1482" s="41"/>
      <c r="D1482" s="40"/>
      <c r="E1482" s="41"/>
      <c r="F1482" s="42"/>
      <c r="G1482" s="43"/>
      <c r="H1482" s="8"/>
    </row>
    <row r="1484" spans="1:14" x14ac:dyDescent="0.25">
      <c r="A1484" s="1">
        <v>75</v>
      </c>
      <c r="B1484" s="29" t="s">
        <v>1192</v>
      </c>
      <c r="C1484" s="30"/>
      <c r="D1484" s="29" t="s">
        <v>1218</v>
      </c>
      <c r="E1484" s="30"/>
      <c r="F1484" s="31" t="s">
        <v>1218</v>
      </c>
      <c r="G1484" s="49"/>
    </row>
    <row r="1485" spans="1:14" x14ac:dyDescent="0.25">
      <c r="A1485" s="4" t="s">
        <v>6</v>
      </c>
      <c r="B1485" s="33" t="s">
        <v>583</v>
      </c>
      <c r="C1485" s="34" t="s">
        <v>1074</v>
      </c>
      <c r="D1485" s="33" t="s">
        <v>516</v>
      </c>
      <c r="E1485" s="34" t="s">
        <v>1074</v>
      </c>
      <c r="F1485" s="35" t="s">
        <v>819</v>
      </c>
      <c r="G1485" s="34" t="s">
        <v>1074</v>
      </c>
      <c r="I1485" s="7">
        <v>1</v>
      </c>
      <c r="J1485" s="6">
        <v>1</v>
      </c>
      <c r="K1485" s="7">
        <v>1</v>
      </c>
      <c r="L1485" s="6">
        <v>1</v>
      </c>
      <c r="M1485" s="7">
        <v>0</v>
      </c>
      <c r="N1485" s="7">
        <v>0</v>
      </c>
    </row>
    <row r="1486" spans="1:14" x14ac:dyDescent="0.25">
      <c r="A1486" s="2"/>
      <c r="B1486" s="37"/>
      <c r="C1486" s="38"/>
      <c r="D1486" s="37" t="s">
        <v>517</v>
      </c>
      <c r="E1486" s="38" t="s">
        <v>1072</v>
      </c>
      <c r="F1486" s="39"/>
      <c r="G1486" s="38"/>
    </row>
    <row r="1487" spans="1:14" x14ac:dyDescent="0.25">
      <c r="A1487" s="3"/>
      <c r="B1487" s="40"/>
      <c r="C1487" s="41"/>
      <c r="D1487" s="40"/>
      <c r="E1487" s="41"/>
      <c r="F1487" s="42"/>
      <c r="G1487" s="41"/>
    </row>
    <row r="1488" spans="1:14" x14ac:dyDescent="0.25">
      <c r="A1488" s="4" t="s">
        <v>5</v>
      </c>
      <c r="B1488" s="33" t="s">
        <v>23</v>
      </c>
      <c r="C1488" s="34" t="s">
        <v>1074</v>
      </c>
      <c r="D1488" s="33" t="s">
        <v>23</v>
      </c>
      <c r="E1488" s="34" t="s">
        <v>1074</v>
      </c>
      <c r="F1488" s="33" t="s">
        <v>23</v>
      </c>
      <c r="G1488" s="38" t="s">
        <v>1074</v>
      </c>
    </row>
    <row r="1489" spans="1:8" x14ac:dyDescent="0.25">
      <c r="A1489" s="2"/>
      <c r="B1489" s="37"/>
      <c r="C1489" s="38"/>
      <c r="D1489" s="37" t="s">
        <v>518</v>
      </c>
      <c r="E1489" s="38" t="s">
        <v>1072</v>
      </c>
      <c r="F1489" s="37" t="s">
        <v>820</v>
      </c>
      <c r="G1489" s="38" t="s">
        <v>1073</v>
      </c>
    </row>
    <row r="1490" spans="1:8" x14ac:dyDescent="0.25">
      <c r="A1490" s="3"/>
      <c r="B1490" s="40"/>
      <c r="C1490" s="41"/>
      <c r="D1490" s="40"/>
      <c r="E1490" s="41"/>
      <c r="F1490" s="42" t="s">
        <v>821</v>
      </c>
      <c r="G1490" s="41" t="s">
        <v>1077</v>
      </c>
    </row>
    <row r="1491" spans="1:8" x14ac:dyDescent="0.25">
      <c r="A1491" s="4" t="s">
        <v>7</v>
      </c>
      <c r="B1491" s="33"/>
      <c r="C1491" s="34"/>
      <c r="D1491" s="33"/>
      <c r="E1491" s="34"/>
      <c r="F1491" s="39"/>
      <c r="G1491" s="38"/>
    </row>
    <row r="1492" spans="1:8" x14ac:dyDescent="0.25">
      <c r="A1492" s="2"/>
      <c r="B1492" s="37"/>
      <c r="C1492" s="38"/>
      <c r="D1492" s="37"/>
      <c r="E1492" s="36"/>
      <c r="F1492" s="38"/>
      <c r="G1492" s="39"/>
    </row>
    <row r="1493" spans="1:8" x14ac:dyDescent="0.25">
      <c r="A1493" s="3"/>
      <c r="B1493" s="40"/>
      <c r="C1493" s="41"/>
      <c r="D1493" s="40"/>
      <c r="E1493" s="41"/>
      <c r="F1493" s="42"/>
      <c r="G1493" s="41"/>
    </row>
    <row r="1494" spans="1:8" x14ac:dyDescent="0.25">
      <c r="A1494" s="4" t="s">
        <v>8</v>
      </c>
      <c r="B1494" s="33" t="s">
        <v>285</v>
      </c>
      <c r="C1494" s="34" t="s">
        <v>1074</v>
      </c>
      <c r="D1494" s="33" t="s">
        <v>168</v>
      </c>
      <c r="E1494" s="34" t="s">
        <v>1073</v>
      </c>
      <c r="F1494" s="35" t="s">
        <v>167</v>
      </c>
      <c r="G1494" s="38" t="s">
        <v>1072</v>
      </c>
    </row>
    <row r="1495" spans="1:8" x14ac:dyDescent="0.25">
      <c r="A1495" s="2"/>
      <c r="B1495" s="37" t="s">
        <v>172</v>
      </c>
      <c r="C1495" s="38" t="s">
        <v>1072</v>
      </c>
      <c r="D1495" s="37" t="s">
        <v>213</v>
      </c>
      <c r="E1495" s="38" t="s">
        <v>1077</v>
      </c>
      <c r="F1495" s="39" t="s">
        <v>231</v>
      </c>
      <c r="G1495" s="38" t="s">
        <v>1074</v>
      </c>
    </row>
    <row r="1496" spans="1:8" x14ac:dyDescent="0.25">
      <c r="A1496" s="3"/>
      <c r="B1496" s="40" t="s">
        <v>168</v>
      </c>
      <c r="C1496" s="41" t="s">
        <v>1073</v>
      </c>
      <c r="D1496" s="40"/>
      <c r="E1496" s="41"/>
      <c r="F1496" s="42" t="s">
        <v>168</v>
      </c>
      <c r="G1496" s="41" t="s">
        <v>1073</v>
      </c>
    </row>
    <row r="1497" spans="1:8" x14ac:dyDescent="0.25">
      <c r="A1497" s="2" t="s">
        <v>9</v>
      </c>
      <c r="B1497" s="37"/>
      <c r="C1497" s="38"/>
      <c r="D1497" s="37" t="s">
        <v>519</v>
      </c>
      <c r="E1497" s="38" t="s">
        <v>1074</v>
      </c>
      <c r="F1497" s="39" t="s">
        <v>822</v>
      </c>
      <c r="G1497" s="38" t="s">
        <v>1073</v>
      </c>
    </row>
    <row r="1498" spans="1:8" x14ac:dyDescent="0.25">
      <c r="A1498" s="2"/>
      <c r="B1498" s="37"/>
      <c r="C1498" s="38"/>
      <c r="D1498" s="37" t="s">
        <v>520</v>
      </c>
      <c r="E1498" s="38" t="s">
        <v>1072</v>
      </c>
      <c r="F1498" s="48"/>
      <c r="G1498" s="38"/>
    </row>
    <row r="1499" spans="1:8" x14ac:dyDescent="0.25">
      <c r="A1499" s="3"/>
      <c r="B1499" s="40"/>
      <c r="C1499" s="41"/>
      <c r="D1499" s="40"/>
      <c r="E1499" s="41"/>
      <c r="F1499" s="42"/>
      <c r="G1499" s="41"/>
    </row>
    <row r="1500" spans="1:8" x14ac:dyDescent="0.25">
      <c r="A1500" s="2" t="s">
        <v>1224</v>
      </c>
      <c r="B1500" s="37" t="s">
        <v>1280</v>
      </c>
      <c r="C1500" s="38" t="s">
        <v>1074</v>
      </c>
      <c r="D1500" s="37" t="s">
        <v>1344</v>
      </c>
      <c r="E1500" s="38" t="s">
        <v>1072</v>
      </c>
      <c r="F1500" s="37" t="s">
        <v>1280</v>
      </c>
      <c r="G1500" s="36" t="s">
        <v>1074</v>
      </c>
      <c r="H1500" s="8"/>
    </row>
    <row r="1501" spans="1:8" x14ac:dyDescent="0.25">
      <c r="A1501" s="2"/>
      <c r="B1501" s="44"/>
      <c r="C1501" s="38"/>
      <c r="D1501" s="37" t="s">
        <v>1345</v>
      </c>
      <c r="E1501" s="38" t="s">
        <v>1073</v>
      </c>
      <c r="F1501" s="39"/>
      <c r="G1501" s="36"/>
      <c r="H1501" s="8"/>
    </row>
    <row r="1502" spans="1:8" x14ac:dyDescent="0.25">
      <c r="A1502" s="3"/>
      <c r="B1502" s="40"/>
      <c r="C1502" s="41"/>
      <c r="D1502" s="40"/>
      <c r="E1502" s="41"/>
      <c r="F1502" s="42"/>
      <c r="G1502" s="43"/>
      <c r="H1502" s="8"/>
    </row>
    <row r="1504" spans="1:8" x14ac:dyDescent="0.25">
      <c r="A1504" s="1">
        <v>76</v>
      </c>
      <c r="B1504" s="29" t="s">
        <v>1193</v>
      </c>
      <c r="C1504" s="30"/>
      <c r="D1504" s="29" t="s">
        <v>1218</v>
      </c>
      <c r="E1504" s="30"/>
      <c r="F1504" s="31" t="s">
        <v>1218</v>
      </c>
      <c r="G1504" s="49"/>
    </row>
    <row r="1505" spans="1:14" x14ac:dyDescent="0.25">
      <c r="A1505" s="4" t="s">
        <v>6</v>
      </c>
      <c r="B1505" s="33" t="s">
        <v>669</v>
      </c>
      <c r="C1505" s="34" t="s">
        <v>1074</v>
      </c>
      <c r="D1505" s="33" t="s">
        <v>982</v>
      </c>
      <c r="E1505" s="34" t="s">
        <v>1072</v>
      </c>
      <c r="F1505" s="35" t="s">
        <v>669</v>
      </c>
      <c r="G1505" s="34" t="s">
        <v>1074</v>
      </c>
      <c r="I1505" s="7">
        <v>1</v>
      </c>
      <c r="J1505" s="6">
        <v>0.33333333333333337</v>
      </c>
      <c r="K1505" s="7">
        <v>1</v>
      </c>
      <c r="L1505" s="6">
        <v>1</v>
      </c>
      <c r="M1505" s="7">
        <v>1</v>
      </c>
      <c r="N1505" s="7">
        <v>1</v>
      </c>
    </row>
    <row r="1506" spans="1:14" x14ac:dyDescent="0.25">
      <c r="A1506" s="2"/>
      <c r="B1506" s="37"/>
      <c r="C1506" s="38"/>
      <c r="D1506" s="37" t="s">
        <v>983</v>
      </c>
      <c r="E1506" s="38" t="s">
        <v>1073</v>
      </c>
      <c r="F1506" s="39" t="s">
        <v>670</v>
      </c>
      <c r="G1506" s="38" t="s">
        <v>1074</v>
      </c>
    </row>
    <row r="1507" spans="1:14" x14ac:dyDescent="0.25">
      <c r="A1507" s="3"/>
      <c r="B1507" s="40"/>
      <c r="C1507" s="41"/>
      <c r="D1507" s="40" t="s">
        <v>984</v>
      </c>
      <c r="E1507" s="41" t="s">
        <v>1074</v>
      </c>
      <c r="F1507" s="42"/>
      <c r="G1507" s="41"/>
    </row>
    <row r="1508" spans="1:14" x14ac:dyDescent="0.25">
      <c r="A1508" s="4" t="s">
        <v>5</v>
      </c>
      <c r="B1508" s="33"/>
      <c r="C1508" s="34"/>
      <c r="D1508" s="33"/>
      <c r="E1508" s="34"/>
      <c r="F1508" s="35" t="s">
        <v>671</v>
      </c>
      <c r="G1508" s="38" t="s">
        <v>1074</v>
      </c>
    </row>
    <row r="1509" spans="1:14" x14ac:dyDescent="0.25">
      <c r="A1509" s="2"/>
      <c r="B1509" s="37"/>
      <c r="C1509" s="38"/>
      <c r="D1509" s="37"/>
      <c r="E1509" s="38"/>
      <c r="F1509" s="37"/>
      <c r="G1509" s="38"/>
    </row>
    <row r="1510" spans="1:14" x14ac:dyDescent="0.25">
      <c r="A1510" s="3"/>
      <c r="B1510" s="40"/>
      <c r="C1510" s="41"/>
      <c r="D1510" s="40"/>
      <c r="E1510" s="41"/>
      <c r="F1510" s="42"/>
      <c r="G1510" s="41"/>
    </row>
    <row r="1511" spans="1:14" x14ac:dyDescent="0.25">
      <c r="A1511" s="4" t="s">
        <v>7</v>
      </c>
      <c r="B1511" s="33" t="s">
        <v>943</v>
      </c>
      <c r="C1511" s="34" t="s">
        <v>1074</v>
      </c>
      <c r="D1511" s="33" t="s">
        <v>672</v>
      </c>
      <c r="E1511" s="34" t="s">
        <v>1074</v>
      </c>
      <c r="F1511" s="39" t="s">
        <v>672</v>
      </c>
      <c r="G1511" s="38" t="s">
        <v>1074</v>
      </c>
    </row>
    <row r="1512" spans="1:14" x14ac:dyDescent="0.25">
      <c r="A1512" s="2"/>
      <c r="B1512" s="37" t="s">
        <v>944</v>
      </c>
      <c r="C1512" s="38" t="s">
        <v>1074</v>
      </c>
      <c r="D1512" s="37"/>
      <c r="E1512" s="36"/>
      <c r="F1512" s="38"/>
      <c r="G1512" s="39"/>
    </row>
    <row r="1513" spans="1:14" x14ac:dyDescent="0.25">
      <c r="A1513" s="3"/>
      <c r="B1513" s="40"/>
      <c r="C1513" s="41"/>
      <c r="D1513" s="40"/>
      <c r="E1513" s="41"/>
      <c r="F1513" s="42"/>
      <c r="G1513" s="41"/>
    </row>
    <row r="1514" spans="1:14" x14ac:dyDescent="0.25">
      <c r="A1514" s="4" t="s">
        <v>8</v>
      </c>
      <c r="B1514" s="33" t="s">
        <v>200</v>
      </c>
      <c r="C1514" s="34" t="s">
        <v>1074</v>
      </c>
      <c r="D1514" s="33" t="s">
        <v>200</v>
      </c>
      <c r="E1514" s="34" t="s">
        <v>1074</v>
      </c>
      <c r="F1514" s="35" t="s">
        <v>200</v>
      </c>
      <c r="G1514" s="38" t="s">
        <v>1074</v>
      </c>
    </row>
    <row r="1515" spans="1:14" x14ac:dyDescent="0.25">
      <c r="A1515" s="2"/>
      <c r="B1515" s="37"/>
      <c r="C1515" s="38"/>
      <c r="D1515" s="37" t="s">
        <v>168</v>
      </c>
      <c r="E1515" s="38" t="s">
        <v>1072</v>
      </c>
      <c r="F1515" s="39"/>
      <c r="G1515" s="38"/>
    </row>
    <row r="1516" spans="1:14" x14ac:dyDescent="0.25">
      <c r="A1516" s="3"/>
      <c r="B1516" s="40"/>
      <c r="C1516" s="41"/>
      <c r="D1516" s="40" t="s">
        <v>172</v>
      </c>
      <c r="E1516" s="41" t="s">
        <v>1073</v>
      </c>
      <c r="F1516" s="42"/>
      <c r="G1516" s="41"/>
    </row>
    <row r="1517" spans="1:14" x14ac:dyDescent="0.25">
      <c r="A1517" s="2" t="s">
        <v>9</v>
      </c>
      <c r="B1517" s="37" t="s">
        <v>945</v>
      </c>
      <c r="C1517" s="38" t="s">
        <v>1074</v>
      </c>
      <c r="D1517" s="37" t="s">
        <v>985</v>
      </c>
      <c r="E1517" s="38" t="s">
        <v>1072</v>
      </c>
      <c r="F1517" s="39" t="s">
        <v>673</v>
      </c>
      <c r="G1517" s="38" t="s">
        <v>1072</v>
      </c>
    </row>
    <row r="1518" spans="1:14" x14ac:dyDescent="0.25">
      <c r="A1518" s="2"/>
      <c r="B1518" s="37" t="s">
        <v>1083</v>
      </c>
      <c r="C1518" s="38" t="s">
        <v>1072</v>
      </c>
      <c r="D1518" s="37" t="s">
        <v>986</v>
      </c>
      <c r="E1518" s="38" t="s">
        <v>1073</v>
      </c>
      <c r="F1518" s="48"/>
      <c r="G1518" s="38"/>
    </row>
    <row r="1519" spans="1:14" x14ac:dyDescent="0.25">
      <c r="A1519" s="3"/>
      <c r="B1519" s="40"/>
      <c r="C1519" s="41"/>
      <c r="D1519" s="40"/>
      <c r="E1519" s="41"/>
      <c r="F1519" s="42"/>
      <c r="G1519" s="41"/>
    </row>
    <row r="1520" spans="1:14" x14ac:dyDescent="0.25">
      <c r="A1520" s="2" t="s">
        <v>1224</v>
      </c>
      <c r="B1520" s="37" t="s">
        <v>1281</v>
      </c>
      <c r="C1520" s="38" t="s">
        <v>1072</v>
      </c>
      <c r="D1520" s="37" t="s">
        <v>1346</v>
      </c>
      <c r="E1520" s="38" t="s">
        <v>1074</v>
      </c>
      <c r="F1520" s="39" t="s">
        <v>1390</v>
      </c>
      <c r="G1520" s="36" t="s">
        <v>1074</v>
      </c>
      <c r="H1520" s="8"/>
    </row>
    <row r="1521" spans="1:14" x14ac:dyDescent="0.25">
      <c r="A1521" s="2"/>
      <c r="B1521" s="44"/>
      <c r="C1521" s="38"/>
      <c r="D1521" s="37" t="s">
        <v>1343</v>
      </c>
      <c r="E1521" s="38" t="s">
        <v>1073</v>
      </c>
      <c r="F1521" s="39"/>
      <c r="G1521" s="36"/>
      <c r="H1521" s="8"/>
    </row>
    <row r="1522" spans="1:14" x14ac:dyDescent="0.25">
      <c r="A1522" s="3"/>
      <c r="B1522" s="40"/>
      <c r="C1522" s="41"/>
      <c r="D1522" s="40"/>
      <c r="E1522" s="41"/>
      <c r="F1522" s="42"/>
      <c r="G1522" s="43"/>
      <c r="H1522" s="8"/>
    </row>
    <row r="1524" spans="1:14" x14ac:dyDescent="0.25">
      <c r="A1524" s="1">
        <v>77</v>
      </c>
      <c r="B1524" s="29" t="s">
        <v>1194</v>
      </c>
      <c r="C1524" s="30"/>
      <c r="D1524" s="29" t="s">
        <v>1218</v>
      </c>
      <c r="E1524" s="30"/>
      <c r="F1524" s="31" t="s">
        <v>1218</v>
      </c>
      <c r="G1524" s="49"/>
    </row>
    <row r="1525" spans="1:14" x14ac:dyDescent="0.25">
      <c r="A1525" s="4" t="s">
        <v>6</v>
      </c>
      <c r="B1525" s="33" t="s">
        <v>946</v>
      </c>
      <c r="C1525" s="34" t="s">
        <v>1074</v>
      </c>
      <c r="D1525" s="33" t="s">
        <v>1112</v>
      </c>
      <c r="E1525" s="34" t="s">
        <v>1074</v>
      </c>
      <c r="F1525" s="35" t="s">
        <v>674</v>
      </c>
      <c r="G1525" s="34" t="s">
        <v>1074</v>
      </c>
      <c r="I1525" s="7">
        <v>1</v>
      </c>
      <c r="J1525" s="6">
        <v>1</v>
      </c>
      <c r="K1525" s="7">
        <v>0.33333333333333337</v>
      </c>
      <c r="L1525" s="6">
        <v>1</v>
      </c>
      <c r="M1525" s="7">
        <v>1</v>
      </c>
      <c r="N1525" s="7">
        <v>1</v>
      </c>
    </row>
    <row r="1526" spans="1:14" x14ac:dyDescent="0.25">
      <c r="A1526" s="2"/>
      <c r="B1526" s="37"/>
      <c r="C1526" s="38"/>
      <c r="D1526" s="37" t="s">
        <v>987</v>
      </c>
      <c r="E1526" s="38" t="s">
        <v>1072</v>
      </c>
      <c r="F1526" s="39" t="s">
        <v>675</v>
      </c>
      <c r="G1526" s="38" t="s">
        <v>1072</v>
      </c>
    </row>
    <row r="1527" spans="1:14" x14ac:dyDescent="0.25">
      <c r="A1527" s="3"/>
      <c r="B1527" s="40"/>
      <c r="C1527" s="41"/>
      <c r="D1527" s="40"/>
      <c r="E1527" s="41"/>
      <c r="F1527" s="42"/>
      <c r="G1527" s="41"/>
    </row>
    <row r="1528" spans="1:14" x14ac:dyDescent="0.25">
      <c r="A1528" s="4" t="s">
        <v>5</v>
      </c>
      <c r="B1528" s="33" t="s">
        <v>23</v>
      </c>
      <c r="C1528" s="34" t="s">
        <v>1074</v>
      </c>
      <c r="D1528" s="33" t="s">
        <v>23</v>
      </c>
      <c r="E1528" s="34" t="s">
        <v>1074</v>
      </c>
      <c r="F1528" s="35" t="s">
        <v>23</v>
      </c>
      <c r="G1528" s="38" t="s">
        <v>1074</v>
      </c>
    </row>
    <row r="1529" spans="1:14" x14ac:dyDescent="0.25">
      <c r="A1529" s="2"/>
      <c r="B1529" s="37"/>
      <c r="C1529" s="38"/>
      <c r="D1529" s="37"/>
      <c r="E1529" s="38"/>
      <c r="F1529" s="37"/>
      <c r="G1529" s="38"/>
    </row>
    <row r="1530" spans="1:14" x14ac:dyDescent="0.25">
      <c r="A1530" s="3"/>
      <c r="B1530" s="40"/>
      <c r="C1530" s="41"/>
      <c r="D1530" s="40"/>
      <c r="E1530" s="41"/>
      <c r="F1530" s="42"/>
      <c r="G1530" s="41"/>
    </row>
    <row r="1531" spans="1:14" x14ac:dyDescent="0.25">
      <c r="A1531" s="4" t="s">
        <v>7</v>
      </c>
      <c r="B1531" s="33" t="s">
        <v>1084</v>
      </c>
      <c r="C1531" s="34" t="s">
        <v>1074</v>
      </c>
      <c r="D1531" s="33"/>
      <c r="E1531" s="34"/>
      <c r="F1531" s="39" t="s">
        <v>574</v>
      </c>
      <c r="G1531" s="38" t="s">
        <v>1074</v>
      </c>
    </row>
    <row r="1532" spans="1:14" x14ac:dyDescent="0.25">
      <c r="A1532" s="2"/>
      <c r="B1532" s="37"/>
      <c r="C1532" s="38"/>
      <c r="D1532" s="37"/>
      <c r="E1532" s="36"/>
      <c r="F1532" s="38"/>
      <c r="G1532" s="39"/>
    </row>
    <row r="1533" spans="1:14" x14ac:dyDescent="0.25">
      <c r="A1533" s="3"/>
      <c r="B1533" s="40"/>
      <c r="C1533" s="41"/>
      <c r="D1533" s="40"/>
      <c r="E1533" s="41"/>
      <c r="F1533" s="42"/>
      <c r="G1533" s="41"/>
    </row>
    <row r="1534" spans="1:14" x14ac:dyDescent="0.25">
      <c r="A1534" s="4" t="s">
        <v>8</v>
      </c>
      <c r="B1534" s="33" t="s">
        <v>168</v>
      </c>
      <c r="C1534" s="34" t="s">
        <v>1074</v>
      </c>
      <c r="D1534" s="33" t="s">
        <v>217</v>
      </c>
      <c r="E1534" s="34" t="s">
        <v>1072</v>
      </c>
      <c r="F1534" s="35" t="s">
        <v>285</v>
      </c>
      <c r="G1534" s="38" t="s">
        <v>1072</v>
      </c>
    </row>
    <row r="1535" spans="1:14" x14ac:dyDescent="0.25">
      <c r="A1535" s="2"/>
      <c r="B1535" s="37" t="s">
        <v>217</v>
      </c>
      <c r="C1535" s="38" t="s">
        <v>1072</v>
      </c>
      <c r="D1535" s="37" t="s">
        <v>172</v>
      </c>
      <c r="E1535" s="38" t="s">
        <v>1073</v>
      </c>
      <c r="F1535" s="39"/>
      <c r="G1535" s="38"/>
    </row>
    <row r="1536" spans="1:14" x14ac:dyDescent="0.25">
      <c r="A1536" s="3"/>
      <c r="B1536" s="40"/>
      <c r="C1536" s="41"/>
      <c r="D1536" s="40"/>
      <c r="E1536" s="41"/>
      <c r="F1536" s="42"/>
      <c r="G1536" s="41"/>
    </row>
    <row r="1537" spans="1:14" x14ac:dyDescent="0.25">
      <c r="A1537" s="2" t="s">
        <v>9</v>
      </c>
      <c r="B1537" s="37" t="s">
        <v>1085</v>
      </c>
      <c r="C1537" s="38" t="s">
        <v>1074</v>
      </c>
      <c r="D1537" s="37" t="s">
        <v>988</v>
      </c>
      <c r="E1537" s="38" t="s">
        <v>1074</v>
      </c>
      <c r="F1537" s="39" t="s">
        <v>676</v>
      </c>
      <c r="G1537" s="38" t="s">
        <v>1074</v>
      </c>
    </row>
    <row r="1538" spans="1:14" x14ac:dyDescent="0.25">
      <c r="A1538" s="2"/>
      <c r="B1538" s="37"/>
      <c r="C1538" s="38"/>
      <c r="D1538" s="37" t="s">
        <v>989</v>
      </c>
      <c r="E1538" s="38" t="s">
        <v>1072</v>
      </c>
      <c r="F1538" s="48"/>
      <c r="G1538" s="38"/>
    </row>
    <row r="1539" spans="1:14" x14ac:dyDescent="0.25">
      <c r="A1539" s="3"/>
      <c r="B1539" s="40"/>
      <c r="C1539" s="41"/>
      <c r="D1539" s="40"/>
      <c r="E1539" s="41"/>
      <c r="F1539" s="42"/>
      <c r="G1539" s="41"/>
    </row>
    <row r="1540" spans="1:14" x14ac:dyDescent="0.25">
      <c r="A1540" s="2" t="s">
        <v>1224</v>
      </c>
      <c r="B1540" s="37"/>
      <c r="C1540" s="38"/>
      <c r="D1540" s="37" t="s">
        <v>1347</v>
      </c>
      <c r="E1540" s="38" t="s">
        <v>1074</v>
      </c>
      <c r="F1540" s="39" t="s">
        <v>1391</v>
      </c>
      <c r="G1540" s="36" t="s">
        <v>1074</v>
      </c>
      <c r="H1540" s="8"/>
    </row>
    <row r="1541" spans="1:14" x14ac:dyDescent="0.25">
      <c r="A1541" s="2"/>
      <c r="B1541" s="44"/>
      <c r="C1541" s="38"/>
      <c r="D1541" s="37"/>
      <c r="E1541" s="38"/>
      <c r="F1541" s="39"/>
      <c r="G1541" s="36"/>
      <c r="H1541" s="8"/>
    </row>
    <row r="1542" spans="1:14" x14ac:dyDescent="0.25">
      <c r="A1542" s="3"/>
      <c r="B1542" s="40"/>
      <c r="C1542" s="41"/>
      <c r="D1542" s="40"/>
      <c r="E1542" s="41"/>
      <c r="F1542" s="42"/>
      <c r="G1542" s="43"/>
      <c r="H1542" s="8"/>
    </row>
    <row r="1544" spans="1:14" x14ac:dyDescent="0.25">
      <c r="A1544" s="1">
        <v>78</v>
      </c>
      <c r="B1544" s="29" t="s">
        <v>1195</v>
      </c>
      <c r="C1544" s="30"/>
      <c r="D1544" s="29" t="s">
        <v>1218</v>
      </c>
      <c r="E1544" s="30"/>
      <c r="F1544" s="31" t="s">
        <v>1218</v>
      </c>
      <c r="G1544" s="49"/>
    </row>
    <row r="1545" spans="1:14" x14ac:dyDescent="0.25">
      <c r="A1545" s="4" t="s">
        <v>6</v>
      </c>
      <c r="B1545" s="33" t="s">
        <v>677</v>
      </c>
      <c r="C1545" s="34" t="s">
        <v>1074</v>
      </c>
      <c r="D1545" s="33" t="s">
        <v>990</v>
      </c>
      <c r="E1545" s="34" t="s">
        <v>1074</v>
      </c>
      <c r="F1545" s="35" t="s">
        <v>677</v>
      </c>
      <c r="G1545" s="34" t="s">
        <v>1074</v>
      </c>
      <c r="I1545" s="7">
        <v>1</v>
      </c>
      <c r="J1545" s="6">
        <v>1</v>
      </c>
      <c r="K1545" s="7">
        <v>1</v>
      </c>
      <c r="L1545" s="6">
        <v>1</v>
      </c>
      <c r="M1545" s="7">
        <v>0</v>
      </c>
      <c r="N1545" s="7">
        <v>0</v>
      </c>
    </row>
    <row r="1546" spans="1:14" x14ac:dyDescent="0.25">
      <c r="A1546" s="2"/>
      <c r="B1546" s="37"/>
      <c r="C1546" s="38"/>
      <c r="D1546" s="37" t="s">
        <v>991</v>
      </c>
      <c r="E1546" s="38" t="s">
        <v>1072</v>
      </c>
      <c r="F1546" s="39"/>
      <c r="G1546" s="38"/>
    </row>
    <row r="1547" spans="1:14" x14ac:dyDescent="0.25">
      <c r="A1547" s="3"/>
      <c r="B1547" s="40"/>
      <c r="C1547" s="41"/>
      <c r="D1547" s="40"/>
      <c r="E1547" s="41"/>
      <c r="F1547" s="42"/>
      <c r="G1547" s="41"/>
    </row>
    <row r="1548" spans="1:14" x14ac:dyDescent="0.25">
      <c r="A1548" s="4" t="s">
        <v>5</v>
      </c>
      <c r="B1548" s="33" t="s">
        <v>288</v>
      </c>
      <c r="C1548" s="34" t="s">
        <v>1074</v>
      </c>
      <c r="D1548" s="33" t="s">
        <v>288</v>
      </c>
      <c r="E1548" s="34" t="s">
        <v>1074</v>
      </c>
      <c r="F1548" s="35" t="s">
        <v>288</v>
      </c>
      <c r="G1548" s="38" t="s">
        <v>1074</v>
      </c>
    </row>
    <row r="1549" spans="1:14" x14ac:dyDescent="0.25">
      <c r="A1549" s="2"/>
      <c r="B1549" s="37"/>
      <c r="C1549" s="38"/>
      <c r="D1549" s="37"/>
      <c r="E1549" s="38"/>
      <c r="F1549" s="37"/>
      <c r="G1549" s="38"/>
    </row>
    <row r="1550" spans="1:14" x14ac:dyDescent="0.25">
      <c r="A1550" s="3"/>
      <c r="B1550" s="40"/>
      <c r="C1550" s="41"/>
      <c r="D1550" s="40"/>
      <c r="E1550" s="41"/>
      <c r="F1550" s="42"/>
      <c r="G1550" s="41"/>
    </row>
    <row r="1551" spans="1:14" x14ac:dyDescent="0.25">
      <c r="A1551" s="4" t="s">
        <v>7</v>
      </c>
      <c r="B1551" s="33"/>
      <c r="C1551" s="34"/>
      <c r="D1551" s="33"/>
      <c r="E1551" s="34"/>
      <c r="F1551" s="39"/>
      <c r="G1551" s="38"/>
    </row>
    <row r="1552" spans="1:14" x14ac:dyDescent="0.25">
      <c r="A1552" s="2"/>
      <c r="B1552" s="37"/>
      <c r="C1552" s="38"/>
      <c r="D1552" s="37"/>
      <c r="E1552" s="36"/>
      <c r="F1552" s="38"/>
      <c r="G1552" s="39"/>
    </row>
    <row r="1553" spans="1:14" x14ac:dyDescent="0.25">
      <c r="A1553" s="3"/>
      <c r="B1553" s="40"/>
      <c r="C1553" s="41"/>
      <c r="D1553" s="40"/>
      <c r="E1553" s="41"/>
      <c r="F1553" s="42"/>
      <c r="G1553" s="41"/>
    </row>
    <row r="1554" spans="1:14" x14ac:dyDescent="0.25">
      <c r="A1554" s="4" t="s">
        <v>8</v>
      </c>
      <c r="B1554" s="33" t="s">
        <v>172</v>
      </c>
      <c r="C1554" s="34" t="s">
        <v>1074</v>
      </c>
      <c r="D1554" s="33" t="s">
        <v>172</v>
      </c>
      <c r="E1554" s="34" t="s">
        <v>1074</v>
      </c>
      <c r="F1554" s="35" t="s">
        <v>172</v>
      </c>
      <c r="G1554" s="38" t="s">
        <v>1074</v>
      </c>
    </row>
    <row r="1555" spans="1:14" x14ac:dyDescent="0.25">
      <c r="A1555" s="2"/>
      <c r="B1555" s="37"/>
      <c r="C1555" s="38"/>
      <c r="D1555" s="37" t="s">
        <v>217</v>
      </c>
      <c r="E1555" s="38" t="s">
        <v>1072</v>
      </c>
      <c r="F1555" s="39"/>
      <c r="G1555" s="38"/>
    </row>
    <row r="1556" spans="1:14" x14ac:dyDescent="0.25">
      <c r="A1556" s="3"/>
      <c r="B1556" s="40"/>
      <c r="C1556" s="41"/>
      <c r="D1556" s="40"/>
      <c r="E1556" s="41"/>
      <c r="F1556" s="42"/>
      <c r="G1556" s="41"/>
    </row>
    <row r="1557" spans="1:14" x14ac:dyDescent="0.25">
      <c r="A1557" s="2" t="s">
        <v>9</v>
      </c>
      <c r="B1557" s="37" t="s">
        <v>947</v>
      </c>
      <c r="C1557" s="38" t="s">
        <v>1074</v>
      </c>
      <c r="D1557" s="37"/>
      <c r="E1557" s="38"/>
      <c r="F1557" s="39" t="s">
        <v>678</v>
      </c>
      <c r="G1557" s="38" t="s">
        <v>1072</v>
      </c>
    </row>
    <row r="1558" spans="1:14" x14ac:dyDescent="0.25">
      <c r="A1558" s="2"/>
      <c r="B1558" s="37"/>
      <c r="C1558" s="38"/>
      <c r="D1558" s="37"/>
      <c r="E1558" s="38"/>
      <c r="F1558" s="48"/>
      <c r="G1558" s="38"/>
    </row>
    <row r="1559" spans="1:14" x14ac:dyDescent="0.25">
      <c r="A1559" s="3"/>
      <c r="B1559" s="40"/>
      <c r="C1559" s="41"/>
      <c r="D1559" s="40"/>
      <c r="E1559" s="41"/>
      <c r="F1559" s="42"/>
      <c r="G1559" s="41"/>
    </row>
    <row r="1560" spans="1:14" x14ac:dyDescent="0.25">
      <c r="A1560" s="2" t="s">
        <v>1224</v>
      </c>
      <c r="B1560" s="37" t="s">
        <v>1282</v>
      </c>
      <c r="C1560" s="38" t="s">
        <v>1072</v>
      </c>
      <c r="D1560" s="37" t="s">
        <v>1348</v>
      </c>
      <c r="E1560" s="38" t="s">
        <v>1074</v>
      </c>
      <c r="F1560" s="37" t="s">
        <v>1348</v>
      </c>
      <c r="G1560" s="36" t="s">
        <v>1074</v>
      </c>
      <c r="H1560" s="8"/>
    </row>
    <row r="1561" spans="1:14" x14ac:dyDescent="0.25">
      <c r="A1561" s="2"/>
      <c r="B1561" s="44"/>
      <c r="C1561" s="38"/>
      <c r="D1561" s="37"/>
      <c r="E1561" s="38"/>
      <c r="F1561" s="39"/>
      <c r="G1561" s="36"/>
      <c r="H1561" s="8"/>
    </row>
    <row r="1562" spans="1:14" x14ac:dyDescent="0.25">
      <c r="A1562" s="3"/>
      <c r="B1562" s="40"/>
      <c r="C1562" s="41"/>
      <c r="D1562" s="40"/>
      <c r="E1562" s="41"/>
      <c r="F1562" s="42"/>
      <c r="G1562" s="43"/>
      <c r="H1562" s="8"/>
    </row>
    <row r="1564" spans="1:14" x14ac:dyDescent="0.25">
      <c r="A1564" s="1">
        <v>79</v>
      </c>
      <c r="B1564" s="29" t="s">
        <v>1196</v>
      </c>
      <c r="C1564" s="30"/>
      <c r="D1564" s="29" t="s">
        <v>1218</v>
      </c>
      <c r="E1564" s="30"/>
      <c r="F1564" s="31" t="s">
        <v>1218</v>
      </c>
      <c r="G1564" s="49"/>
    </row>
    <row r="1565" spans="1:14" x14ac:dyDescent="0.25">
      <c r="A1565" s="4" t="s">
        <v>6</v>
      </c>
      <c r="B1565" s="33" t="s">
        <v>679</v>
      </c>
      <c r="C1565" s="34" t="s">
        <v>1074</v>
      </c>
      <c r="D1565" s="33" t="s">
        <v>992</v>
      </c>
      <c r="E1565" s="34" t="s">
        <v>1074</v>
      </c>
      <c r="F1565" s="35" t="s">
        <v>679</v>
      </c>
      <c r="G1565" s="34" t="s">
        <v>1074</v>
      </c>
      <c r="I1565" s="7">
        <v>1</v>
      </c>
      <c r="J1565" s="6">
        <v>0.33333333333333337</v>
      </c>
      <c r="K1565" s="7">
        <v>0.33333333333333337</v>
      </c>
      <c r="L1565" s="6">
        <v>1</v>
      </c>
      <c r="M1565" s="7">
        <v>1</v>
      </c>
      <c r="N1565" s="7">
        <v>1</v>
      </c>
    </row>
    <row r="1566" spans="1:14" x14ac:dyDescent="0.25">
      <c r="A1566" s="2"/>
      <c r="B1566" s="37"/>
      <c r="C1566" s="38"/>
      <c r="D1566" s="37" t="s">
        <v>993</v>
      </c>
      <c r="E1566" s="38" t="s">
        <v>1072</v>
      </c>
      <c r="F1566" s="39"/>
      <c r="G1566" s="38"/>
    </row>
    <row r="1567" spans="1:14" x14ac:dyDescent="0.25">
      <c r="A1567" s="3"/>
      <c r="B1567" s="40"/>
      <c r="C1567" s="41"/>
      <c r="D1567" s="40"/>
      <c r="E1567" s="41"/>
      <c r="F1567" s="42"/>
      <c r="G1567" s="41"/>
    </row>
    <row r="1568" spans="1:14" x14ac:dyDescent="0.25">
      <c r="A1568" s="4" t="s">
        <v>5</v>
      </c>
      <c r="B1568" s="33" t="s">
        <v>288</v>
      </c>
      <c r="C1568" s="34" t="s">
        <v>1074</v>
      </c>
      <c r="D1568" s="33" t="s">
        <v>288</v>
      </c>
      <c r="E1568" s="34" t="s">
        <v>1074</v>
      </c>
      <c r="F1568" s="35" t="s">
        <v>680</v>
      </c>
      <c r="G1568" s="38" t="s">
        <v>1074</v>
      </c>
    </row>
    <row r="1569" spans="1:8" x14ac:dyDescent="0.25">
      <c r="A1569" s="2"/>
      <c r="B1569" s="37"/>
      <c r="C1569" s="38"/>
      <c r="D1569" s="37"/>
      <c r="E1569" s="38"/>
      <c r="F1569" s="37"/>
      <c r="G1569" s="38"/>
    </row>
    <row r="1570" spans="1:8" x14ac:dyDescent="0.25">
      <c r="A1570" s="3"/>
      <c r="B1570" s="40"/>
      <c r="C1570" s="41"/>
      <c r="D1570" s="40"/>
      <c r="E1570" s="41"/>
      <c r="F1570" s="42"/>
      <c r="G1570" s="41"/>
    </row>
    <row r="1571" spans="1:8" x14ac:dyDescent="0.25">
      <c r="A1571" s="4" t="s">
        <v>7</v>
      </c>
      <c r="C1571" s="34"/>
      <c r="D1571" s="33"/>
      <c r="E1571" s="34"/>
      <c r="F1571" s="39" t="s">
        <v>175</v>
      </c>
      <c r="G1571" s="38" t="s">
        <v>1074</v>
      </c>
    </row>
    <row r="1572" spans="1:8" x14ac:dyDescent="0.25">
      <c r="A1572" s="2"/>
      <c r="B1572" s="37"/>
      <c r="C1572" s="38"/>
      <c r="D1572" s="37"/>
      <c r="E1572" s="36"/>
      <c r="F1572" s="38"/>
      <c r="G1572" s="39"/>
    </row>
    <row r="1573" spans="1:8" x14ac:dyDescent="0.25">
      <c r="A1573" s="3"/>
      <c r="B1573" s="40"/>
      <c r="C1573" s="41"/>
      <c r="D1573" s="40"/>
      <c r="E1573" s="41"/>
      <c r="F1573" s="42"/>
      <c r="G1573" s="41"/>
    </row>
    <row r="1574" spans="1:8" x14ac:dyDescent="0.25">
      <c r="A1574" s="4" t="s">
        <v>8</v>
      </c>
      <c r="B1574" s="33" t="s">
        <v>681</v>
      </c>
      <c r="C1574" s="34" t="s">
        <v>1074</v>
      </c>
      <c r="D1574" s="33" t="s">
        <v>681</v>
      </c>
      <c r="E1574" s="34" t="s">
        <v>1074</v>
      </c>
      <c r="F1574" s="35" t="s">
        <v>681</v>
      </c>
      <c r="G1574" s="38" t="s">
        <v>1074</v>
      </c>
    </row>
    <row r="1575" spans="1:8" x14ac:dyDescent="0.25">
      <c r="A1575" s="2"/>
      <c r="B1575" s="37"/>
      <c r="C1575" s="38"/>
      <c r="D1575" s="37" t="s">
        <v>994</v>
      </c>
      <c r="E1575" s="38" t="s">
        <v>1072</v>
      </c>
      <c r="F1575" s="39"/>
      <c r="G1575" s="38"/>
    </row>
    <row r="1576" spans="1:8" x14ac:dyDescent="0.25">
      <c r="A1576" s="3"/>
      <c r="B1576" s="40"/>
      <c r="C1576" s="41"/>
      <c r="D1576" s="40" t="s">
        <v>200</v>
      </c>
      <c r="E1576" s="41" t="s">
        <v>1073</v>
      </c>
      <c r="F1576" s="42"/>
      <c r="G1576" s="41"/>
    </row>
    <row r="1577" spans="1:8" x14ac:dyDescent="0.25">
      <c r="A1577" s="2" t="s">
        <v>9</v>
      </c>
      <c r="B1577" s="37" t="s">
        <v>948</v>
      </c>
      <c r="C1577" s="38" t="s">
        <v>1074</v>
      </c>
      <c r="D1577" s="37" t="s">
        <v>995</v>
      </c>
      <c r="E1577" s="38" t="s">
        <v>1074</v>
      </c>
      <c r="F1577" s="39" t="s">
        <v>682</v>
      </c>
      <c r="G1577" s="38" t="s">
        <v>1074</v>
      </c>
    </row>
    <row r="1578" spans="1:8" x14ac:dyDescent="0.25">
      <c r="A1578" s="2"/>
      <c r="B1578" s="37"/>
      <c r="C1578" s="38"/>
      <c r="D1578" s="37" t="s">
        <v>996</v>
      </c>
      <c r="E1578" s="38" t="s">
        <v>1072</v>
      </c>
      <c r="F1578" s="48"/>
      <c r="G1578" s="38"/>
    </row>
    <row r="1579" spans="1:8" x14ac:dyDescent="0.25">
      <c r="A1579" s="3"/>
      <c r="B1579" s="40"/>
      <c r="C1579" s="41"/>
      <c r="D1579" s="40"/>
      <c r="E1579" s="41"/>
      <c r="F1579" s="42"/>
      <c r="G1579" s="41"/>
    </row>
    <row r="1580" spans="1:8" x14ac:dyDescent="0.25">
      <c r="A1580" s="2" t="s">
        <v>1224</v>
      </c>
      <c r="B1580" s="37" t="s">
        <v>1283</v>
      </c>
      <c r="C1580" s="38" t="s">
        <v>1074</v>
      </c>
      <c r="D1580" s="37" t="s">
        <v>1349</v>
      </c>
      <c r="E1580" s="38" t="s">
        <v>1072</v>
      </c>
      <c r="F1580" s="37" t="s">
        <v>1283</v>
      </c>
      <c r="G1580" s="36" t="s">
        <v>1074</v>
      </c>
      <c r="H1580" s="8"/>
    </row>
    <row r="1581" spans="1:8" x14ac:dyDescent="0.25">
      <c r="A1581" s="2"/>
      <c r="B1581" s="44"/>
      <c r="C1581" s="38"/>
      <c r="D1581" s="37"/>
      <c r="E1581" s="38"/>
      <c r="F1581" s="39"/>
      <c r="G1581" s="36"/>
      <c r="H1581" s="8"/>
    </row>
    <row r="1582" spans="1:8" x14ac:dyDescent="0.25">
      <c r="A1582" s="3"/>
      <c r="B1582" s="40"/>
      <c r="C1582" s="41"/>
      <c r="D1582" s="40"/>
      <c r="E1582" s="41"/>
      <c r="F1582" s="42"/>
      <c r="G1582" s="43"/>
      <c r="H1582" s="8"/>
    </row>
    <row r="1584" spans="1:8" x14ac:dyDescent="0.25">
      <c r="A1584" s="1">
        <v>80</v>
      </c>
      <c r="B1584" s="29" t="s">
        <v>1197</v>
      </c>
      <c r="C1584" s="30"/>
      <c r="D1584" s="29" t="s">
        <v>1218</v>
      </c>
      <c r="E1584" s="30"/>
      <c r="F1584" s="31" t="s">
        <v>1218</v>
      </c>
      <c r="G1584" s="49"/>
    </row>
    <row r="1585" spans="1:14" x14ac:dyDescent="0.25">
      <c r="A1585" s="4" t="s">
        <v>6</v>
      </c>
      <c r="B1585" s="33" t="s">
        <v>683</v>
      </c>
      <c r="C1585" s="34" t="s">
        <v>1074</v>
      </c>
      <c r="D1585" s="33" t="s">
        <v>997</v>
      </c>
      <c r="E1585" s="34" t="s">
        <v>1074</v>
      </c>
      <c r="F1585" s="35" t="s">
        <v>683</v>
      </c>
      <c r="G1585" s="34" t="s">
        <v>1074</v>
      </c>
      <c r="I1585" s="7">
        <v>1</v>
      </c>
      <c r="J1585" s="6">
        <v>0.33333333333333337</v>
      </c>
      <c r="K1585" s="7">
        <v>1</v>
      </c>
      <c r="L1585" s="6">
        <v>1</v>
      </c>
      <c r="M1585" s="7">
        <v>1</v>
      </c>
      <c r="N1585" s="7">
        <v>1</v>
      </c>
    </row>
    <row r="1586" spans="1:14" x14ac:dyDescent="0.25">
      <c r="A1586" s="2"/>
      <c r="B1586" s="37"/>
      <c r="C1586" s="38"/>
      <c r="D1586" s="37" t="s">
        <v>998</v>
      </c>
      <c r="E1586" s="38" t="s">
        <v>1072</v>
      </c>
      <c r="F1586" s="39" t="s">
        <v>684</v>
      </c>
      <c r="G1586" s="38" t="s">
        <v>1072</v>
      </c>
    </row>
    <row r="1587" spans="1:14" x14ac:dyDescent="0.25">
      <c r="A1587" s="3"/>
      <c r="B1587" s="40"/>
      <c r="C1587" s="41"/>
      <c r="D1587" s="40" t="s">
        <v>999</v>
      </c>
      <c r="E1587" s="41" t="s">
        <v>1073</v>
      </c>
      <c r="F1587" s="42"/>
      <c r="G1587" s="41"/>
    </row>
    <row r="1588" spans="1:14" x14ac:dyDescent="0.25">
      <c r="A1588" s="4" t="s">
        <v>5</v>
      </c>
      <c r="B1588" s="33" t="s">
        <v>288</v>
      </c>
      <c r="C1588" s="34" t="s">
        <v>1074</v>
      </c>
      <c r="D1588" s="33"/>
      <c r="E1588" s="34"/>
      <c r="F1588" s="35" t="s">
        <v>288</v>
      </c>
      <c r="G1588" s="38" t="s">
        <v>1074</v>
      </c>
    </row>
    <row r="1589" spans="1:14" x14ac:dyDescent="0.25">
      <c r="A1589" s="2"/>
      <c r="B1589" s="37"/>
      <c r="C1589" s="38"/>
      <c r="D1589" s="37"/>
      <c r="E1589" s="38"/>
      <c r="F1589" s="37"/>
      <c r="G1589" s="38"/>
    </row>
    <row r="1590" spans="1:14" x14ac:dyDescent="0.25">
      <c r="A1590" s="3"/>
      <c r="B1590" s="40"/>
      <c r="C1590" s="41"/>
      <c r="D1590" s="40"/>
      <c r="E1590" s="41"/>
      <c r="F1590" s="42"/>
      <c r="G1590" s="41"/>
    </row>
    <row r="1591" spans="1:14" x14ac:dyDescent="0.25">
      <c r="A1591" s="4" t="s">
        <v>7</v>
      </c>
      <c r="B1591" s="33"/>
      <c r="C1591" s="34"/>
      <c r="D1591" s="33"/>
      <c r="E1591" s="34"/>
      <c r="F1591" s="39"/>
      <c r="G1591" s="38"/>
    </row>
    <row r="1592" spans="1:14" x14ac:dyDescent="0.25">
      <c r="A1592" s="2"/>
      <c r="B1592" s="37"/>
      <c r="C1592" s="38"/>
      <c r="D1592" s="37"/>
      <c r="E1592" s="36"/>
      <c r="F1592" s="38"/>
      <c r="G1592" s="39"/>
    </row>
    <row r="1593" spans="1:14" x14ac:dyDescent="0.25">
      <c r="A1593" s="3"/>
      <c r="B1593" s="40"/>
      <c r="C1593" s="41"/>
      <c r="D1593" s="40"/>
      <c r="E1593" s="41"/>
      <c r="F1593" s="42"/>
      <c r="G1593" s="41"/>
    </row>
    <row r="1594" spans="1:14" x14ac:dyDescent="0.25">
      <c r="A1594" s="4" t="s">
        <v>8</v>
      </c>
      <c r="B1594" s="33" t="s">
        <v>172</v>
      </c>
      <c r="C1594" s="34" t="s">
        <v>1074</v>
      </c>
      <c r="D1594" s="33" t="s">
        <v>172</v>
      </c>
      <c r="E1594" s="34" t="s">
        <v>1074</v>
      </c>
      <c r="F1594" s="35" t="s">
        <v>172</v>
      </c>
      <c r="G1594" s="38" t="s">
        <v>1074</v>
      </c>
    </row>
    <row r="1595" spans="1:14" x14ac:dyDescent="0.25">
      <c r="A1595" s="2"/>
      <c r="B1595" s="37"/>
      <c r="C1595" s="38"/>
      <c r="D1595" s="37" t="s">
        <v>217</v>
      </c>
      <c r="E1595" s="38" t="s">
        <v>1072</v>
      </c>
      <c r="F1595" s="39"/>
      <c r="G1595" s="38"/>
    </row>
    <row r="1596" spans="1:14" x14ac:dyDescent="0.25">
      <c r="A1596" s="3"/>
      <c r="B1596" s="40"/>
      <c r="C1596" s="41"/>
      <c r="D1596" s="41" t="s">
        <v>200</v>
      </c>
      <c r="E1596" s="41" t="s">
        <v>1073</v>
      </c>
      <c r="F1596" s="42"/>
      <c r="G1596" s="41"/>
    </row>
    <row r="1597" spans="1:14" x14ac:dyDescent="0.25">
      <c r="A1597" s="2" t="s">
        <v>9</v>
      </c>
      <c r="B1597" s="37" t="s">
        <v>949</v>
      </c>
      <c r="C1597" s="38" t="s">
        <v>1074</v>
      </c>
      <c r="D1597" s="37" t="s">
        <v>1000</v>
      </c>
      <c r="E1597" s="38" t="s">
        <v>1074</v>
      </c>
      <c r="F1597" s="39" t="s">
        <v>685</v>
      </c>
      <c r="G1597" s="38" t="s">
        <v>1073</v>
      </c>
    </row>
    <row r="1598" spans="1:14" x14ac:dyDescent="0.25">
      <c r="A1598" s="2"/>
      <c r="B1598" s="37"/>
      <c r="C1598" s="38"/>
      <c r="D1598" s="37" t="s">
        <v>1001</v>
      </c>
      <c r="E1598" s="38" t="s">
        <v>1072</v>
      </c>
      <c r="F1598" s="48" t="s">
        <v>686</v>
      </c>
      <c r="G1598" s="38" t="s">
        <v>1074</v>
      </c>
    </row>
    <row r="1599" spans="1:14" x14ac:dyDescent="0.25">
      <c r="A1599" s="3"/>
      <c r="B1599" s="40"/>
      <c r="C1599" s="41"/>
      <c r="D1599" s="40"/>
      <c r="E1599" s="41"/>
      <c r="F1599" s="42"/>
      <c r="G1599" s="41"/>
    </row>
    <row r="1600" spans="1:14" x14ac:dyDescent="0.25">
      <c r="A1600" s="2" t="s">
        <v>1224</v>
      </c>
      <c r="B1600" s="37"/>
      <c r="C1600" s="38"/>
      <c r="D1600" s="37" t="s">
        <v>1350</v>
      </c>
      <c r="E1600" s="38" t="s">
        <v>1074</v>
      </c>
      <c r="F1600" s="39"/>
      <c r="G1600" s="36"/>
      <c r="H1600" s="8"/>
    </row>
    <row r="1601" spans="1:14" x14ac:dyDescent="0.25">
      <c r="A1601" s="2"/>
      <c r="B1601" s="44"/>
      <c r="C1601" s="38"/>
      <c r="D1601" s="37"/>
      <c r="E1601" s="38"/>
      <c r="F1601" s="39"/>
      <c r="G1601" s="36"/>
      <c r="H1601" s="8"/>
    </row>
    <row r="1602" spans="1:14" x14ac:dyDescent="0.25">
      <c r="A1602" s="3"/>
      <c r="B1602" s="40"/>
      <c r="C1602" s="41"/>
      <c r="D1602" s="40"/>
      <c r="E1602" s="41"/>
      <c r="F1602" s="42"/>
      <c r="G1602" s="43"/>
      <c r="H1602" s="8"/>
    </row>
    <row r="1604" spans="1:14" x14ac:dyDescent="0.25">
      <c r="A1604" s="1">
        <v>81</v>
      </c>
      <c r="B1604" s="29" t="s">
        <v>1198</v>
      </c>
      <c r="C1604" s="30"/>
      <c r="D1604" s="29" t="s">
        <v>1218</v>
      </c>
      <c r="E1604" s="30"/>
      <c r="F1604" s="31" t="s">
        <v>1218</v>
      </c>
      <c r="G1604" s="49"/>
    </row>
    <row r="1605" spans="1:14" x14ac:dyDescent="0.25">
      <c r="A1605" s="4" t="s">
        <v>6</v>
      </c>
      <c r="B1605" s="33" t="s">
        <v>950</v>
      </c>
      <c r="C1605" s="34" t="s">
        <v>1074</v>
      </c>
      <c r="D1605" s="33" t="s">
        <v>1002</v>
      </c>
      <c r="E1605" s="34" t="s">
        <v>1074</v>
      </c>
      <c r="F1605" s="35" t="s">
        <v>687</v>
      </c>
      <c r="G1605" s="34" t="s">
        <v>1074</v>
      </c>
      <c r="I1605" s="7">
        <v>1</v>
      </c>
      <c r="J1605" s="6">
        <v>0.33333333333333337</v>
      </c>
      <c r="K1605" s="7">
        <v>1</v>
      </c>
      <c r="L1605" s="6">
        <v>1</v>
      </c>
      <c r="M1605" s="7">
        <v>0.33333333333333337</v>
      </c>
      <c r="N1605" s="7">
        <v>0.33333333333333337</v>
      </c>
    </row>
    <row r="1606" spans="1:14" x14ac:dyDescent="0.25">
      <c r="A1606" s="2"/>
      <c r="B1606" s="37"/>
      <c r="C1606" s="38"/>
      <c r="D1606" s="37" t="s">
        <v>1003</v>
      </c>
      <c r="E1606" s="38" t="s">
        <v>1074</v>
      </c>
      <c r="F1606" s="39"/>
      <c r="G1606" s="38"/>
    </row>
    <row r="1607" spans="1:14" x14ac:dyDescent="0.25">
      <c r="A1607" s="3"/>
      <c r="B1607" s="40"/>
      <c r="C1607" s="41"/>
      <c r="D1607" s="40"/>
      <c r="E1607" s="41"/>
      <c r="F1607" s="42"/>
      <c r="G1607" s="41"/>
    </row>
    <row r="1608" spans="1:14" x14ac:dyDescent="0.25">
      <c r="A1608" s="4" t="s">
        <v>5</v>
      </c>
      <c r="B1608" s="33" t="s">
        <v>288</v>
      </c>
      <c r="C1608" s="34" t="s">
        <v>1074</v>
      </c>
      <c r="D1608" s="33" t="s">
        <v>1004</v>
      </c>
      <c r="E1608" s="34" t="s">
        <v>1072</v>
      </c>
      <c r="F1608" s="39" t="s">
        <v>288</v>
      </c>
      <c r="G1608" s="38" t="s">
        <v>1074</v>
      </c>
    </row>
    <row r="1609" spans="1:14" x14ac:dyDescent="0.25">
      <c r="A1609" s="2"/>
      <c r="B1609" s="37"/>
      <c r="C1609" s="38"/>
      <c r="D1609" s="37"/>
      <c r="E1609" s="38"/>
      <c r="F1609" s="37"/>
      <c r="G1609" s="38"/>
    </row>
    <row r="1610" spans="1:14" x14ac:dyDescent="0.25">
      <c r="A1610" s="3"/>
      <c r="B1610" s="40"/>
      <c r="C1610" s="41"/>
      <c r="D1610" s="40"/>
      <c r="E1610" s="41"/>
      <c r="F1610" s="42"/>
      <c r="G1610" s="41"/>
    </row>
    <row r="1611" spans="1:14" x14ac:dyDescent="0.25">
      <c r="A1611" s="4" t="s">
        <v>7</v>
      </c>
      <c r="B1611" s="33"/>
      <c r="C1611" s="34"/>
      <c r="D1611" s="33"/>
      <c r="E1611" s="34"/>
      <c r="G1611" s="38"/>
    </row>
    <row r="1612" spans="1:14" x14ac:dyDescent="0.25">
      <c r="A1612" s="2"/>
      <c r="B1612" s="37"/>
      <c r="C1612" s="38"/>
      <c r="D1612" s="37"/>
      <c r="E1612" s="36"/>
      <c r="F1612" s="38"/>
      <c r="G1612" s="39"/>
    </row>
    <row r="1613" spans="1:14" x14ac:dyDescent="0.25">
      <c r="A1613" s="3"/>
      <c r="B1613" s="40"/>
      <c r="C1613" s="41"/>
      <c r="D1613" s="40"/>
      <c r="E1613" s="41"/>
      <c r="F1613" s="42"/>
      <c r="G1613" s="41"/>
    </row>
    <row r="1614" spans="1:14" x14ac:dyDescent="0.25">
      <c r="A1614" s="4" t="s">
        <v>8</v>
      </c>
      <c r="B1614" s="33" t="s">
        <v>172</v>
      </c>
      <c r="C1614" s="34" t="s">
        <v>1074</v>
      </c>
      <c r="D1614" s="33" t="s">
        <v>172</v>
      </c>
      <c r="E1614" s="34" t="s">
        <v>1074</v>
      </c>
      <c r="F1614" s="35" t="s">
        <v>172</v>
      </c>
      <c r="G1614" s="38" t="s">
        <v>1074</v>
      </c>
    </row>
    <row r="1615" spans="1:14" x14ac:dyDescent="0.25">
      <c r="A1615" s="2"/>
      <c r="B1615" s="37"/>
      <c r="C1615" s="38"/>
      <c r="D1615" s="37" t="s">
        <v>209</v>
      </c>
      <c r="E1615" s="38" t="s">
        <v>1072</v>
      </c>
      <c r="F1615" s="39"/>
      <c r="G1615" s="38"/>
    </row>
    <row r="1616" spans="1:14" x14ac:dyDescent="0.25">
      <c r="A1616" s="3"/>
      <c r="B1616" s="40"/>
      <c r="C1616" s="41"/>
      <c r="D1616" s="40" t="s">
        <v>200</v>
      </c>
      <c r="E1616" s="41" t="s">
        <v>1073</v>
      </c>
      <c r="F1616" s="42"/>
      <c r="G1616" s="41"/>
    </row>
    <row r="1617" spans="1:14" x14ac:dyDescent="0.25">
      <c r="A1617" s="2" t="s">
        <v>9</v>
      </c>
      <c r="B1617" s="37" t="s">
        <v>951</v>
      </c>
      <c r="C1617" s="38" t="s">
        <v>1074</v>
      </c>
      <c r="D1617" s="37" t="s">
        <v>1005</v>
      </c>
      <c r="E1617" s="38" t="s">
        <v>1072</v>
      </c>
      <c r="F1617" s="39" t="s">
        <v>688</v>
      </c>
      <c r="G1617" s="38" t="s">
        <v>1074</v>
      </c>
    </row>
    <row r="1618" spans="1:14" x14ac:dyDescent="0.25">
      <c r="A1618" s="2"/>
      <c r="B1618" s="37"/>
      <c r="C1618" s="38"/>
      <c r="D1618" s="37" t="s">
        <v>1006</v>
      </c>
      <c r="E1618" s="38" t="s">
        <v>1073</v>
      </c>
      <c r="F1618" s="48"/>
      <c r="G1618" s="38"/>
    </row>
    <row r="1619" spans="1:14" x14ac:dyDescent="0.25">
      <c r="A1619" s="3"/>
      <c r="B1619" s="40"/>
      <c r="C1619" s="41"/>
      <c r="D1619" s="40"/>
      <c r="E1619" s="41"/>
      <c r="F1619" s="42"/>
      <c r="G1619" s="41"/>
    </row>
    <row r="1620" spans="1:14" x14ac:dyDescent="0.25">
      <c r="A1620" s="2" t="s">
        <v>1224</v>
      </c>
      <c r="B1620" s="37" t="s">
        <v>1284</v>
      </c>
      <c r="C1620" s="38" t="s">
        <v>1072</v>
      </c>
      <c r="D1620" s="37" t="s">
        <v>1283</v>
      </c>
      <c r="E1620" s="38" t="s">
        <v>1074</v>
      </c>
      <c r="F1620" s="37" t="s">
        <v>1283</v>
      </c>
      <c r="G1620" s="36" t="s">
        <v>1074</v>
      </c>
      <c r="H1620" s="8"/>
    </row>
    <row r="1621" spans="1:14" x14ac:dyDescent="0.25">
      <c r="A1621" s="2"/>
      <c r="B1621" s="44"/>
      <c r="C1621" s="38"/>
      <c r="D1621" s="37"/>
      <c r="E1621" s="38"/>
      <c r="F1621" s="39"/>
      <c r="G1621" s="36"/>
      <c r="H1621" s="8"/>
    </row>
    <row r="1622" spans="1:14" x14ac:dyDescent="0.25">
      <c r="A1622" s="3"/>
      <c r="B1622" s="40"/>
      <c r="C1622" s="41"/>
      <c r="D1622" s="40"/>
      <c r="E1622" s="41"/>
      <c r="F1622" s="42"/>
      <c r="G1622" s="43"/>
      <c r="H1622" s="8"/>
    </row>
    <row r="1624" spans="1:14" x14ac:dyDescent="0.25">
      <c r="A1624" s="1">
        <v>82</v>
      </c>
      <c r="B1624" s="29" t="s">
        <v>1199</v>
      </c>
      <c r="C1624" s="30"/>
      <c r="D1624" s="29" t="s">
        <v>1218</v>
      </c>
      <c r="E1624" s="30"/>
      <c r="F1624" s="31" t="s">
        <v>1218</v>
      </c>
      <c r="G1624" s="49"/>
    </row>
    <row r="1625" spans="1:14" x14ac:dyDescent="0.25">
      <c r="A1625" s="4" t="s">
        <v>6</v>
      </c>
      <c r="B1625" s="33" t="s">
        <v>952</v>
      </c>
      <c r="C1625" s="34" t="s">
        <v>1074</v>
      </c>
      <c r="D1625" s="33" t="s">
        <v>1007</v>
      </c>
      <c r="E1625" s="34" t="s">
        <v>1074</v>
      </c>
      <c r="F1625" s="35" t="s">
        <v>689</v>
      </c>
      <c r="G1625" s="34" t="s">
        <v>1074</v>
      </c>
      <c r="I1625" s="7">
        <v>1</v>
      </c>
      <c r="J1625" s="6">
        <v>1</v>
      </c>
      <c r="K1625" s="7">
        <v>1</v>
      </c>
      <c r="L1625" s="6">
        <v>1</v>
      </c>
      <c r="M1625" s="7">
        <v>1</v>
      </c>
      <c r="N1625" s="7">
        <v>1</v>
      </c>
    </row>
    <row r="1626" spans="1:14" x14ac:dyDescent="0.25">
      <c r="A1626" s="2"/>
      <c r="B1626" s="37"/>
      <c r="C1626" s="38"/>
      <c r="D1626" s="37"/>
      <c r="E1626" s="38"/>
      <c r="F1626" s="39"/>
      <c r="G1626" s="38"/>
    </row>
    <row r="1627" spans="1:14" x14ac:dyDescent="0.25">
      <c r="A1627" s="3"/>
      <c r="B1627" s="40"/>
      <c r="C1627" s="41"/>
      <c r="D1627" s="40"/>
      <c r="E1627" s="41"/>
      <c r="F1627" s="42"/>
      <c r="G1627" s="41"/>
    </row>
    <row r="1628" spans="1:14" x14ac:dyDescent="0.25">
      <c r="A1628" s="4" t="s">
        <v>5</v>
      </c>
      <c r="B1628" s="33"/>
      <c r="C1628" s="34"/>
      <c r="D1628" s="33"/>
      <c r="E1628" s="34"/>
      <c r="F1628" s="35"/>
      <c r="G1628" s="38"/>
    </row>
    <row r="1629" spans="1:14" x14ac:dyDescent="0.25">
      <c r="A1629" s="2"/>
      <c r="B1629" s="37"/>
      <c r="C1629" s="38"/>
      <c r="D1629" s="37"/>
      <c r="E1629" s="38"/>
      <c r="F1629" s="37"/>
      <c r="G1629" s="38"/>
    </row>
    <row r="1630" spans="1:14" x14ac:dyDescent="0.25">
      <c r="A1630" s="3"/>
      <c r="B1630" s="40"/>
      <c r="C1630" s="41"/>
      <c r="D1630" s="40"/>
      <c r="E1630" s="41"/>
      <c r="F1630" s="42"/>
      <c r="G1630" s="41"/>
    </row>
    <row r="1631" spans="1:14" x14ac:dyDescent="0.25">
      <c r="A1631" s="4" t="s">
        <v>7</v>
      </c>
      <c r="B1631" s="33" t="s">
        <v>288</v>
      </c>
      <c r="C1631" s="34" t="s">
        <v>1074</v>
      </c>
      <c r="D1631" s="33" t="s">
        <v>288</v>
      </c>
      <c r="E1631" s="34" t="s">
        <v>1074</v>
      </c>
      <c r="F1631" s="39" t="s">
        <v>288</v>
      </c>
      <c r="G1631" s="38" t="s">
        <v>1074</v>
      </c>
    </row>
    <row r="1632" spans="1:14" x14ac:dyDescent="0.25">
      <c r="A1632" s="2"/>
      <c r="B1632" s="37"/>
      <c r="C1632" s="38"/>
      <c r="D1632" s="37"/>
      <c r="E1632" s="36"/>
      <c r="F1632" s="38"/>
      <c r="G1632" s="39"/>
    </row>
    <row r="1633" spans="1:14" x14ac:dyDescent="0.25">
      <c r="A1633" s="3"/>
      <c r="B1633" s="40"/>
      <c r="C1633" s="41"/>
      <c r="D1633" s="40"/>
      <c r="E1633" s="41"/>
      <c r="F1633" s="42"/>
      <c r="G1633" s="41"/>
    </row>
    <row r="1634" spans="1:14" x14ac:dyDescent="0.25">
      <c r="A1634" s="4" t="s">
        <v>8</v>
      </c>
      <c r="B1634" s="33" t="s">
        <v>172</v>
      </c>
      <c r="C1634" s="34" t="s">
        <v>1074</v>
      </c>
      <c r="D1634" s="33" t="s">
        <v>1008</v>
      </c>
      <c r="E1634" s="34" t="s">
        <v>1072</v>
      </c>
      <c r="F1634" s="35" t="s">
        <v>172</v>
      </c>
      <c r="G1634" s="38" t="s">
        <v>1074</v>
      </c>
    </row>
    <row r="1635" spans="1:14" x14ac:dyDescent="0.25">
      <c r="A1635" s="2"/>
      <c r="B1635" s="37"/>
      <c r="C1635" s="38"/>
      <c r="D1635" s="37" t="s">
        <v>172</v>
      </c>
      <c r="E1635" s="38" t="s">
        <v>1074</v>
      </c>
      <c r="F1635" s="39"/>
      <c r="G1635" s="38"/>
    </row>
    <row r="1636" spans="1:14" x14ac:dyDescent="0.25">
      <c r="A1636" s="3"/>
      <c r="B1636" s="40"/>
      <c r="C1636" s="41"/>
      <c r="D1636" s="40"/>
      <c r="E1636" s="41"/>
      <c r="F1636" s="42"/>
      <c r="G1636" s="41"/>
    </row>
    <row r="1637" spans="1:14" x14ac:dyDescent="0.25">
      <c r="A1637" s="2" t="s">
        <v>9</v>
      </c>
      <c r="B1637" s="37" t="s">
        <v>953</v>
      </c>
      <c r="C1637" s="38" t="s">
        <v>1074</v>
      </c>
      <c r="D1637" s="37" t="s">
        <v>1009</v>
      </c>
      <c r="E1637" s="38" t="s">
        <v>1074</v>
      </c>
      <c r="F1637" s="39" t="s">
        <v>690</v>
      </c>
      <c r="G1637" s="38" t="s">
        <v>1074</v>
      </c>
    </row>
    <row r="1638" spans="1:14" x14ac:dyDescent="0.25">
      <c r="A1638" s="2"/>
      <c r="B1638" s="37"/>
      <c r="C1638" s="38"/>
      <c r="D1638" s="37"/>
      <c r="E1638" s="38"/>
      <c r="F1638" s="48"/>
      <c r="G1638" s="38"/>
    </row>
    <row r="1639" spans="1:14" x14ac:dyDescent="0.25">
      <c r="A1639" s="3"/>
      <c r="B1639" s="40"/>
      <c r="C1639" s="41"/>
      <c r="D1639" s="40"/>
      <c r="E1639" s="41"/>
      <c r="F1639" s="42"/>
      <c r="G1639" s="41"/>
    </row>
    <row r="1640" spans="1:14" x14ac:dyDescent="0.25">
      <c r="A1640" s="2" t="s">
        <v>1224</v>
      </c>
      <c r="B1640" s="37" t="s">
        <v>1351</v>
      </c>
      <c r="C1640" s="38" t="s">
        <v>1074</v>
      </c>
      <c r="D1640" s="37" t="s">
        <v>1351</v>
      </c>
      <c r="E1640" s="38" t="s">
        <v>1074</v>
      </c>
      <c r="F1640" s="37" t="s">
        <v>1351</v>
      </c>
      <c r="G1640" s="36" t="s">
        <v>1074</v>
      </c>
      <c r="H1640" s="8"/>
    </row>
    <row r="1641" spans="1:14" x14ac:dyDescent="0.25">
      <c r="A1641" s="2"/>
      <c r="B1641" s="44"/>
      <c r="C1641" s="38"/>
      <c r="D1641" s="37"/>
      <c r="E1641" s="38"/>
      <c r="F1641" s="39"/>
      <c r="G1641" s="36"/>
      <c r="H1641" s="8"/>
    </row>
    <row r="1642" spans="1:14" x14ac:dyDescent="0.25">
      <c r="A1642" s="3"/>
      <c r="B1642" s="40"/>
      <c r="C1642" s="41"/>
      <c r="D1642" s="40"/>
      <c r="E1642" s="41"/>
      <c r="F1642" s="42"/>
      <c r="G1642" s="43"/>
      <c r="H1642" s="8"/>
    </row>
    <row r="1644" spans="1:14" x14ac:dyDescent="0.25">
      <c r="A1644" s="1">
        <v>83</v>
      </c>
      <c r="B1644" s="29" t="s">
        <v>1200</v>
      </c>
      <c r="C1644" s="30"/>
      <c r="D1644" s="29" t="s">
        <v>1218</v>
      </c>
      <c r="E1644" s="30"/>
      <c r="F1644" s="31" t="s">
        <v>1218</v>
      </c>
      <c r="G1644" s="49"/>
    </row>
    <row r="1645" spans="1:14" x14ac:dyDescent="0.25">
      <c r="A1645" s="4" t="s">
        <v>6</v>
      </c>
      <c r="B1645" s="33" t="s">
        <v>691</v>
      </c>
      <c r="C1645" s="34" t="s">
        <v>1074</v>
      </c>
      <c r="D1645" s="33" t="s">
        <v>1010</v>
      </c>
      <c r="E1645" s="34" t="s">
        <v>1074</v>
      </c>
      <c r="F1645" s="35" t="s">
        <v>691</v>
      </c>
      <c r="G1645" s="34" t="s">
        <v>1074</v>
      </c>
      <c r="I1645" s="7">
        <v>1</v>
      </c>
      <c r="J1645" s="6">
        <v>0.33333333333333337</v>
      </c>
      <c r="K1645" s="7">
        <v>1</v>
      </c>
      <c r="L1645" s="6">
        <v>1</v>
      </c>
      <c r="M1645" s="7">
        <v>0.33333333333333337</v>
      </c>
      <c r="N1645" s="7">
        <v>0.33333333333333337</v>
      </c>
    </row>
    <row r="1646" spans="1:14" x14ac:dyDescent="0.25">
      <c r="A1646" s="2"/>
      <c r="B1646" s="37"/>
      <c r="C1646" s="38"/>
      <c r="D1646" s="37"/>
      <c r="E1646" s="38"/>
      <c r="F1646" s="39"/>
      <c r="G1646" s="38"/>
    </row>
    <row r="1647" spans="1:14" x14ac:dyDescent="0.25">
      <c r="A1647" s="3"/>
      <c r="B1647" s="40"/>
      <c r="C1647" s="41"/>
      <c r="D1647" s="40"/>
      <c r="E1647" s="41"/>
      <c r="F1647" s="42"/>
      <c r="G1647" s="41"/>
    </row>
    <row r="1648" spans="1:14" x14ac:dyDescent="0.25">
      <c r="A1648" s="4" t="s">
        <v>5</v>
      </c>
      <c r="B1648" s="33" t="s">
        <v>288</v>
      </c>
      <c r="C1648" s="34" t="s">
        <v>1074</v>
      </c>
      <c r="D1648" s="33"/>
      <c r="E1648" s="34"/>
      <c r="F1648" s="35"/>
      <c r="G1648" s="38"/>
    </row>
    <row r="1649" spans="1:8" x14ac:dyDescent="0.25">
      <c r="A1649" s="2"/>
      <c r="B1649" s="37"/>
      <c r="C1649" s="38"/>
      <c r="D1649" s="37"/>
      <c r="E1649" s="38"/>
      <c r="F1649" s="37"/>
      <c r="G1649" s="38"/>
    </row>
    <row r="1650" spans="1:8" x14ac:dyDescent="0.25">
      <c r="A1650" s="3"/>
      <c r="B1650" s="40"/>
      <c r="C1650" s="41"/>
      <c r="D1650" s="40"/>
      <c r="E1650" s="41"/>
      <c r="F1650" s="42"/>
      <c r="G1650" s="41"/>
    </row>
    <row r="1651" spans="1:8" x14ac:dyDescent="0.25">
      <c r="A1651" s="4" t="s">
        <v>7</v>
      </c>
      <c r="B1651" s="33"/>
      <c r="C1651" s="34"/>
      <c r="D1651" s="33"/>
      <c r="E1651" s="34"/>
      <c r="F1651" s="39"/>
      <c r="G1651" s="38"/>
    </row>
    <row r="1652" spans="1:8" x14ac:dyDescent="0.25">
      <c r="A1652" s="2"/>
      <c r="B1652" s="37"/>
      <c r="C1652" s="38"/>
      <c r="D1652" s="37"/>
      <c r="E1652" s="36"/>
      <c r="F1652" s="38"/>
      <c r="G1652" s="39"/>
    </row>
    <row r="1653" spans="1:8" x14ac:dyDescent="0.25">
      <c r="A1653" s="3"/>
      <c r="B1653" s="40"/>
      <c r="C1653" s="41"/>
      <c r="D1653" s="40"/>
      <c r="E1653" s="41"/>
      <c r="F1653" s="42"/>
      <c r="G1653" s="41"/>
    </row>
    <row r="1654" spans="1:8" x14ac:dyDescent="0.25">
      <c r="A1654" s="4" t="s">
        <v>8</v>
      </c>
      <c r="B1654" s="33" t="s">
        <v>172</v>
      </c>
      <c r="C1654" s="34" t="s">
        <v>1074</v>
      </c>
      <c r="D1654" s="33" t="s">
        <v>172</v>
      </c>
      <c r="E1654" s="34" t="s">
        <v>1074</v>
      </c>
      <c r="F1654" s="35" t="s">
        <v>172</v>
      </c>
      <c r="G1654" s="38" t="s">
        <v>1074</v>
      </c>
    </row>
    <row r="1655" spans="1:8" x14ac:dyDescent="0.25">
      <c r="A1655" s="2"/>
      <c r="B1655" s="37"/>
      <c r="C1655" s="38"/>
      <c r="D1655" s="37" t="s">
        <v>1011</v>
      </c>
      <c r="E1655" s="38" t="s">
        <v>1072</v>
      </c>
      <c r="F1655" s="39"/>
      <c r="G1655" s="38"/>
    </row>
    <row r="1656" spans="1:8" x14ac:dyDescent="0.25">
      <c r="A1656" s="3"/>
      <c r="B1656" s="40"/>
      <c r="C1656" s="41"/>
      <c r="D1656" s="40"/>
      <c r="E1656" s="41"/>
      <c r="F1656" s="42"/>
      <c r="G1656" s="41"/>
    </row>
    <row r="1657" spans="1:8" x14ac:dyDescent="0.25">
      <c r="A1657" s="2" t="s">
        <v>9</v>
      </c>
      <c r="B1657" s="37" t="s">
        <v>954</v>
      </c>
      <c r="C1657" s="38" t="s">
        <v>1074</v>
      </c>
      <c r="D1657" s="37" t="s">
        <v>1012</v>
      </c>
      <c r="E1657" s="38" t="s">
        <v>1072</v>
      </c>
      <c r="F1657" s="39" t="s">
        <v>692</v>
      </c>
      <c r="G1657" s="38" t="s">
        <v>1074</v>
      </c>
    </row>
    <row r="1658" spans="1:8" x14ac:dyDescent="0.25">
      <c r="A1658" s="2"/>
      <c r="B1658" s="37"/>
      <c r="C1658" s="38"/>
      <c r="D1658" s="37"/>
      <c r="E1658" s="38"/>
      <c r="F1658" s="48"/>
      <c r="G1658" s="38"/>
    </row>
    <row r="1659" spans="1:8" x14ac:dyDescent="0.25">
      <c r="A1659" s="3"/>
      <c r="B1659" s="40"/>
      <c r="C1659" s="41"/>
      <c r="D1659" s="40"/>
      <c r="E1659" s="41"/>
      <c r="F1659" s="42"/>
      <c r="G1659" s="41"/>
    </row>
    <row r="1660" spans="1:8" x14ac:dyDescent="0.25">
      <c r="A1660" s="2" t="s">
        <v>1224</v>
      </c>
      <c r="B1660" s="37" t="s">
        <v>1250</v>
      </c>
      <c r="C1660" s="38" t="s">
        <v>1074</v>
      </c>
      <c r="D1660" s="37" t="s">
        <v>1250</v>
      </c>
      <c r="E1660" s="38" t="s">
        <v>1074</v>
      </c>
      <c r="F1660" s="39"/>
      <c r="G1660" s="36"/>
      <c r="H1660" s="8"/>
    </row>
    <row r="1661" spans="1:8" x14ac:dyDescent="0.25">
      <c r="A1661" s="2"/>
      <c r="B1661" s="44"/>
      <c r="C1661" s="38"/>
      <c r="D1661" s="37" t="s">
        <v>1352</v>
      </c>
      <c r="E1661" s="38" t="s">
        <v>1072</v>
      </c>
      <c r="F1661" s="39"/>
      <c r="G1661" s="36"/>
      <c r="H1661" s="8"/>
    </row>
    <row r="1662" spans="1:8" x14ac:dyDescent="0.25">
      <c r="A1662" s="3"/>
      <c r="B1662" s="40"/>
      <c r="C1662" s="41"/>
      <c r="D1662" s="40"/>
      <c r="E1662" s="41"/>
      <c r="F1662" s="42"/>
      <c r="G1662" s="43"/>
      <c r="H1662" s="8"/>
    </row>
    <row r="1664" spans="1:8" x14ac:dyDescent="0.25">
      <c r="A1664" s="1">
        <v>84</v>
      </c>
      <c r="B1664" s="29" t="s">
        <v>1201</v>
      </c>
      <c r="C1664" s="30"/>
      <c r="D1664" s="29" t="s">
        <v>1218</v>
      </c>
      <c r="E1664" s="30"/>
      <c r="F1664" s="31" t="s">
        <v>1218</v>
      </c>
      <c r="G1664" s="49"/>
    </row>
    <row r="1665" spans="1:14" x14ac:dyDescent="0.25">
      <c r="A1665" s="4" t="s">
        <v>6</v>
      </c>
      <c r="B1665" s="33" t="s">
        <v>693</v>
      </c>
      <c r="C1665" s="34" t="s">
        <v>1074</v>
      </c>
      <c r="D1665" s="33" t="s">
        <v>1013</v>
      </c>
      <c r="E1665" s="34" t="s">
        <v>1074</v>
      </c>
      <c r="F1665" s="35" t="s">
        <v>693</v>
      </c>
      <c r="G1665" s="34" t="s">
        <v>1074</v>
      </c>
      <c r="I1665" s="7">
        <v>1</v>
      </c>
      <c r="J1665" s="6">
        <v>0.33333333333333337</v>
      </c>
      <c r="K1665" s="7">
        <v>1</v>
      </c>
      <c r="L1665" s="6">
        <v>1</v>
      </c>
      <c r="M1665" s="7">
        <v>0</v>
      </c>
      <c r="N1665" s="7">
        <v>0</v>
      </c>
    </row>
    <row r="1666" spans="1:14" x14ac:dyDescent="0.25">
      <c r="A1666" s="2"/>
      <c r="B1666" s="37"/>
      <c r="C1666" s="38"/>
      <c r="D1666" s="37"/>
      <c r="E1666" s="38"/>
      <c r="F1666" s="39"/>
      <c r="G1666" s="38"/>
    </row>
    <row r="1667" spans="1:14" x14ac:dyDescent="0.25">
      <c r="A1667" s="3"/>
      <c r="B1667" s="40"/>
      <c r="C1667" s="41"/>
      <c r="D1667" s="40"/>
      <c r="E1667" s="41"/>
      <c r="F1667" s="42"/>
      <c r="G1667" s="41"/>
    </row>
    <row r="1668" spans="1:14" x14ac:dyDescent="0.25">
      <c r="A1668" s="4" t="s">
        <v>5</v>
      </c>
      <c r="B1668" s="33" t="s">
        <v>288</v>
      </c>
      <c r="C1668" s="34" t="s">
        <v>1074</v>
      </c>
      <c r="D1668" s="33"/>
      <c r="E1668" s="34"/>
      <c r="F1668" s="35" t="s">
        <v>288</v>
      </c>
      <c r="G1668" s="38" t="s">
        <v>1074</v>
      </c>
    </row>
    <row r="1669" spans="1:14" x14ac:dyDescent="0.25">
      <c r="A1669" s="2"/>
      <c r="B1669" s="37"/>
      <c r="C1669" s="38"/>
      <c r="D1669" s="37"/>
      <c r="E1669" s="38"/>
      <c r="F1669" s="37"/>
      <c r="G1669" s="38"/>
    </row>
    <row r="1670" spans="1:14" x14ac:dyDescent="0.25">
      <c r="A1670" s="3"/>
      <c r="B1670" s="40"/>
      <c r="C1670" s="41"/>
      <c r="D1670" s="40"/>
      <c r="E1670" s="41"/>
      <c r="F1670" s="42"/>
      <c r="G1670" s="41"/>
    </row>
    <row r="1671" spans="1:14" x14ac:dyDescent="0.25">
      <c r="A1671" s="4" t="s">
        <v>7</v>
      </c>
      <c r="B1671" s="33"/>
      <c r="C1671" s="34"/>
      <c r="D1671" s="33"/>
      <c r="E1671" s="34"/>
      <c r="F1671" s="39"/>
      <c r="G1671" s="38"/>
    </row>
    <row r="1672" spans="1:14" x14ac:dyDescent="0.25">
      <c r="A1672" s="2"/>
      <c r="B1672" s="37"/>
      <c r="C1672" s="38"/>
      <c r="D1672" s="37"/>
      <c r="E1672" s="36"/>
      <c r="F1672" s="38"/>
      <c r="G1672" s="39"/>
    </row>
    <row r="1673" spans="1:14" x14ac:dyDescent="0.25">
      <c r="A1673" s="3"/>
      <c r="B1673" s="40"/>
      <c r="C1673" s="41"/>
      <c r="D1673" s="40"/>
      <c r="E1673" s="41"/>
      <c r="F1673" s="42"/>
      <c r="G1673" s="41"/>
    </row>
    <row r="1674" spans="1:14" x14ac:dyDescent="0.25">
      <c r="A1674" s="4" t="s">
        <v>8</v>
      </c>
      <c r="B1674" s="33" t="s">
        <v>172</v>
      </c>
      <c r="C1674" s="34" t="s">
        <v>1074</v>
      </c>
      <c r="D1674" s="33" t="s">
        <v>172</v>
      </c>
      <c r="E1674" s="34" t="s">
        <v>1074</v>
      </c>
      <c r="F1674" s="35" t="s">
        <v>172</v>
      </c>
      <c r="G1674" s="38" t="s">
        <v>1074</v>
      </c>
    </row>
    <row r="1675" spans="1:14" x14ac:dyDescent="0.25">
      <c r="A1675" s="2"/>
      <c r="B1675" s="37"/>
      <c r="C1675" s="38"/>
      <c r="D1675" s="37" t="s">
        <v>209</v>
      </c>
      <c r="E1675" s="38" t="s">
        <v>1072</v>
      </c>
      <c r="F1675" s="39"/>
      <c r="G1675" s="38"/>
    </row>
    <row r="1676" spans="1:14" x14ac:dyDescent="0.25">
      <c r="A1676" s="3"/>
      <c r="B1676" s="40"/>
      <c r="C1676" s="41"/>
      <c r="D1676" s="40"/>
      <c r="E1676" s="41"/>
      <c r="F1676" s="42"/>
      <c r="G1676" s="41"/>
    </row>
    <row r="1677" spans="1:14" x14ac:dyDescent="0.25">
      <c r="A1677" s="2" t="s">
        <v>9</v>
      </c>
      <c r="B1677" s="37" t="s">
        <v>955</v>
      </c>
      <c r="C1677" s="38" t="s">
        <v>1074</v>
      </c>
      <c r="D1677" s="37" t="s">
        <v>1014</v>
      </c>
      <c r="E1677" s="38" t="s">
        <v>1072</v>
      </c>
      <c r="F1677" s="39"/>
      <c r="G1677" s="38"/>
    </row>
    <row r="1678" spans="1:14" x14ac:dyDescent="0.25">
      <c r="A1678" s="2"/>
      <c r="B1678" s="37"/>
      <c r="C1678" s="38"/>
      <c r="D1678" s="37"/>
      <c r="E1678" s="38"/>
      <c r="F1678" s="48"/>
      <c r="G1678" s="38"/>
    </row>
    <row r="1679" spans="1:14" x14ac:dyDescent="0.25">
      <c r="A1679" s="3"/>
      <c r="B1679" s="40"/>
      <c r="C1679" s="41"/>
      <c r="D1679" s="40"/>
      <c r="E1679" s="41"/>
      <c r="F1679" s="42"/>
      <c r="G1679" s="41"/>
    </row>
    <row r="1680" spans="1:14" x14ac:dyDescent="0.25">
      <c r="A1680" s="2" t="s">
        <v>1224</v>
      </c>
      <c r="B1680" s="37" t="s">
        <v>1285</v>
      </c>
      <c r="C1680" s="38" t="s">
        <v>1074</v>
      </c>
      <c r="D1680" s="37" t="s">
        <v>1353</v>
      </c>
      <c r="E1680" s="38" t="s">
        <v>1072</v>
      </c>
      <c r="F1680" s="39"/>
      <c r="G1680" s="36"/>
      <c r="H1680" s="8"/>
    </row>
    <row r="1681" spans="1:14" x14ac:dyDescent="0.25">
      <c r="A1681" s="2"/>
      <c r="B1681" s="44"/>
      <c r="C1681" s="38"/>
      <c r="D1681" s="37" t="s">
        <v>1354</v>
      </c>
      <c r="E1681" s="38" t="s">
        <v>1074</v>
      </c>
      <c r="F1681" s="39"/>
      <c r="G1681" s="36"/>
      <c r="H1681" s="8"/>
    </row>
    <row r="1682" spans="1:14" x14ac:dyDescent="0.25">
      <c r="A1682" s="3"/>
      <c r="B1682" s="40"/>
      <c r="C1682" s="41"/>
      <c r="D1682" s="40"/>
      <c r="E1682" s="41"/>
      <c r="F1682" s="42"/>
      <c r="G1682" s="43"/>
      <c r="H1682" s="8"/>
    </row>
    <row r="1684" spans="1:14" x14ac:dyDescent="0.25">
      <c r="A1684" s="1">
        <v>85</v>
      </c>
      <c r="B1684" s="29" t="s">
        <v>1202</v>
      </c>
      <c r="C1684" s="30"/>
      <c r="D1684" s="29" t="s">
        <v>1218</v>
      </c>
      <c r="E1684" s="30"/>
      <c r="F1684" s="31" t="s">
        <v>1218</v>
      </c>
      <c r="G1684" s="49"/>
    </row>
    <row r="1685" spans="1:14" x14ac:dyDescent="0.25">
      <c r="A1685" s="4" t="s">
        <v>6</v>
      </c>
      <c r="B1685" s="33" t="s">
        <v>694</v>
      </c>
      <c r="C1685" s="34" t="s">
        <v>1074</v>
      </c>
      <c r="D1685" s="33" t="s">
        <v>1015</v>
      </c>
      <c r="E1685" s="34" t="s">
        <v>1074</v>
      </c>
      <c r="F1685" s="35" t="s">
        <v>694</v>
      </c>
      <c r="G1685" s="34" t="s">
        <v>1074</v>
      </c>
      <c r="I1685" s="7">
        <v>1</v>
      </c>
      <c r="J1685" s="6">
        <v>1</v>
      </c>
      <c r="K1685" s="7">
        <v>0.33333333333333337</v>
      </c>
      <c r="L1685" s="6">
        <v>0.33333333333333337</v>
      </c>
      <c r="M1685" s="7">
        <v>0.33333333333333337</v>
      </c>
      <c r="N1685" s="7">
        <v>0.33333333333333337</v>
      </c>
    </row>
    <row r="1686" spans="1:14" x14ac:dyDescent="0.25">
      <c r="A1686" s="2"/>
      <c r="B1686" s="37"/>
      <c r="C1686" s="38"/>
      <c r="D1686" s="37" t="s">
        <v>1016</v>
      </c>
      <c r="E1686" s="38" t="s">
        <v>1072</v>
      </c>
      <c r="F1686" s="39"/>
      <c r="G1686" s="38"/>
    </row>
    <row r="1687" spans="1:14" x14ac:dyDescent="0.25">
      <c r="A1687" s="3"/>
      <c r="B1687" s="40"/>
      <c r="C1687" s="41"/>
      <c r="D1687" s="40"/>
      <c r="E1687" s="41"/>
      <c r="F1687" s="42"/>
      <c r="G1687" s="41"/>
    </row>
    <row r="1688" spans="1:14" x14ac:dyDescent="0.25">
      <c r="A1688" s="4" t="s">
        <v>5</v>
      </c>
      <c r="B1688" s="33"/>
      <c r="C1688" s="34"/>
      <c r="D1688" s="33"/>
      <c r="E1688" s="34"/>
      <c r="F1688" s="35"/>
      <c r="G1688" s="38"/>
    </row>
    <row r="1689" spans="1:14" x14ac:dyDescent="0.25">
      <c r="A1689" s="2"/>
      <c r="B1689" s="37"/>
      <c r="C1689" s="38"/>
      <c r="D1689" s="37"/>
      <c r="E1689" s="38"/>
      <c r="F1689" s="37"/>
      <c r="G1689" s="38"/>
    </row>
    <row r="1690" spans="1:14" x14ac:dyDescent="0.25">
      <c r="A1690" s="3"/>
      <c r="B1690" s="40"/>
      <c r="C1690" s="41"/>
      <c r="D1690" s="40"/>
      <c r="E1690" s="41"/>
      <c r="F1690" s="42"/>
      <c r="G1690" s="41"/>
    </row>
    <row r="1691" spans="1:14" x14ac:dyDescent="0.25">
      <c r="A1691" s="4" t="s">
        <v>7</v>
      </c>
      <c r="B1691" s="33" t="s">
        <v>571</v>
      </c>
      <c r="C1691" s="34" t="s">
        <v>1074</v>
      </c>
      <c r="D1691" s="33"/>
      <c r="E1691" s="34"/>
      <c r="F1691" s="39"/>
      <c r="G1691" s="38"/>
    </row>
    <row r="1692" spans="1:14" x14ac:dyDescent="0.25">
      <c r="A1692" s="2"/>
      <c r="B1692" s="37"/>
      <c r="C1692" s="38"/>
      <c r="D1692" s="37"/>
      <c r="E1692" s="36"/>
      <c r="F1692" s="38"/>
      <c r="G1692" s="39"/>
    </row>
    <row r="1693" spans="1:14" x14ac:dyDescent="0.25">
      <c r="A1693" s="3"/>
      <c r="B1693" s="40"/>
      <c r="C1693" s="41"/>
      <c r="D1693" s="40"/>
      <c r="E1693" s="41"/>
      <c r="F1693" s="42"/>
      <c r="G1693" s="41"/>
    </row>
    <row r="1694" spans="1:14" x14ac:dyDescent="0.25">
      <c r="A1694" s="4" t="s">
        <v>8</v>
      </c>
      <c r="B1694" s="33" t="s">
        <v>172</v>
      </c>
      <c r="C1694" s="34" t="s">
        <v>1074</v>
      </c>
      <c r="D1694" s="33" t="s">
        <v>172</v>
      </c>
      <c r="E1694" s="34" t="s">
        <v>1074</v>
      </c>
      <c r="F1694" s="77" t="s">
        <v>695</v>
      </c>
      <c r="G1694" s="38" t="s">
        <v>1073</v>
      </c>
    </row>
    <row r="1695" spans="1:14" x14ac:dyDescent="0.25">
      <c r="A1695" s="2"/>
      <c r="B1695" s="37"/>
      <c r="C1695" s="38"/>
      <c r="D1695" s="37" t="s">
        <v>1017</v>
      </c>
      <c r="E1695" s="38" t="s">
        <v>1072</v>
      </c>
      <c r="F1695" s="39"/>
      <c r="G1695" s="38"/>
    </row>
    <row r="1696" spans="1:14" x14ac:dyDescent="0.25">
      <c r="A1696" s="3"/>
      <c r="B1696" s="40"/>
      <c r="C1696" s="41"/>
      <c r="D1696" s="40"/>
      <c r="E1696" s="41"/>
      <c r="F1696" s="42"/>
      <c r="G1696" s="41"/>
    </row>
    <row r="1697" spans="1:14" x14ac:dyDescent="0.25">
      <c r="A1697" s="2" t="s">
        <v>9</v>
      </c>
      <c r="B1697" s="37" t="s">
        <v>956</v>
      </c>
      <c r="C1697" s="38" t="s">
        <v>1074</v>
      </c>
      <c r="D1697" s="37" t="s">
        <v>1018</v>
      </c>
      <c r="E1697" s="38" t="s">
        <v>1072</v>
      </c>
      <c r="F1697" s="39" t="s">
        <v>696</v>
      </c>
      <c r="G1697" s="38" t="s">
        <v>1074</v>
      </c>
    </row>
    <row r="1698" spans="1:14" x14ac:dyDescent="0.25">
      <c r="A1698" s="2"/>
      <c r="B1698" s="37"/>
      <c r="C1698" s="38"/>
      <c r="D1698" s="37" t="s">
        <v>1019</v>
      </c>
      <c r="E1698" s="38" t="s">
        <v>1073</v>
      </c>
      <c r="F1698" s="48"/>
      <c r="G1698" s="38"/>
    </row>
    <row r="1699" spans="1:14" x14ac:dyDescent="0.25">
      <c r="A1699" s="3"/>
      <c r="B1699" s="40"/>
      <c r="C1699" s="41"/>
      <c r="D1699" s="40" t="s">
        <v>1020</v>
      </c>
      <c r="E1699" s="41" t="s">
        <v>1077</v>
      </c>
      <c r="F1699" s="42"/>
      <c r="G1699" s="41"/>
    </row>
    <row r="1700" spans="1:14" x14ac:dyDescent="0.25">
      <c r="A1700" s="2" t="s">
        <v>1224</v>
      </c>
      <c r="B1700" s="37"/>
      <c r="C1700" s="38"/>
      <c r="D1700" s="37" t="s">
        <v>1355</v>
      </c>
      <c r="E1700" s="38" t="s">
        <v>1072</v>
      </c>
      <c r="F1700" s="39" t="s">
        <v>1392</v>
      </c>
      <c r="G1700" s="36" t="s">
        <v>1074</v>
      </c>
      <c r="H1700" s="8"/>
    </row>
    <row r="1701" spans="1:14" x14ac:dyDescent="0.25">
      <c r="A1701" s="2"/>
      <c r="B1701" s="44"/>
      <c r="C1701" s="38"/>
      <c r="D1701" s="37" t="s">
        <v>1356</v>
      </c>
      <c r="E1701" s="38" t="s">
        <v>1074</v>
      </c>
      <c r="F1701" s="39"/>
      <c r="G1701" s="36"/>
      <c r="H1701" s="8"/>
    </row>
    <row r="1702" spans="1:14" x14ac:dyDescent="0.25">
      <c r="A1702" s="3"/>
      <c r="B1702" s="40"/>
      <c r="C1702" s="41"/>
      <c r="D1702" s="40"/>
      <c r="E1702" s="41"/>
      <c r="F1702" s="42"/>
      <c r="G1702" s="43"/>
      <c r="H1702" s="8"/>
    </row>
    <row r="1704" spans="1:14" x14ac:dyDescent="0.25">
      <c r="A1704" s="1">
        <v>86</v>
      </c>
      <c r="B1704" s="29" t="s">
        <v>1203</v>
      </c>
      <c r="C1704" s="30"/>
      <c r="D1704" s="29" t="s">
        <v>1218</v>
      </c>
      <c r="E1704" s="30"/>
      <c r="F1704" s="31" t="s">
        <v>1218</v>
      </c>
      <c r="G1704" s="49"/>
    </row>
    <row r="1705" spans="1:14" x14ac:dyDescent="0.25">
      <c r="A1705" s="4" t="s">
        <v>6</v>
      </c>
      <c r="B1705" s="33" t="s">
        <v>957</v>
      </c>
      <c r="C1705" s="34" t="s">
        <v>1074</v>
      </c>
      <c r="D1705" s="33" t="s">
        <v>1021</v>
      </c>
      <c r="E1705" s="34" t="s">
        <v>1074</v>
      </c>
      <c r="F1705" s="35" t="s">
        <v>697</v>
      </c>
      <c r="G1705" s="34" t="s">
        <v>1072</v>
      </c>
      <c r="I1705" s="7">
        <v>0.33333333333333337</v>
      </c>
      <c r="J1705" s="6">
        <v>1</v>
      </c>
      <c r="K1705" s="7">
        <v>1</v>
      </c>
      <c r="L1705" s="6">
        <v>1</v>
      </c>
      <c r="M1705" s="7">
        <v>0</v>
      </c>
      <c r="N1705" s="7">
        <v>0</v>
      </c>
    </row>
    <row r="1706" spans="1:14" x14ac:dyDescent="0.25">
      <c r="A1706" s="2"/>
      <c r="B1706" s="37"/>
      <c r="C1706" s="38"/>
      <c r="D1706" s="37"/>
      <c r="E1706" s="38"/>
      <c r="F1706" s="39"/>
      <c r="G1706" s="38"/>
    </row>
    <row r="1707" spans="1:14" x14ac:dyDescent="0.25">
      <c r="A1707" s="3"/>
      <c r="B1707" s="40"/>
      <c r="C1707" s="41"/>
      <c r="D1707" s="40"/>
      <c r="E1707" s="41"/>
      <c r="F1707" s="42"/>
      <c r="G1707" s="41"/>
    </row>
    <row r="1708" spans="1:14" x14ac:dyDescent="0.25">
      <c r="A1708" s="4" t="s">
        <v>5</v>
      </c>
      <c r="B1708" s="33" t="s">
        <v>288</v>
      </c>
      <c r="C1708" s="34" t="s">
        <v>1074</v>
      </c>
      <c r="D1708" s="33" t="s">
        <v>288</v>
      </c>
      <c r="E1708" s="34" t="s">
        <v>1074</v>
      </c>
      <c r="F1708" s="35" t="s">
        <v>288</v>
      </c>
      <c r="G1708" s="38" t="s">
        <v>1074</v>
      </c>
    </row>
    <row r="1709" spans="1:14" x14ac:dyDescent="0.25">
      <c r="A1709" s="2"/>
      <c r="B1709" s="37"/>
      <c r="C1709" s="38"/>
      <c r="D1709" s="37"/>
      <c r="E1709" s="38"/>
      <c r="F1709" s="37"/>
      <c r="G1709" s="38"/>
    </row>
    <row r="1710" spans="1:14" x14ac:dyDescent="0.25">
      <c r="A1710" s="3"/>
      <c r="B1710" s="40"/>
      <c r="C1710" s="41"/>
      <c r="D1710" s="40"/>
      <c r="E1710" s="41"/>
      <c r="F1710" s="42"/>
      <c r="G1710" s="41"/>
    </row>
    <row r="1711" spans="1:14" x14ac:dyDescent="0.25">
      <c r="A1711" s="4" t="s">
        <v>7</v>
      </c>
      <c r="B1711" s="33"/>
      <c r="C1711" s="34"/>
      <c r="D1711" s="33"/>
      <c r="E1711" s="34"/>
      <c r="F1711" s="39"/>
      <c r="G1711" s="38"/>
    </row>
    <row r="1712" spans="1:14" x14ac:dyDescent="0.25">
      <c r="A1712" s="2"/>
      <c r="B1712" s="37"/>
      <c r="C1712" s="38"/>
      <c r="D1712" s="37"/>
      <c r="E1712" s="36"/>
      <c r="F1712" s="38"/>
      <c r="G1712" s="39"/>
    </row>
    <row r="1713" spans="1:14" x14ac:dyDescent="0.25">
      <c r="A1713" s="3"/>
      <c r="B1713" s="40"/>
      <c r="C1713" s="41"/>
      <c r="D1713" s="40"/>
      <c r="E1713" s="41"/>
      <c r="F1713" s="42"/>
      <c r="G1713" s="41"/>
    </row>
    <row r="1714" spans="1:14" x14ac:dyDescent="0.25">
      <c r="A1714" s="4" t="s">
        <v>8</v>
      </c>
      <c r="B1714" s="33" t="s">
        <v>172</v>
      </c>
      <c r="C1714" s="34" t="s">
        <v>1074</v>
      </c>
      <c r="D1714" s="33" t="s">
        <v>172</v>
      </c>
      <c r="E1714" s="34" t="s">
        <v>1074</v>
      </c>
      <c r="F1714" s="35" t="s">
        <v>172</v>
      </c>
      <c r="G1714" s="38" t="s">
        <v>1074</v>
      </c>
    </row>
    <row r="1715" spans="1:14" x14ac:dyDescent="0.25">
      <c r="A1715" s="2"/>
      <c r="B1715" s="37"/>
      <c r="C1715" s="38"/>
      <c r="D1715" s="37" t="s">
        <v>1022</v>
      </c>
      <c r="E1715" s="38" t="s">
        <v>1072</v>
      </c>
      <c r="F1715" s="39"/>
      <c r="G1715" s="38"/>
    </row>
    <row r="1716" spans="1:14" x14ac:dyDescent="0.25">
      <c r="A1716" s="3"/>
      <c r="B1716" s="40"/>
      <c r="C1716" s="41"/>
      <c r="D1716" s="40"/>
      <c r="E1716" s="41"/>
      <c r="F1716" s="42"/>
      <c r="G1716" s="41"/>
    </row>
    <row r="1717" spans="1:14" x14ac:dyDescent="0.25">
      <c r="A1717" s="2" t="s">
        <v>9</v>
      </c>
      <c r="B1717" s="37" t="s">
        <v>958</v>
      </c>
      <c r="C1717" s="38" t="s">
        <v>1074</v>
      </c>
      <c r="D1717" s="37" t="s">
        <v>1023</v>
      </c>
      <c r="E1717" s="38" t="s">
        <v>1072</v>
      </c>
      <c r="F1717" s="39"/>
      <c r="G1717" s="38"/>
    </row>
    <row r="1718" spans="1:14" x14ac:dyDescent="0.25">
      <c r="A1718" s="2"/>
      <c r="B1718" s="37"/>
      <c r="C1718" s="38"/>
      <c r="D1718" s="37" t="s">
        <v>1024</v>
      </c>
      <c r="E1718" s="38" t="s">
        <v>1073</v>
      </c>
      <c r="F1718" s="48"/>
      <c r="G1718" s="38"/>
    </row>
    <row r="1719" spans="1:14" x14ac:dyDescent="0.25">
      <c r="A1719" s="3"/>
      <c r="B1719" s="40"/>
      <c r="C1719" s="41"/>
      <c r="D1719" s="40"/>
      <c r="E1719" s="41"/>
      <c r="F1719" s="42"/>
      <c r="G1719" s="41"/>
    </row>
    <row r="1720" spans="1:14" x14ac:dyDescent="0.25">
      <c r="A1720" s="2" t="s">
        <v>1224</v>
      </c>
      <c r="B1720" s="37" t="s">
        <v>1286</v>
      </c>
      <c r="C1720" s="38" t="s">
        <v>1074</v>
      </c>
      <c r="D1720" s="37" t="s">
        <v>1357</v>
      </c>
      <c r="E1720" s="38" t="s">
        <v>1072</v>
      </c>
      <c r="F1720" s="39" t="s">
        <v>1358</v>
      </c>
      <c r="G1720" s="36" t="s">
        <v>1073</v>
      </c>
      <c r="H1720" s="8"/>
    </row>
    <row r="1721" spans="1:14" x14ac:dyDescent="0.25">
      <c r="A1721" s="2"/>
      <c r="B1721" s="44"/>
      <c r="C1721" s="38"/>
      <c r="D1721" s="37"/>
      <c r="E1721" s="38"/>
      <c r="F1721" s="39"/>
      <c r="G1721" s="36"/>
      <c r="H1721" s="8"/>
    </row>
    <row r="1722" spans="1:14" x14ac:dyDescent="0.25">
      <c r="A1722" s="3"/>
      <c r="B1722" s="40"/>
      <c r="C1722" s="41"/>
      <c r="D1722" s="40"/>
      <c r="E1722" s="41"/>
      <c r="F1722" s="42"/>
      <c r="G1722" s="43"/>
      <c r="H1722" s="8"/>
    </row>
    <row r="1724" spans="1:14" x14ac:dyDescent="0.25">
      <c r="A1724" s="1">
        <v>87</v>
      </c>
      <c r="B1724" s="29" t="s">
        <v>1204</v>
      </c>
      <c r="C1724" s="30"/>
      <c r="D1724" s="29" t="s">
        <v>1218</v>
      </c>
      <c r="E1724" s="30"/>
      <c r="F1724" s="31" t="s">
        <v>1218</v>
      </c>
      <c r="G1724" s="49"/>
    </row>
    <row r="1725" spans="1:14" x14ac:dyDescent="0.25">
      <c r="A1725" s="4" t="s">
        <v>6</v>
      </c>
      <c r="B1725" s="33" t="s">
        <v>698</v>
      </c>
      <c r="C1725" s="34" t="s">
        <v>1074</v>
      </c>
      <c r="D1725" s="33" t="s">
        <v>1113</v>
      </c>
      <c r="E1725" s="34" t="s">
        <v>1074</v>
      </c>
      <c r="F1725" s="35" t="s">
        <v>698</v>
      </c>
      <c r="G1725" s="34" t="s">
        <v>1074</v>
      </c>
      <c r="I1725" s="7">
        <v>1</v>
      </c>
      <c r="J1725" s="6">
        <v>0.33333333333333337</v>
      </c>
      <c r="K1725" s="7">
        <v>1</v>
      </c>
      <c r="L1725" s="6">
        <v>1</v>
      </c>
      <c r="M1725" s="7">
        <v>1</v>
      </c>
      <c r="N1725" s="7">
        <v>1</v>
      </c>
    </row>
    <row r="1726" spans="1:14" x14ac:dyDescent="0.25">
      <c r="A1726" s="2"/>
      <c r="B1726" s="37"/>
      <c r="C1726" s="38"/>
      <c r="D1726" s="37" t="s">
        <v>1086</v>
      </c>
      <c r="E1726" s="38" t="s">
        <v>1072</v>
      </c>
      <c r="F1726" s="39" t="s">
        <v>699</v>
      </c>
      <c r="G1726" s="38" t="s">
        <v>1072</v>
      </c>
    </row>
    <row r="1727" spans="1:14" x14ac:dyDescent="0.25">
      <c r="A1727" s="3"/>
      <c r="B1727" s="40"/>
      <c r="C1727" s="41"/>
      <c r="D1727" s="40" t="s">
        <v>1087</v>
      </c>
      <c r="E1727" s="41" t="s">
        <v>1073</v>
      </c>
      <c r="F1727" s="42" t="s">
        <v>700</v>
      </c>
      <c r="G1727" s="41" t="s">
        <v>1073</v>
      </c>
    </row>
    <row r="1728" spans="1:14" x14ac:dyDescent="0.25">
      <c r="A1728" s="4" t="s">
        <v>5</v>
      </c>
      <c r="B1728" s="33" t="s">
        <v>959</v>
      </c>
      <c r="C1728" s="34" t="s">
        <v>1074</v>
      </c>
      <c r="D1728" s="33" t="s">
        <v>37</v>
      </c>
      <c r="E1728" s="34" t="s">
        <v>1072</v>
      </c>
      <c r="F1728" s="35" t="s">
        <v>701</v>
      </c>
      <c r="G1728" s="38" t="s">
        <v>1072</v>
      </c>
    </row>
    <row r="1729" spans="1:8" x14ac:dyDescent="0.25">
      <c r="A1729" s="2"/>
      <c r="B1729" s="37"/>
      <c r="C1729" s="38"/>
      <c r="D1729" s="37"/>
      <c r="E1729" s="38"/>
      <c r="F1729" s="37" t="s">
        <v>702</v>
      </c>
      <c r="G1729" s="38" t="s">
        <v>1073</v>
      </c>
    </row>
    <row r="1730" spans="1:8" x14ac:dyDescent="0.25">
      <c r="A1730" s="3"/>
      <c r="B1730" s="40"/>
      <c r="C1730" s="41"/>
      <c r="D1730" s="40"/>
      <c r="E1730" s="41"/>
      <c r="F1730" s="42"/>
      <c r="G1730" s="41"/>
    </row>
    <row r="1731" spans="1:8" x14ac:dyDescent="0.25">
      <c r="A1731" s="4" t="s">
        <v>7</v>
      </c>
      <c r="B1731" s="33" t="s">
        <v>1088</v>
      </c>
      <c r="C1731" s="34" t="s">
        <v>1074</v>
      </c>
      <c r="D1731" s="33" t="s">
        <v>1025</v>
      </c>
      <c r="E1731" s="34" t="s">
        <v>1072</v>
      </c>
      <c r="F1731" s="39" t="s">
        <v>175</v>
      </c>
      <c r="G1731" s="38" t="s">
        <v>1074</v>
      </c>
    </row>
    <row r="1732" spans="1:8" x14ac:dyDescent="0.25">
      <c r="A1732" s="2"/>
      <c r="B1732" s="37"/>
      <c r="C1732" s="38"/>
      <c r="D1732" s="37"/>
      <c r="E1732" s="36"/>
      <c r="F1732" s="38"/>
      <c r="G1732" s="39"/>
    </row>
    <row r="1733" spans="1:8" x14ac:dyDescent="0.25">
      <c r="A1733" s="3"/>
      <c r="B1733" s="40"/>
      <c r="C1733" s="41"/>
      <c r="D1733" s="40"/>
      <c r="E1733" s="41"/>
      <c r="F1733" s="42"/>
      <c r="G1733" s="41"/>
    </row>
    <row r="1734" spans="1:8" x14ac:dyDescent="0.25">
      <c r="A1734" s="4" t="s">
        <v>8</v>
      </c>
      <c r="B1734" s="33" t="s">
        <v>176</v>
      </c>
      <c r="C1734" s="34" t="s">
        <v>1074</v>
      </c>
      <c r="D1734" s="33" t="s">
        <v>176</v>
      </c>
      <c r="E1734" s="34" t="s">
        <v>1074</v>
      </c>
      <c r="F1734" s="35" t="s">
        <v>176</v>
      </c>
      <c r="G1734" s="38" t="s">
        <v>1074</v>
      </c>
    </row>
    <row r="1735" spans="1:8" x14ac:dyDescent="0.25">
      <c r="A1735" s="2"/>
      <c r="B1735" s="37"/>
      <c r="C1735" s="38"/>
      <c r="D1735" s="37" t="s">
        <v>703</v>
      </c>
      <c r="E1735" s="38" t="s">
        <v>1072</v>
      </c>
      <c r="F1735" s="39" t="s">
        <v>703</v>
      </c>
      <c r="G1735" s="38" t="s">
        <v>1072</v>
      </c>
    </row>
    <row r="1736" spans="1:8" x14ac:dyDescent="0.25">
      <c r="A1736" s="3"/>
      <c r="B1736" s="40"/>
      <c r="C1736" s="41"/>
      <c r="D1736" s="40" t="s">
        <v>704</v>
      </c>
      <c r="E1736" s="41" t="s">
        <v>1073</v>
      </c>
      <c r="F1736" s="42" t="s">
        <v>704</v>
      </c>
      <c r="G1736" s="41" t="s">
        <v>1073</v>
      </c>
    </row>
    <row r="1737" spans="1:8" x14ac:dyDescent="0.25">
      <c r="A1737" s="2" t="s">
        <v>9</v>
      </c>
      <c r="B1737" s="37" t="s">
        <v>705</v>
      </c>
      <c r="C1737" s="38" t="s">
        <v>1074</v>
      </c>
      <c r="D1737" s="37" t="s">
        <v>1026</v>
      </c>
      <c r="E1737" s="38" t="s">
        <v>1089</v>
      </c>
      <c r="F1737" s="39" t="s">
        <v>705</v>
      </c>
      <c r="G1737" s="38" t="s">
        <v>1074</v>
      </c>
    </row>
    <row r="1738" spans="1:8" x14ac:dyDescent="0.25">
      <c r="A1738" s="2"/>
      <c r="B1738" s="37"/>
      <c r="C1738" s="38"/>
      <c r="D1738" s="37" t="s">
        <v>1027</v>
      </c>
      <c r="E1738" s="38" t="s">
        <v>1074</v>
      </c>
      <c r="F1738" s="48" t="s">
        <v>706</v>
      </c>
      <c r="G1738" s="38" t="s">
        <v>1072</v>
      </c>
    </row>
    <row r="1739" spans="1:8" x14ac:dyDescent="0.25">
      <c r="A1739" s="3"/>
      <c r="B1739" s="40"/>
      <c r="C1739" s="41"/>
      <c r="D1739" s="40"/>
      <c r="E1739" s="41"/>
      <c r="F1739" s="42"/>
      <c r="G1739" s="41"/>
    </row>
    <row r="1740" spans="1:8" x14ac:dyDescent="0.25">
      <c r="A1740" s="2" t="s">
        <v>1224</v>
      </c>
      <c r="B1740" s="37" t="s">
        <v>177</v>
      </c>
      <c r="C1740" s="38"/>
      <c r="D1740" s="37" t="s">
        <v>1295</v>
      </c>
      <c r="E1740" s="38"/>
      <c r="F1740" s="39" t="s">
        <v>1359</v>
      </c>
      <c r="G1740" s="36"/>
      <c r="H1740" s="8"/>
    </row>
    <row r="1741" spans="1:8" x14ac:dyDescent="0.25">
      <c r="A1741" s="2"/>
      <c r="B1741" s="44"/>
      <c r="C1741" s="38"/>
      <c r="D1741" s="37"/>
      <c r="E1741" s="38"/>
      <c r="F1741" s="39"/>
      <c r="G1741" s="36"/>
      <c r="H1741" s="8"/>
    </row>
    <row r="1742" spans="1:8" x14ac:dyDescent="0.25">
      <c r="A1742" s="3"/>
      <c r="B1742" s="40"/>
      <c r="C1742" s="41"/>
      <c r="D1742" s="40"/>
      <c r="E1742" s="41"/>
      <c r="F1742" s="42"/>
      <c r="G1742" s="43"/>
      <c r="H1742" s="8"/>
    </row>
    <row r="1744" spans="1:8" x14ac:dyDescent="0.25">
      <c r="A1744" s="1">
        <v>88</v>
      </c>
      <c r="B1744" s="29" t="s">
        <v>1205</v>
      </c>
      <c r="C1744" s="30"/>
      <c r="D1744" s="29" t="s">
        <v>1218</v>
      </c>
      <c r="E1744" s="30"/>
      <c r="F1744" s="31" t="s">
        <v>1218</v>
      </c>
      <c r="G1744" s="49"/>
    </row>
    <row r="1745" spans="1:14" x14ac:dyDescent="0.25">
      <c r="A1745" s="4" t="s">
        <v>6</v>
      </c>
      <c r="B1745" s="33" t="s">
        <v>177</v>
      </c>
      <c r="C1745" s="34" t="s">
        <v>1074</v>
      </c>
      <c r="D1745" s="33" t="s">
        <v>1028</v>
      </c>
      <c r="E1745" s="34" t="s">
        <v>1074</v>
      </c>
      <c r="F1745" s="35" t="s">
        <v>707</v>
      </c>
      <c r="G1745" s="34" t="s">
        <v>1074</v>
      </c>
      <c r="I1745" s="7">
        <v>1</v>
      </c>
      <c r="J1745" s="6">
        <v>1</v>
      </c>
      <c r="K1745" s="7">
        <v>0.66666666666666674</v>
      </c>
      <c r="L1745" s="6">
        <v>1</v>
      </c>
      <c r="M1745" s="7">
        <v>1</v>
      </c>
      <c r="N1745" s="7">
        <v>1</v>
      </c>
    </row>
    <row r="1746" spans="1:14" x14ac:dyDescent="0.25">
      <c r="A1746" s="2"/>
      <c r="B1746" s="37"/>
      <c r="C1746" s="38"/>
      <c r="D1746" s="37" t="s">
        <v>1029</v>
      </c>
      <c r="E1746" s="38" t="s">
        <v>1072</v>
      </c>
      <c r="F1746" s="39"/>
      <c r="G1746" s="38"/>
    </row>
    <row r="1747" spans="1:14" x14ac:dyDescent="0.25">
      <c r="A1747" s="3"/>
      <c r="B1747" s="40"/>
      <c r="C1747" s="41"/>
      <c r="D1747" s="40" t="s">
        <v>1030</v>
      </c>
      <c r="E1747" s="41" t="s">
        <v>1073</v>
      </c>
      <c r="F1747" s="42"/>
      <c r="G1747" s="41"/>
    </row>
    <row r="1748" spans="1:14" x14ac:dyDescent="0.25">
      <c r="A1748" s="4" t="s">
        <v>5</v>
      </c>
      <c r="B1748" s="33" t="s">
        <v>1091</v>
      </c>
      <c r="C1748" s="34" t="s">
        <v>1074</v>
      </c>
      <c r="D1748" s="33" t="s">
        <v>708</v>
      </c>
      <c r="E1748" s="34" t="s">
        <v>1074</v>
      </c>
      <c r="F1748" s="35" t="s">
        <v>708</v>
      </c>
      <c r="G1748" s="38" t="s">
        <v>1074</v>
      </c>
    </row>
    <row r="1749" spans="1:14" x14ac:dyDescent="0.25">
      <c r="A1749" s="2"/>
      <c r="B1749" s="37"/>
      <c r="C1749" s="38"/>
      <c r="D1749" s="37"/>
      <c r="E1749" s="38"/>
      <c r="F1749" s="37"/>
      <c r="G1749" s="38"/>
    </row>
    <row r="1750" spans="1:14" x14ac:dyDescent="0.25">
      <c r="A1750" s="3"/>
      <c r="B1750" s="40"/>
      <c r="C1750" s="41"/>
      <c r="D1750" s="40"/>
      <c r="E1750" s="41"/>
      <c r="F1750" s="42"/>
      <c r="G1750" s="41"/>
    </row>
    <row r="1751" spans="1:14" x14ac:dyDescent="0.25">
      <c r="A1751" s="4" t="s">
        <v>7</v>
      </c>
      <c r="B1751" s="33" t="s">
        <v>960</v>
      </c>
      <c r="C1751" s="34" t="s">
        <v>1074</v>
      </c>
      <c r="D1751" s="33" t="s">
        <v>1031</v>
      </c>
      <c r="E1751" s="34" t="s">
        <v>1090</v>
      </c>
      <c r="F1751" s="39" t="s">
        <v>709</v>
      </c>
      <c r="G1751" s="38" t="s">
        <v>1072</v>
      </c>
    </row>
    <row r="1752" spans="1:14" x14ac:dyDescent="0.25">
      <c r="A1752" s="2"/>
      <c r="B1752" s="37" t="s">
        <v>709</v>
      </c>
      <c r="C1752" s="38" t="s">
        <v>1072</v>
      </c>
      <c r="D1752" s="37"/>
      <c r="E1752" s="36"/>
      <c r="F1752" s="38"/>
      <c r="G1752" s="39"/>
    </row>
    <row r="1753" spans="1:14" x14ac:dyDescent="0.25">
      <c r="A1753" s="3"/>
      <c r="B1753" s="40" t="s">
        <v>961</v>
      </c>
      <c r="C1753" s="41" t="s">
        <v>1073</v>
      </c>
      <c r="D1753" s="40"/>
      <c r="E1753" s="41"/>
      <c r="F1753" s="42"/>
      <c r="G1753" s="41"/>
    </row>
    <row r="1754" spans="1:14" x14ac:dyDescent="0.25">
      <c r="A1754" s="4" t="s">
        <v>8</v>
      </c>
      <c r="B1754" s="33" t="s">
        <v>176</v>
      </c>
      <c r="C1754" s="34" t="s">
        <v>1074</v>
      </c>
      <c r="D1754" s="33" t="s">
        <v>176</v>
      </c>
      <c r="E1754" s="34" t="s">
        <v>1074</v>
      </c>
      <c r="F1754" s="35" t="s">
        <v>176</v>
      </c>
      <c r="G1754" s="38" t="s">
        <v>1074</v>
      </c>
    </row>
    <row r="1755" spans="1:14" x14ac:dyDescent="0.25">
      <c r="A1755" s="2"/>
      <c r="B1755" s="37"/>
      <c r="C1755" s="38"/>
      <c r="D1755" s="37" t="s">
        <v>200</v>
      </c>
      <c r="E1755" s="38" t="s">
        <v>1072</v>
      </c>
      <c r="F1755" s="39"/>
      <c r="G1755" s="38"/>
    </row>
    <row r="1756" spans="1:14" x14ac:dyDescent="0.25">
      <c r="A1756" s="3"/>
      <c r="B1756" s="40"/>
      <c r="C1756" s="41"/>
      <c r="D1756" s="40"/>
      <c r="E1756" s="41"/>
      <c r="F1756" s="42"/>
      <c r="G1756" s="41"/>
    </row>
    <row r="1757" spans="1:14" x14ac:dyDescent="0.25">
      <c r="A1757" s="2" t="s">
        <v>9</v>
      </c>
      <c r="B1757" s="37" t="s">
        <v>962</v>
      </c>
      <c r="C1757" s="38" t="s">
        <v>1074</v>
      </c>
      <c r="D1757" s="37" t="s">
        <v>1092</v>
      </c>
      <c r="E1757" s="38" t="s">
        <v>1072</v>
      </c>
      <c r="F1757" s="39" t="s">
        <v>1033</v>
      </c>
      <c r="G1757" s="38" t="s">
        <v>1072</v>
      </c>
    </row>
    <row r="1758" spans="1:14" x14ac:dyDescent="0.25">
      <c r="A1758" s="2"/>
      <c r="B1758" s="37" t="s">
        <v>1115</v>
      </c>
      <c r="C1758" s="38" t="s">
        <v>1072</v>
      </c>
      <c r="D1758" s="37"/>
      <c r="E1758" s="38"/>
      <c r="F1758" s="48"/>
      <c r="G1758" s="38"/>
    </row>
    <row r="1759" spans="1:14" x14ac:dyDescent="0.25">
      <c r="A1759" s="3"/>
      <c r="B1759" s="40"/>
      <c r="C1759" s="41"/>
      <c r="D1759" s="40"/>
      <c r="E1759" s="41"/>
      <c r="F1759" s="42"/>
      <c r="G1759" s="41"/>
    </row>
    <row r="1760" spans="1:14" x14ac:dyDescent="0.25">
      <c r="A1760" s="2" t="s">
        <v>1224</v>
      </c>
      <c r="B1760" s="37" t="s">
        <v>1287</v>
      </c>
      <c r="C1760" s="38" t="s">
        <v>1074</v>
      </c>
      <c r="D1760" s="37" t="s">
        <v>1359</v>
      </c>
      <c r="E1760" s="38" t="s">
        <v>1074</v>
      </c>
      <c r="F1760" s="39" t="s">
        <v>1359</v>
      </c>
      <c r="G1760" s="36" t="s">
        <v>1074</v>
      </c>
      <c r="H1760" s="8"/>
    </row>
    <row r="1761" spans="1:14" x14ac:dyDescent="0.25">
      <c r="A1761" s="2"/>
      <c r="B1761" s="44"/>
      <c r="C1761" s="38"/>
      <c r="D1761" s="37"/>
      <c r="E1761" s="38"/>
      <c r="F1761" s="39"/>
      <c r="G1761" s="36"/>
      <c r="H1761" s="8"/>
    </row>
    <row r="1762" spans="1:14" x14ac:dyDescent="0.25">
      <c r="A1762" s="3"/>
      <c r="B1762" s="40"/>
      <c r="C1762" s="41"/>
      <c r="D1762" s="40"/>
      <c r="E1762" s="41"/>
      <c r="F1762" s="42"/>
      <c r="G1762" s="43"/>
      <c r="H1762" s="8"/>
    </row>
    <row r="1764" spans="1:14" x14ac:dyDescent="0.25">
      <c r="A1764" s="1">
        <v>89</v>
      </c>
      <c r="B1764" s="29" t="s">
        <v>1206</v>
      </c>
      <c r="C1764" s="30"/>
      <c r="D1764" s="29" t="s">
        <v>1218</v>
      </c>
      <c r="E1764" s="30"/>
      <c r="F1764" s="31" t="s">
        <v>1218</v>
      </c>
      <c r="G1764" s="49"/>
    </row>
    <row r="1765" spans="1:14" x14ac:dyDescent="0.25">
      <c r="A1765" s="4" t="s">
        <v>6</v>
      </c>
      <c r="B1765" s="33" t="s">
        <v>963</v>
      </c>
      <c r="C1765" s="34" t="s">
        <v>1074</v>
      </c>
      <c r="D1765" s="33" t="s">
        <v>1032</v>
      </c>
      <c r="E1765" s="34" t="s">
        <v>1074</v>
      </c>
      <c r="F1765" s="35" t="s">
        <v>173</v>
      </c>
      <c r="G1765" s="34" t="s">
        <v>1074</v>
      </c>
      <c r="I1765" s="7">
        <v>1</v>
      </c>
      <c r="J1765" s="6">
        <v>1</v>
      </c>
      <c r="K1765" s="7">
        <v>1</v>
      </c>
      <c r="L1765" s="6">
        <v>1</v>
      </c>
      <c r="M1765" s="7">
        <v>1</v>
      </c>
      <c r="N1765" s="7">
        <v>1</v>
      </c>
    </row>
    <row r="1766" spans="1:14" x14ac:dyDescent="0.25">
      <c r="A1766" s="2"/>
      <c r="B1766" s="37"/>
      <c r="C1766" s="38"/>
      <c r="D1766" s="37" t="s">
        <v>1034</v>
      </c>
      <c r="E1766" s="38" t="s">
        <v>1072</v>
      </c>
      <c r="F1766" s="39"/>
      <c r="G1766" s="38"/>
    </row>
    <row r="1767" spans="1:14" x14ac:dyDescent="0.25">
      <c r="A1767" s="3"/>
      <c r="B1767" s="40"/>
      <c r="C1767" s="41"/>
      <c r="D1767" s="40"/>
      <c r="E1767" s="41"/>
      <c r="F1767" s="42"/>
      <c r="G1767" s="41"/>
    </row>
    <row r="1768" spans="1:14" x14ac:dyDescent="0.25">
      <c r="A1768" s="4" t="s">
        <v>5</v>
      </c>
      <c r="B1768" s="33" t="s">
        <v>37</v>
      </c>
      <c r="C1768" s="34" t="s">
        <v>1074</v>
      </c>
      <c r="D1768" s="33" t="s">
        <v>37</v>
      </c>
      <c r="E1768" s="34" t="s">
        <v>1074</v>
      </c>
      <c r="F1768" s="35" t="s">
        <v>37</v>
      </c>
      <c r="G1768" s="38" t="s">
        <v>1074</v>
      </c>
    </row>
    <row r="1769" spans="1:14" x14ac:dyDescent="0.25">
      <c r="A1769" s="2"/>
      <c r="B1769" s="37"/>
      <c r="C1769" s="38"/>
      <c r="D1769" s="37"/>
      <c r="E1769" s="38"/>
      <c r="F1769" s="37"/>
      <c r="G1769" s="38"/>
    </row>
    <row r="1770" spans="1:14" x14ac:dyDescent="0.25">
      <c r="A1770" s="3"/>
      <c r="B1770" s="40"/>
      <c r="C1770" s="41"/>
      <c r="D1770" s="40"/>
      <c r="E1770" s="41"/>
      <c r="F1770" s="42"/>
      <c r="G1770" s="41"/>
    </row>
    <row r="1771" spans="1:14" x14ac:dyDescent="0.25">
      <c r="A1771" s="4" t="s">
        <v>7</v>
      </c>
      <c r="B1771" s="33" t="s">
        <v>964</v>
      </c>
      <c r="C1771" s="34" t="s">
        <v>1074</v>
      </c>
      <c r="D1771" s="33" t="s">
        <v>1025</v>
      </c>
      <c r="E1771" s="34" t="s">
        <v>1074</v>
      </c>
      <c r="F1771" s="39" t="s">
        <v>1093</v>
      </c>
      <c r="G1771" s="38" t="s">
        <v>1074</v>
      </c>
    </row>
    <row r="1772" spans="1:14" x14ac:dyDescent="0.25">
      <c r="A1772" s="2"/>
      <c r="B1772" s="37"/>
      <c r="C1772" s="38"/>
      <c r="D1772" s="37"/>
      <c r="E1772" s="36"/>
      <c r="F1772" s="38"/>
      <c r="G1772" s="39"/>
    </row>
    <row r="1773" spans="1:14" x14ac:dyDescent="0.25">
      <c r="A1773" s="3"/>
      <c r="B1773" s="40"/>
      <c r="C1773" s="41"/>
      <c r="D1773" s="40"/>
      <c r="E1773" s="41"/>
      <c r="F1773" s="42"/>
      <c r="G1773" s="41"/>
    </row>
    <row r="1774" spans="1:14" x14ac:dyDescent="0.25">
      <c r="A1774" s="4" t="s">
        <v>8</v>
      </c>
      <c r="B1774" s="33" t="s">
        <v>176</v>
      </c>
      <c r="C1774" s="34" t="s">
        <v>1074</v>
      </c>
      <c r="D1774" s="33" t="s">
        <v>176</v>
      </c>
      <c r="E1774" s="34" t="s">
        <v>1074</v>
      </c>
      <c r="F1774" s="35" t="s">
        <v>176</v>
      </c>
      <c r="G1774" s="38" t="s">
        <v>1074</v>
      </c>
    </row>
    <row r="1775" spans="1:14" x14ac:dyDescent="0.25">
      <c r="A1775" s="2"/>
      <c r="B1775" s="37"/>
      <c r="C1775" s="38"/>
      <c r="D1775" s="37"/>
      <c r="E1775" s="38"/>
      <c r="F1775" s="39"/>
      <c r="G1775" s="38"/>
    </row>
    <row r="1776" spans="1:14" x14ac:dyDescent="0.25">
      <c r="A1776" s="3"/>
      <c r="B1776" s="40"/>
      <c r="C1776" s="41"/>
      <c r="D1776" s="40"/>
      <c r="E1776" s="41"/>
      <c r="F1776" s="42"/>
      <c r="G1776" s="41"/>
    </row>
    <row r="1777" spans="1:14" x14ac:dyDescent="0.25">
      <c r="A1777" s="2" t="s">
        <v>9</v>
      </c>
      <c r="B1777" s="37" t="s">
        <v>965</v>
      </c>
      <c r="C1777" s="38" t="s">
        <v>1074</v>
      </c>
      <c r="D1777" s="37" t="s">
        <v>1095</v>
      </c>
      <c r="E1777" s="38" t="s">
        <v>1072</v>
      </c>
      <c r="F1777" s="39" t="s">
        <v>710</v>
      </c>
      <c r="G1777" s="38" t="s">
        <v>1074</v>
      </c>
    </row>
    <row r="1778" spans="1:14" x14ac:dyDescent="0.25">
      <c r="A1778" s="2"/>
      <c r="B1778" s="37"/>
      <c r="C1778" s="38"/>
      <c r="D1778" s="37" t="s">
        <v>1094</v>
      </c>
      <c r="E1778" s="38" t="s">
        <v>1074</v>
      </c>
      <c r="F1778" s="48"/>
      <c r="G1778" s="38"/>
    </row>
    <row r="1779" spans="1:14" x14ac:dyDescent="0.25">
      <c r="A1779" s="3"/>
      <c r="B1779" s="40"/>
      <c r="C1779" s="41"/>
      <c r="D1779" s="40"/>
      <c r="E1779" s="41"/>
      <c r="F1779" s="42"/>
      <c r="G1779" s="41"/>
    </row>
    <row r="1780" spans="1:14" x14ac:dyDescent="0.25">
      <c r="A1780" s="2" t="s">
        <v>1224</v>
      </c>
      <c r="B1780" s="37" t="s">
        <v>1287</v>
      </c>
      <c r="C1780" s="38" t="s">
        <v>1074</v>
      </c>
      <c r="D1780" s="37"/>
      <c r="E1780" s="38"/>
      <c r="F1780" s="39"/>
      <c r="G1780" s="36"/>
      <c r="H1780" s="8"/>
    </row>
    <row r="1781" spans="1:14" x14ac:dyDescent="0.25">
      <c r="A1781" s="2"/>
      <c r="B1781" s="44"/>
      <c r="C1781" s="38"/>
      <c r="D1781" s="37"/>
      <c r="E1781" s="38"/>
      <c r="F1781" s="39"/>
      <c r="G1781" s="36"/>
      <c r="H1781" s="8"/>
    </row>
    <row r="1782" spans="1:14" x14ac:dyDescent="0.25">
      <c r="A1782" s="3"/>
      <c r="B1782" s="40"/>
      <c r="C1782" s="41"/>
      <c r="D1782" s="40"/>
      <c r="E1782" s="41"/>
      <c r="F1782" s="42"/>
      <c r="G1782" s="43"/>
      <c r="H1782" s="8"/>
    </row>
    <row r="1784" spans="1:14" x14ac:dyDescent="0.25">
      <c r="A1784" s="1">
        <v>90</v>
      </c>
      <c r="B1784" s="29" t="s">
        <v>1207</v>
      </c>
      <c r="C1784" s="30"/>
      <c r="D1784" s="29" t="s">
        <v>1218</v>
      </c>
      <c r="E1784" s="30"/>
      <c r="F1784" s="31" t="s">
        <v>1218</v>
      </c>
      <c r="G1784" s="49"/>
    </row>
    <row r="1785" spans="1:14" x14ac:dyDescent="0.25">
      <c r="A1785" s="4" t="s">
        <v>6</v>
      </c>
      <c r="B1785" s="33" t="s">
        <v>966</v>
      </c>
      <c r="C1785" s="34" t="s">
        <v>1074</v>
      </c>
      <c r="D1785" s="33" t="s">
        <v>1051</v>
      </c>
      <c r="E1785" s="34" t="s">
        <v>1074</v>
      </c>
      <c r="F1785" s="35" t="s">
        <v>711</v>
      </c>
      <c r="G1785" s="34" t="s">
        <v>1074</v>
      </c>
      <c r="I1785" s="7">
        <v>1</v>
      </c>
      <c r="J1785" s="6">
        <v>0.33333333333333337</v>
      </c>
      <c r="K1785" s="7">
        <v>1</v>
      </c>
      <c r="L1785" s="6">
        <v>1</v>
      </c>
      <c r="M1785" s="7">
        <v>1</v>
      </c>
      <c r="N1785" s="7">
        <v>1</v>
      </c>
    </row>
    <row r="1786" spans="1:14" x14ac:dyDescent="0.25">
      <c r="A1786" s="2"/>
      <c r="B1786" s="37"/>
      <c r="C1786" s="38"/>
      <c r="D1786" s="37"/>
      <c r="E1786" s="38"/>
      <c r="F1786" s="39" t="s">
        <v>712</v>
      </c>
      <c r="G1786" s="38" t="s">
        <v>1072</v>
      </c>
    </row>
    <row r="1787" spans="1:14" x14ac:dyDescent="0.25">
      <c r="A1787" s="3"/>
      <c r="B1787" s="40"/>
      <c r="C1787" s="41"/>
      <c r="D1787" s="40"/>
      <c r="E1787" s="41"/>
      <c r="F1787" s="42"/>
      <c r="G1787" s="41"/>
    </row>
    <row r="1788" spans="1:14" x14ac:dyDescent="0.25">
      <c r="A1788" s="4" t="s">
        <v>5</v>
      </c>
      <c r="B1788" s="33" t="s">
        <v>967</v>
      </c>
      <c r="C1788" s="34" t="s">
        <v>1074</v>
      </c>
      <c r="D1788" s="33" t="s">
        <v>967</v>
      </c>
      <c r="E1788" s="34" t="s">
        <v>1074</v>
      </c>
      <c r="F1788" s="35"/>
      <c r="G1788" s="38"/>
    </row>
    <row r="1789" spans="1:14" x14ac:dyDescent="0.25">
      <c r="A1789" s="2"/>
      <c r="B1789" s="37"/>
      <c r="C1789" s="38"/>
      <c r="D1789" s="37"/>
      <c r="E1789" s="38"/>
      <c r="F1789" s="37"/>
      <c r="G1789" s="38"/>
    </row>
    <row r="1790" spans="1:14" x14ac:dyDescent="0.25">
      <c r="A1790" s="3"/>
      <c r="B1790" s="40"/>
      <c r="C1790" s="41"/>
      <c r="D1790" s="40"/>
      <c r="E1790" s="41"/>
      <c r="F1790" s="42"/>
      <c r="G1790" s="41"/>
    </row>
    <row r="1791" spans="1:14" x14ac:dyDescent="0.25">
      <c r="A1791" s="4" t="s">
        <v>7</v>
      </c>
      <c r="B1791" s="33" t="s">
        <v>181</v>
      </c>
      <c r="C1791" s="34" t="s">
        <v>1074</v>
      </c>
      <c r="D1791" s="33" t="s">
        <v>181</v>
      </c>
      <c r="E1791" s="34" t="s">
        <v>1074</v>
      </c>
      <c r="F1791" s="39" t="s">
        <v>181</v>
      </c>
      <c r="G1791" s="38" t="s">
        <v>1074</v>
      </c>
    </row>
    <row r="1792" spans="1:14" x14ac:dyDescent="0.25">
      <c r="A1792" s="2"/>
      <c r="B1792" s="37"/>
      <c r="C1792" s="38"/>
      <c r="D1792" s="37"/>
      <c r="E1792" s="36"/>
      <c r="F1792" s="38"/>
      <c r="G1792" s="39"/>
    </row>
    <row r="1793" spans="1:14" x14ac:dyDescent="0.25">
      <c r="A1793" s="3"/>
      <c r="B1793" s="40"/>
      <c r="C1793" s="41"/>
      <c r="D1793" s="40"/>
      <c r="E1793" s="41"/>
      <c r="F1793" s="42"/>
      <c r="G1793" s="41"/>
    </row>
    <row r="1794" spans="1:14" x14ac:dyDescent="0.25">
      <c r="A1794" s="4" t="s">
        <v>8</v>
      </c>
      <c r="B1794" s="33" t="s">
        <v>621</v>
      </c>
      <c r="C1794" s="34" t="s">
        <v>1074</v>
      </c>
      <c r="D1794" s="33" t="s">
        <v>1052</v>
      </c>
      <c r="E1794" s="34" t="s">
        <v>1074</v>
      </c>
      <c r="F1794" s="35" t="s">
        <v>713</v>
      </c>
      <c r="G1794" s="38" t="s">
        <v>1074</v>
      </c>
    </row>
    <row r="1795" spans="1:14" x14ac:dyDescent="0.25">
      <c r="A1795" s="2"/>
      <c r="B1795" s="37"/>
      <c r="C1795" s="38"/>
      <c r="D1795" s="37" t="s">
        <v>621</v>
      </c>
      <c r="E1795" s="38" t="s">
        <v>1074</v>
      </c>
      <c r="F1795" s="39" t="s">
        <v>714</v>
      </c>
      <c r="G1795" s="38" t="s">
        <v>1072</v>
      </c>
    </row>
    <row r="1796" spans="1:14" x14ac:dyDescent="0.25">
      <c r="A1796" s="3"/>
      <c r="B1796" s="40"/>
      <c r="C1796" s="41"/>
      <c r="D1796" s="40"/>
      <c r="E1796" s="41"/>
      <c r="F1796" s="42"/>
      <c r="G1796" s="41"/>
    </row>
    <row r="1797" spans="1:14" x14ac:dyDescent="0.25">
      <c r="A1797" s="2" t="s">
        <v>9</v>
      </c>
      <c r="B1797" s="37" t="s">
        <v>193</v>
      </c>
      <c r="C1797" s="38" t="s">
        <v>1074</v>
      </c>
      <c r="D1797" s="37" t="s">
        <v>1053</v>
      </c>
      <c r="E1797" s="38" t="s">
        <v>1074</v>
      </c>
      <c r="F1797" s="39" t="s">
        <v>1053</v>
      </c>
      <c r="G1797" s="38" t="s">
        <v>1074</v>
      </c>
    </row>
    <row r="1798" spans="1:14" x14ac:dyDescent="0.25">
      <c r="A1798" s="2"/>
      <c r="B1798" s="37"/>
      <c r="C1798" s="38"/>
      <c r="D1798" s="37"/>
      <c r="E1798" s="38"/>
      <c r="F1798" s="48"/>
      <c r="G1798" s="38"/>
    </row>
    <row r="1799" spans="1:14" x14ac:dyDescent="0.25">
      <c r="A1799" s="3"/>
      <c r="B1799" s="40"/>
      <c r="C1799" s="41"/>
      <c r="D1799" s="40"/>
      <c r="E1799" s="41"/>
      <c r="F1799" s="42"/>
      <c r="G1799" s="41"/>
    </row>
    <row r="1800" spans="1:14" x14ac:dyDescent="0.25">
      <c r="A1800" s="2" t="s">
        <v>1224</v>
      </c>
      <c r="B1800" s="37" t="s">
        <v>1288</v>
      </c>
      <c r="C1800" s="38" t="s">
        <v>1074</v>
      </c>
      <c r="D1800" s="37" t="s">
        <v>711</v>
      </c>
      <c r="E1800" s="38" t="s">
        <v>1074</v>
      </c>
      <c r="F1800" s="39"/>
      <c r="G1800" s="36"/>
      <c r="H1800" s="8"/>
    </row>
    <row r="1801" spans="1:14" x14ac:dyDescent="0.25">
      <c r="A1801" s="2"/>
      <c r="B1801" s="44"/>
      <c r="C1801" s="38"/>
      <c r="D1801" s="37"/>
      <c r="E1801" s="38"/>
      <c r="F1801" s="39"/>
      <c r="G1801" s="36"/>
      <c r="H1801" s="8"/>
    </row>
    <row r="1802" spans="1:14" x14ac:dyDescent="0.25">
      <c r="A1802" s="3"/>
      <c r="B1802" s="40"/>
      <c r="C1802" s="41"/>
      <c r="D1802" s="40"/>
      <c r="E1802" s="41"/>
      <c r="F1802" s="42"/>
      <c r="G1802" s="43"/>
      <c r="H1802" s="8"/>
    </row>
    <row r="1804" spans="1:14" x14ac:dyDescent="0.25">
      <c r="A1804" s="1">
        <v>91</v>
      </c>
      <c r="B1804" s="29" t="s">
        <v>1208</v>
      </c>
      <c r="C1804" s="30"/>
      <c r="D1804" s="29" t="s">
        <v>1218</v>
      </c>
      <c r="E1804" s="30"/>
      <c r="F1804" s="31" t="s">
        <v>1218</v>
      </c>
      <c r="G1804" s="49"/>
    </row>
    <row r="1805" spans="1:14" x14ac:dyDescent="0.25">
      <c r="A1805" s="4" t="s">
        <v>6</v>
      </c>
      <c r="B1805" s="33" t="s">
        <v>968</v>
      </c>
      <c r="C1805" s="34" t="s">
        <v>1074</v>
      </c>
      <c r="D1805" s="33" t="s">
        <v>715</v>
      </c>
      <c r="E1805" s="34" t="s">
        <v>1074</v>
      </c>
      <c r="F1805" s="35" t="s">
        <v>715</v>
      </c>
      <c r="G1805" s="34" t="s">
        <v>1074</v>
      </c>
      <c r="I1805" s="7">
        <v>1</v>
      </c>
      <c r="J1805" s="6">
        <v>1</v>
      </c>
      <c r="K1805" s="7">
        <v>1</v>
      </c>
      <c r="L1805" s="6">
        <v>1</v>
      </c>
      <c r="M1805" s="7">
        <v>1</v>
      </c>
      <c r="N1805" s="7">
        <v>1</v>
      </c>
    </row>
    <row r="1806" spans="1:14" x14ac:dyDescent="0.25">
      <c r="A1806" s="2"/>
      <c r="B1806" s="37"/>
      <c r="C1806" s="38"/>
      <c r="D1806" s="37"/>
      <c r="E1806" s="38"/>
      <c r="F1806" s="39"/>
      <c r="G1806" s="38"/>
    </row>
    <row r="1807" spans="1:14" x14ac:dyDescent="0.25">
      <c r="A1807" s="3"/>
      <c r="B1807" s="40"/>
      <c r="C1807" s="41"/>
      <c r="D1807" s="40"/>
      <c r="E1807" s="41"/>
      <c r="F1807" s="42"/>
      <c r="G1807" s="41"/>
    </row>
    <row r="1808" spans="1:14" x14ac:dyDescent="0.25">
      <c r="A1808" s="4" t="s">
        <v>5</v>
      </c>
      <c r="B1808" s="33" t="s">
        <v>116</v>
      </c>
      <c r="C1808" s="34" t="s">
        <v>1074</v>
      </c>
      <c r="D1808" s="33" t="s">
        <v>116</v>
      </c>
      <c r="E1808" s="34" t="s">
        <v>1074</v>
      </c>
      <c r="F1808" s="35" t="s">
        <v>116</v>
      </c>
      <c r="G1808" s="38" t="s">
        <v>1074</v>
      </c>
    </row>
    <row r="1809" spans="1:8" x14ac:dyDescent="0.25">
      <c r="A1809" s="2"/>
      <c r="B1809" s="37"/>
      <c r="C1809" s="38"/>
      <c r="D1809" s="37"/>
      <c r="E1809" s="38"/>
      <c r="F1809" s="37"/>
      <c r="G1809" s="38"/>
    </row>
    <row r="1810" spans="1:8" x14ac:dyDescent="0.25">
      <c r="A1810" s="3"/>
      <c r="B1810" s="40"/>
      <c r="C1810" s="41"/>
      <c r="D1810" s="40"/>
      <c r="E1810" s="41"/>
      <c r="F1810" s="42"/>
      <c r="G1810" s="41"/>
    </row>
    <row r="1811" spans="1:8" x14ac:dyDescent="0.25">
      <c r="A1811" s="4" t="s">
        <v>7</v>
      </c>
      <c r="B1811" s="33" t="s">
        <v>722</v>
      </c>
      <c r="C1811" s="34" t="s">
        <v>1074</v>
      </c>
      <c r="D1811" s="33" t="s">
        <v>1049</v>
      </c>
      <c r="E1811" s="34" t="s">
        <v>1074</v>
      </c>
      <c r="F1811" s="39" t="s">
        <v>716</v>
      </c>
      <c r="G1811" s="38" t="s">
        <v>1074</v>
      </c>
    </row>
    <row r="1812" spans="1:8" x14ac:dyDescent="0.25">
      <c r="A1812" s="2"/>
      <c r="B1812" s="37"/>
      <c r="C1812" s="38"/>
      <c r="D1812" s="37"/>
      <c r="E1812" s="36"/>
      <c r="F1812" s="38"/>
      <c r="G1812" s="39"/>
    </row>
    <row r="1813" spans="1:8" x14ac:dyDescent="0.25">
      <c r="A1813" s="3"/>
      <c r="B1813" s="40"/>
      <c r="C1813" s="41"/>
      <c r="D1813" s="40"/>
      <c r="E1813" s="41"/>
      <c r="F1813" s="42"/>
      <c r="G1813" s="41"/>
    </row>
    <row r="1814" spans="1:8" x14ac:dyDescent="0.25">
      <c r="A1814" s="4" t="s">
        <v>8</v>
      </c>
      <c r="B1814" s="33" t="s">
        <v>200</v>
      </c>
      <c r="C1814" s="34" t="s">
        <v>1074</v>
      </c>
      <c r="D1814" s="33" t="s">
        <v>1050</v>
      </c>
      <c r="E1814" s="34" t="s">
        <v>1056</v>
      </c>
      <c r="F1814" s="35" t="s">
        <v>200</v>
      </c>
      <c r="G1814" s="38" t="s">
        <v>1074</v>
      </c>
    </row>
    <row r="1815" spans="1:8" x14ac:dyDescent="0.25">
      <c r="A1815" s="2"/>
      <c r="B1815" s="37" t="s">
        <v>542</v>
      </c>
      <c r="C1815" s="38" t="s">
        <v>1072</v>
      </c>
      <c r="D1815" s="37"/>
      <c r="E1815" s="38"/>
      <c r="F1815" s="39" t="s">
        <v>542</v>
      </c>
      <c r="G1815" s="38" t="s">
        <v>1074</v>
      </c>
    </row>
    <row r="1816" spans="1:8" x14ac:dyDescent="0.25">
      <c r="A1816" s="3"/>
      <c r="B1816" s="40"/>
      <c r="C1816" s="41"/>
      <c r="D1816" s="40"/>
      <c r="E1816" s="41"/>
      <c r="F1816" s="42"/>
      <c r="G1816" s="41"/>
    </row>
    <row r="1817" spans="1:8" x14ac:dyDescent="0.25">
      <c r="A1817" s="2" t="s">
        <v>9</v>
      </c>
      <c r="B1817" s="37" t="s">
        <v>969</v>
      </c>
      <c r="C1817" s="38" t="s">
        <v>1074</v>
      </c>
      <c r="D1817" s="37" t="s">
        <v>717</v>
      </c>
      <c r="E1817" s="38" t="s">
        <v>1074</v>
      </c>
      <c r="F1817" s="39" t="s">
        <v>717</v>
      </c>
      <c r="G1817" s="38"/>
    </row>
    <row r="1818" spans="1:8" x14ac:dyDescent="0.25">
      <c r="A1818" s="2"/>
      <c r="B1818" s="37"/>
      <c r="C1818" s="38"/>
      <c r="D1818" s="37"/>
      <c r="E1818" s="38"/>
      <c r="F1818" s="48"/>
      <c r="G1818" s="38"/>
    </row>
    <row r="1819" spans="1:8" x14ac:dyDescent="0.25">
      <c r="A1819" s="3"/>
      <c r="B1819" s="40"/>
      <c r="C1819" s="41"/>
      <c r="D1819" s="40"/>
      <c r="E1819" s="41"/>
      <c r="F1819" s="42"/>
      <c r="G1819" s="41"/>
    </row>
    <row r="1820" spans="1:8" x14ac:dyDescent="0.25">
      <c r="A1820" s="2" t="s">
        <v>1224</v>
      </c>
      <c r="B1820" s="37" t="s">
        <v>1289</v>
      </c>
      <c r="C1820" s="38" t="s">
        <v>1074</v>
      </c>
      <c r="D1820" s="37" t="s">
        <v>1360</v>
      </c>
      <c r="E1820" s="38" t="s">
        <v>1072</v>
      </c>
      <c r="F1820" s="39"/>
      <c r="G1820" s="36"/>
      <c r="H1820" s="8"/>
    </row>
    <row r="1821" spans="1:8" x14ac:dyDescent="0.25">
      <c r="A1821" s="2"/>
      <c r="B1821" s="44"/>
      <c r="C1821" s="38"/>
      <c r="D1821" s="37"/>
      <c r="E1821" s="38"/>
      <c r="F1821" s="39"/>
      <c r="G1821" s="36"/>
      <c r="H1821" s="8"/>
    </row>
    <row r="1822" spans="1:8" x14ac:dyDescent="0.25">
      <c r="A1822" s="3"/>
      <c r="B1822" s="40"/>
      <c r="C1822" s="41"/>
      <c r="D1822" s="40"/>
      <c r="E1822" s="41"/>
      <c r="F1822" s="42"/>
      <c r="G1822" s="43"/>
      <c r="H1822" s="8"/>
    </row>
    <row r="1824" spans="1:8" x14ac:dyDescent="0.25">
      <c r="A1824" s="1">
        <v>92</v>
      </c>
      <c r="B1824" s="29" t="s">
        <v>1209</v>
      </c>
      <c r="C1824" s="30"/>
      <c r="D1824" s="29" t="s">
        <v>1218</v>
      </c>
      <c r="E1824" s="30"/>
      <c r="F1824" s="31" t="s">
        <v>1218</v>
      </c>
      <c r="G1824" s="49"/>
    </row>
    <row r="1825" spans="1:14" x14ac:dyDescent="0.25">
      <c r="A1825" s="4" t="s">
        <v>6</v>
      </c>
      <c r="B1825" s="33" t="s">
        <v>970</v>
      </c>
      <c r="C1825" s="34" t="s">
        <v>1074</v>
      </c>
      <c r="D1825" s="33" t="s">
        <v>718</v>
      </c>
      <c r="E1825" s="34" t="s">
        <v>1074</v>
      </c>
      <c r="F1825" s="35" t="s">
        <v>718</v>
      </c>
      <c r="G1825" s="34" t="s">
        <v>1074</v>
      </c>
      <c r="I1825" s="7">
        <v>1</v>
      </c>
      <c r="J1825" s="6">
        <v>1</v>
      </c>
      <c r="K1825" s="7">
        <v>1</v>
      </c>
      <c r="L1825" s="6">
        <v>1</v>
      </c>
      <c r="M1825" s="7">
        <v>0.33333333333333337</v>
      </c>
      <c r="N1825" s="7">
        <v>0.33333333333333337</v>
      </c>
    </row>
    <row r="1826" spans="1:14" x14ac:dyDescent="0.25">
      <c r="A1826" s="2"/>
      <c r="B1826" s="37"/>
      <c r="C1826" s="38"/>
      <c r="D1826" s="37"/>
      <c r="E1826" s="38"/>
      <c r="F1826" s="39"/>
      <c r="G1826" s="38"/>
    </row>
    <row r="1827" spans="1:14" x14ac:dyDescent="0.25">
      <c r="A1827" s="3"/>
      <c r="B1827" s="40"/>
      <c r="C1827" s="41"/>
      <c r="D1827" s="40"/>
      <c r="E1827" s="41"/>
      <c r="F1827" s="42"/>
      <c r="G1827" s="41"/>
    </row>
    <row r="1828" spans="1:14" x14ac:dyDescent="0.25">
      <c r="A1828" s="4" t="s">
        <v>5</v>
      </c>
      <c r="B1828" s="33" t="s">
        <v>116</v>
      </c>
      <c r="C1828" s="34" t="s">
        <v>1074</v>
      </c>
      <c r="D1828" s="33" t="s">
        <v>116</v>
      </c>
      <c r="E1828" s="34" t="s">
        <v>1074</v>
      </c>
      <c r="F1828" s="35" t="s">
        <v>116</v>
      </c>
      <c r="G1828" s="38" t="s">
        <v>1074</v>
      </c>
    </row>
    <row r="1829" spans="1:14" x14ac:dyDescent="0.25">
      <c r="A1829" s="2"/>
      <c r="B1829" s="37"/>
      <c r="C1829" s="38"/>
      <c r="D1829" s="37"/>
      <c r="E1829" s="38"/>
      <c r="F1829" s="37"/>
      <c r="G1829" s="38"/>
    </row>
    <row r="1830" spans="1:14" x14ac:dyDescent="0.25">
      <c r="A1830" s="3"/>
      <c r="B1830" s="40"/>
      <c r="C1830" s="41"/>
      <c r="D1830" s="40"/>
      <c r="E1830" s="41"/>
      <c r="F1830" s="42"/>
      <c r="G1830" s="41"/>
    </row>
    <row r="1831" spans="1:14" x14ac:dyDescent="0.25">
      <c r="A1831" s="4" t="s">
        <v>7</v>
      </c>
      <c r="B1831" s="33" t="s">
        <v>722</v>
      </c>
      <c r="C1831" s="34" t="s">
        <v>1074</v>
      </c>
      <c r="D1831" s="33" t="s">
        <v>722</v>
      </c>
      <c r="E1831" s="34" t="s">
        <v>1074</v>
      </c>
      <c r="F1831" s="39" t="s">
        <v>716</v>
      </c>
      <c r="G1831" s="38" t="s">
        <v>1074</v>
      </c>
    </row>
    <row r="1832" spans="1:14" x14ac:dyDescent="0.25">
      <c r="A1832" s="2"/>
      <c r="B1832" s="37"/>
      <c r="C1832" s="38"/>
      <c r="D1832" s="37"/>
      <c r="E1832" s="36"/>
      <c r="F1832" s="38"/>
      <c r="G1832" s="39"/>
    </row>
    <row r="1833" spans="1:14" x14ac:dyDescent="0.25">
      <c r="A1833" s="3"/>
      <c r="B1833" s="40"/>
      <c r="C1833" s="41"/>
      <c r="D1833" s="40"/>
      <c r="E1833" s="41"/>
      <c r="F1833" s="42"/>
      <c r="G1833" s="41"/>
    </row>
    <row r="1834" spans="1:14" x14ac:dyDescent="0.25">
      <c r="A1834" s="4" t="s">
        <v>8</v>
      </c>
      <c r="B1834" s="33" t="s">
        <v>542</v>
      </c>
      <c r="C1834" s="34" t="s">
        <v>1074</v>
      </c>
      <c r="D1834" s="33" t="s">
        <v>1048</v>
      </c>
      <c r="E1834" s="34" t="s">
        <v>1056</v>
      </c>
      <c r="F1834" s="35" t="s">
        <v>542</v>
      </c>
      <c r="G1834" s="38" t="s">
        <v>1074</v>
      </c>
    </row>
    <row r="1835" spans="1:14" x14ac:dyDescent="0.25">
      <c r="A1835" s="2"/>
      <c r="B1835" s="37" t="s">
        <v>200</v>
      </c>
      <c r="C1835" s="38" t="s">
        <v>1072</v>
      </c>
      <c r="D1835" s="37"/>
      <c r="E1835" s="38"/>
      <c r="F1835" s="39" t="s">
        <v>200</v>
      </c>
      <c r="G1835" s="38" t="s">
        <v>1072</v>
      </c>
    </row>
    <row r="1836" spans="1:14" x14ac:dyDescent="0.25">
      <c r="A1836" s="3"/>
      <c r="B1836" s="40"/>
      <c r="C1836" s="41"/>
      <c r="D1836" s="40"/>
      <c r="E1836" s="41"/>
      <c r="F1836" s="42"/>
      <c r="G1836" s="41"/>
    </row>
    <row r="1837" spans="1:14" x14ac:dyDescent="0.25">
      <c r="A1837" s="2" t="s">
        <v>9</v>
      </c>
      <c r="B1837" s="37"/>
      <c r="C1837" s="38"/>
      <c r="D1837" s="37"/>
      <c r="E1837" s="38"/>
      <c r="F1837" s="39" t="s">
        <v>719</v>
      </c>
      <c r="G1837" s="38" t="s">
        <v>1074</v>
      </c>
    </row>
    <row r="1838" spans="1:14" x14ac:dyDescent="0.25">
      <c r="A1838" s="2"/>
      <c r="B1838" s="37"/>
      <c r="C1838" s="38"/>
      <c r="D1838" s="37"/>
      <c r="E1838" s="38"/>
      <c r="F1838" s="48"/>
      <c r="G1838" s="38"/>
    </row>
    <row r="1839" spans="1:14" x14ac:dyDescent="0.25">
      <c r="A1839" s="3"/>
      <c r="B1839" s="40"/>
      <c r="C1839" s="41"/>
      <c r="D1839" s="40"/>
      <c r="E1839" s="41"/>
      <c r="F1839" s="42"/>
      <c r="G1839" s="41"/>
    </row>
    <row r="1840" spans="1:14" x14ac:dyDescent="0.25">
      <c r="A1840" s="2" t="s">
        <v>1224</v>
      </c>
      <c r="B1840" s="37"/>
      <c r="C1840" s="38"/>
      <c r="D1840" s="37"/>
      <c r="E1840" s="38"/>
      <c r="F1840" s="39"/>
      <c r="G1840" s="36"/>
      <c r="H1840" s="8"/>
    </row>
    <row r="1841" spans="1:14" x14ac:dyDescent="0.25">
      <c r="A1841" s="2"/>
      <c r="B1841" s="44"/>
      <c r="C1841" s="38"/>
      <c r="D1841" s="37"/>
      <c r="E1841" s="38"/>
      <c r="F1841" s="39"/>
      <c r="G1841" s="36"/>
      <c r="H1841" s="8"/>
    </row>
    <row r="1842" spans="1:14" x14ac:dyDescent="0.25">
      <c r="A1842" s="3"/>
      <c r="B1842" s="40"/>
      <c r="C1842" s="41"/>
      <c r="D1842" s="40"/>
      <c r="E1842" s="41"/>
      <c r="F1842" s="42"/>
      <c r="G1842" s="43"/>
      <c r="H1842" s="8"/>
    </row>
    <row r="1844" spans="1:14" x14ac:dyDescent="0.25">
      <c r="A1844" s="1">
        <v>93</v>
      </c>
      <c r="B1844" s="29" t="s">
        <v>1210</v>
      </c>
      <c r="C1844" s="30"/>
      <c r="D1844" s="29" t="s">
        <v>1218</v>
      </c>
      <c r="E1844" s="30"/>
      <c r="F1844" s="31" t="s">
        <v>1218</v>
      </c>
      <c r="G1844" s="49"/>
    </row>
    <row r="1845" spans="1:14" x14ac:dyDescent="0.25">
      <c r="A1845" s="4" t="s">
        <v>6</v>
      </c>
      <c r="B1845" s="33" t="s">
        <v>971</v>
      </c>
      <c r="C1845" s="34" t="s">
        <v>1074</v>
      </c>
      <c r="D1845" s="33" t="s">
        <v>720</v>
      </c>
      <c r="E1845" s="34" t="s">
        <v>1072</v>
      </c>
      <c r="F1845" s="35" t="s">
        <v>720</v>
      </c>
      <c r="G1845" s="34" t="s">
        <v>1072</v>
      </c>
      <c r="I1845" s="7">
        <v>0.33333333333333337</v>
      </c>
      <c r="J1845" s="6">
        <v>0.33333333333333337</v>
      </c>
      <c r="K1845" s="7">
        <v>1</v>
      </c>
      <c r="L1845" s="6">
        <v>1</v>
      </c>
      <c r="M1845" s="7">
        <v>0.33333333333333337</v>
      </c>
      <c r="N1845" s="7">
        <v>0.33333333333333337</v>
      </c>
    </row>
    <row r="1846" spans="1:14" x14ac:dyDescent="0.25">
      <c r="A1846" s="2"/>
      <c r="B1846" s="37"/>
      <c r="C1846" s="38"/>
      <c r="D1846" s="37"/>
      <c r="E1846" s="38"/>
      <c r="F1846" s="39"/>
      <c r="G1846" s="38"/>
    </row>
    <row r="1847" spans="1:14" x14ac:dyDescent="0.25">
      <c r="A1847" s="3"/>
      <c r="B1847" s="40"/>
      <c r="C1847" s="41"/>
      <c r="D1847" s="40"/>
      <c r="E1847" s="41"/>
      <c r="F1847" s="42"/>
      <c r="G1847" s="41"/>
    </row>
    <row r="1848" spans="1:14" x14ac:dyDescent="0.25">
      <c r="A1848" s="4" t="s">
        <v>5</v>
      </c>
      <c r="B1848" s="33"/>
      <c r="C1848" s="34"/>
      <c r="D1848" s="33" t="s">
        <v>721</v>
      </c>
      <c r="E1848" s="34" t="s">
        <v>1074</v>
      </c>
      <c r="F1848" s="35" t="s">
        <v>721</v>
      </c>
      <c r="G1848" s="38" t="s">
        <v>1074</v>
      </c>
    </row>
    <row r="1849" spans="1:14" x14ac:dyDescent="0.25">
      <c r="A1849" s="2"/>
      <c r="B1849" s="37"/>
      <c r="C1849" s="38"/>
      <c r="D1849" s="37"/>
      <c r="E1849" s="38"/>
      <c r="F1849" s="37"/>
      <c r="G1849" s="38"/>
    </row>
    <row r="1850" spans="1:14" x14ac:dyDescent="0.25">
      <c r="A1850" s="3"/>
      <c r="B1850" s="40"/>
      <c r="C1850" s="41"/>
      <c r="D1850" s="40"/>
      <c r="E1850" s="41"/>
      <c r="F1850" s="42"/>
      <c r="G1850" s="41"/>
    </row>
    <row r="1851" spans="1:14" x14ac:dyDescent="0.25">
      <c r="A1851" s="4" t="s">
        <v>7</v>
      </c>
      <c r="B1851" s="33" t="s">
        <v>722</v>
      </c>
      <c r="C1851" s="34" t="s">
        <v>1074</v>
      </c>
      <c r="D1851" s="33" t="s">
        <v>730</v>
      </c>
      <c r="E1851" s="34" t="s">
        <v>1072</v>
      </c>
      <c r="F1851" s="39" t="s">
        <v>722</v>
      </c>
      <c r="G1851" s="38" t="s">
        <v>1074</v>
      </c>
    </row>
    <row r="1852" spans="1:14" x14ac:dyDescent="0.25">
      <c r="A1852" s="2"/>
      <c r="B1852" s="37" t="s">
        <v>730</v>
      </c>
      <c r="C1852" s="38" t="s">
        <v>1072</v>
      </c>
      <c r="D1852" s="37" t="s">
        <v>722</v>
      </c>
      <c r="E1852" s="36" t="s">
        <v>1074</v>
      </c>
      <c r="F1852" s="38"/>
      <c r="G1852" s="39"/>
    </row>
    <row r="1853" spans="1:14" x14ac:dyDescent="0.25">
      <c r="A1853" s="3"/>
      <c r="B1853" s="40"/>
      <c r="C1853" s="41"/>
      <c r="D1853" s="40"/>
      <c r="E1853" s="41"/>
      <c r="F1853" s="42"/>
      <c r="G1853" s="41"/>
    </row>
    <row r="1854" spans="1:14" x14ac:dyDescent="0.25">
      <c r="A1854" s="4" t="s">
        <v>8</v>
      </c>
      <c r="B1854" s="33" t="s">
        <v>972</v>
      </c>
      <c r="C1854" s="34" t="s">
        <v>1074</v>
      </c>
      <c r="D1854" s="33" t="s">
        <v>200</v>
      </c>
      <c r="E1854" s="34" t="s">
        <v>1074</v>
      </c>
      <c r="F1854" s="35" t="s">
        <v>200</v>
      </c>
      <c r="G1854" s="38" t="s">
        <v>1074</v>
      </c>
    </row>
    <row r="1855" spans="1:14" x14ac:dyDescent="0.25">
      <c r="A1855" s="2"/>
      <c r="B1855" s="37" t="s">
        <v>542</v>
      </c>
      <c r="C1855" s="38" t="s">
        <v>1072</v>
      </c>
      <c r="D1855" s="37"/>
      <c r="E1855" s="38"/>
      <c r="F1855" s="39"/>
      <c r="G1855" s="38"/>
    </row>
    <row r="1856" spans="1:14" x14ac:dyDescent="0.25">
      <c r="A1856" s="3"/>
      <c r="B1856" s="40"/>
      <c r="C1856" s="41"/>
      <c r="D1856" s="40"/>
      <c r="E1856" s="41"/>
      <c r="F1856" s="42"/>
      <c r="G1856" s="41"/>
    </row>
    <row r="1857" spans="1:14" x14ac:dyDescent="0.25">
      <c r="A1857" s="2" t="s">
        <v>9</v>
      </c>
      <c r="B1857" s="37"/>
      <c r="C1857" s="38"/>
      <c r="D1857" s="37" t="s">
        <v>1047</v>
      </c>
      <c r="E1857" s="38" t="s">
        <v>1074</v>
      </c>
      <c r="F1857" s="39" t="s">
        <v>723</v>
      </c>
      <c r="G1857" s="38" t="s">
        <v>1074</v>
      </c>
    </row>
    <row r="1858" spans="1:14" x14ac:dyDescent="0.25">
      <c r="A1858" s="2"/>
      <c r="B1858" s="37"/>
      <c r="C1858" s="38"/>
      <c r="D1858" s="37"/>
      <c r="E1858" s="38"/>
      <c r="F1858" s="48"/>
      <c r="G1858" s="38"/>
    </row>
    <row r="1859" spans="1:14" x14ac:dyDescent="0.25">
      <c r="A1859" s="3"/>
      <c r="B1859" s="40"/>
      <c r="C1859" s="41"/>
      <c r="D1859" s="40"/>
      <c r="E1859" s="41"/>
      <c r="F1859" s="42"/>
      <c r="G1859" s="41"/>
    </row>
    <row r="1860" spans="1:14" x14ac:dyDescent="0.25">
      <c r="A1860" s="2" t="s">
        <v>1224</v>
      </c>
      <c r="B1860" s="37" t="s">
        <v>1290</v>
      </c>
      <c r="C1860" s="38" t="s">
        <v>1074</v>
      </c>
      <c r="D1860" s="37" t="s">
        <v>1361</v>
      </c>
      <c r="E1860" s="38" t="s">
        <v>1072</v>
      </c>
      <c r="F1860" s="39"/>
      <c r="G1860" s="36"/>
      <c r="H1860" s="8"/>
    </row>
    <row r="1861" spans="1:14" x14ac:dyDescent="0.25">
      <c r="A1861" s="2"/>
      <c r="B1861" s="44"/>
      <c r="C1861" s="38"/>
      <c r="D1861" s="37"/>
      <c r="E1861" s="38"/>
      <c r="F1861" s="39"/>
      <c r="G1861" s="36"/>
      <c r="H1861" s="8"/>
    </row>
    <row r="1862" spans="1:14" x14ac:dyDescent="0.25">
      <c r="A1862" s="3"/>
      <c r="B1862" s="40"/>
      <c r="C1862" s="41"/>
      <c r="D1862" s="40"/>
      <c r="E1862" s="41"/>
      <c r="F1862" s="42"/>
      <c r="G1862" s="43"/>
      <c r="H1862" s="8"/>
    </row>
    <row r="1864" spans="1:14" x14ac:dyDescent="0.25">
      <c r="A1864" s="1">
        <v>94</v>
      </c>
      <c r="B1864" s="29" t="s">
        <v>1211</v>
      </c>
      <c r="C1864" s="30"/>
      <c r="D1864" s="29" t="s">
        <v>1218</v>
      </c>
      <c r="E1864" s="30"/>
      <c r="F1864" s="31" t="s">
        <v>1218</v>
      </c>
      <c r="G1864" s="49"/>
    </row>
    <row r="1865" spans="1:14" x14ac:dyDescent="0.25">
      <c r="A1865" s="4" t="s">
        <v>6</v>
      </c>
      <c r="B1865" s="33" t="s">
        <v>973</v>
      </c>
      <c r="C1865" s="34" t="s">
        <v>1074</v>
      </c>
      <c r="D1865" s="33" t="s">
        <v>1045</v>
      </c>
      <c r="E1865" s="34" t="s">
        <v>1074</v>
      </c>
      <c r="F1865" s="35" t="s">
        <v>724</v>
      </c>
      <c r="G1865" s="34" t="s">
        <v>1074</v>
      </c>
      <c r="I1865" s="7">
        <v>1</v>
      </c>
      <c r="J1865" s="6">
        <v>1</v>
      </c>
      <c r="K1865" s="7">
        <v>0.33333333333333337</v>
      </c>
      <c r="L1865" s="6">
        <v>1</v>
      </c>
      <c r="M1865" s="7">
        <v>1</v>
      </c>
      <c r="N1865" s="7">
        <v>1</v>
      </c>
    </row>
    <row r="1866" spans="1:14" x14ac:dyDescent="0.25">
      <c r="A1866" s="2"/>
      <c r="B1866" s="37"/>
      <c r="C1866" s="38"/>
      <c r="D1866" s="37"/>
      <c r="E1866" s="38"/>
      <c r="F1866" s="39"/>
      <c r="G1866" s="38"/>
    </row>
    <row r="1867" spans="1:14" x14ac:dyDescent="0.25">
      <c r="A1867" s="3"/>
      <c r="B1867" s="40"/>
      <c r="C1867" s="41"/>
      <c r="D1867" s="40"/>
      <c r="E1867" s="41"/>
      <c r="F1867" s="42"/>
      <c r="G1867" s="41"/>
    </row>
    <row r="1868" spans="1:14" x14ac:dyDescent="0.25">
      <c r="A1868" s="4" t="s">
        <v>5</v>
      </c>
      <c r="B1868" s="33"/>
      <c r="C1868" s="34"/>
      <c r="D1868" s="33"/>
      <c r="E1868" s="34"/>
      <c r="F1868" s="35"/>
      <c r="G1868" s="38"/>
    </row>
    <row r="1869" spans="1:14" x14ac:dyDescent="0.25">
      <c r="A1869" s="2"/>
      <c r="B1869" s="37"/>
      <c r="C1869" s="38"/>
      <c r="D1869" s="37"/>
      <c r="E1869" s="38"/>
      <c r="F1869" s="37"/>
      <c r="G1869" s="38"/>
    </row>
    <row r="1870" spans="1:14" x14ac:dyDescent="0.25">
      <c r="A1870" s="3"/>
      <c r="B1870" s="40"/>
      <c r="C1870" s="41"/>
      <c r="D1870" s="40"/>
      <c r="E1870" s="41"/>
      <c r="F1870" s="42"/>
      <c r="G1870" s="41"/>
    </row>
    <row r="1871" spans="1:14" x14ac:dyDescent="0.25">
      <c r="A1871" s="4" t="s">
        <v>7</v>
      </c>
      <c r="B1871" s="33" t="s">
        <v>722</v>
      </c>
      <c r="C1871" s="34" t="s">
        <v>1074</v>
      </c>
      <c r="D1871" s="33" t="s">
        <v>722</v>
      </c>
      <c r="E1871" s="34" t="s">
        <v>1074</v>
      </c>
      <c r="F1871" s="39"/>
      <c r="G1871" s="38"/>
    </row>
    <row r="1872" spans="1:14" x14ac:dyDescent="0.25">
      <c r="A1872" s="2"/>
      <c r="B1872" s="37"/>
      <c r="C1872" s="38"/>
      <c r="D1872" s="37"/>
      <c r="E1872" s="36"/>
      <c r="F1872" s="38"/>
      <c r="G1872" s="39"/>
    </row>
    <row r="1873" spans="1:14" x14ac:dyDescent="0.25">
      <c r="A1873" s="3"/>
      <c r="B1873" s="40"/>
      <c r="C1873" s="41"/>
      <c r="D1873" s="40"/>
      <c r="E1873" s="41"/>
      <c r="F1873" s="42"/>
      <c r="G1873" s="41"/>
    </row>
    <row r="1874" spans="1:14" x14ac:dyDescent="0.25">
      <c r="A1874" s="4" t="s">
        <v>8</v>
      </c>
      <c r="B1874" s="33" t="s">
        <v>725</v>
      </c>
      <c r="C1874" s="34" t="s">
        <v>1074</v>
      </c>
      <c r="D1874" s="33" t="s">
        <v>1046</v>
      </c>
      <c r="E1874" s="34" t="s">
        <v>1074</v>
      </c>
      <c r="F1874" s="35" t="s">
        <v>725</v>
      </c>
      <c r="G1874" s="38" t="s">
        <v>1074</v>
      </c>
    </row>
    <row r="1875" spans="1:14" x14ac:dyDescent="0.25">
      <c r="A1875" s="2"/>
      <c r="B1875" s="37" t="s">
        <v>974</v>
      </c>
      <c r="C1875" s="38" t="s">
        <v>1074</v>
      </c>
      <c r="D1875" s="37"/>
      <c r="E1875" s="38"/>
      <c r="F1875" s="39"/>
      <c r="G1875" s="38"/>
    </row>
    <row r="1876" spans="1:14" x14ac:dyDescent="0.25">
      <c r="A1876" s="3"/>
      <c r="B1876" s="40"/>
      <c r="C1876" s="41"/>
      <c r="D1876" s="40"/>
      <c r="E1876" s="41"/>
      <c r="F1876" s="42"/>
      <c r="G1876" s="41"/>
    </row>
    <row r="1877" spans="1:14" x14ac:dyDescent="0.25">
      <c r="A1877" s="2" t="s">
        <v>9</v>
      </c>
      <c r="B1877" s="37"/>
      <c r="C1877" s="38"/>
      <c r="D1877" s="37"/>
      <c r="E1877" s="38"/>
      <c r="F1877" s="39"/>
      <c r="G1877" s="38"/>
    </row>
    <row r="1878" spans="1:14" x14ac:dyDescent="0.25">
      <c r="A1878" s="2"/>
      <c r="B1878" s="37"/>
      <c r="C1878" s="38"/>
      <c r="D1878" s="37"/>
      <c r="E1878" s="38"/>
      <c r="F1878" s="48"/>
      <c r="G1878" s="38"/>
    </row>
    <row r="1879" spans="1:14" x14ac:dyDescent="0.25">
      <c r="A1879" s="3"/>
      <c r="B1879" s="40"/>
      <c r="C1879" s="41"/>
      <c r="D1879" s="40"/>
      <c r="E1879" s="41"/>
      <c r="F1879" s="42"/>
      <c r="G1879" s="41"/>
    </row>
    <row r="1880" spans="1:14" x14ac:dyDescent="0.25">
      <c r="A1880" s="2" t="s">
        <v>1224</v>
      </c>
      <c r="B1880" s="37" t="s">
        <v>1291</v>
      </c>
      <c r="C1880" s="38" t="s">
        <v>1074</v>
      </c>
      <c r="D1880" s="37" t="s">
        <v>1362</v>
      </c>
      <c r="E1880" s="38" t="s">
        <v>1072</v>
      </c>
      <c r="F1880" s="39" t="s">
        <v>1363</v>
      </c>
      <c r="G1880" s="36" t="s">
        <v>1072</v>
      </c>
      <c r="H1880" s="8"/>
    </row>
    <row r="1881" spans="1:14" x14ac:dyDescent="0.25">
      <c r="A1881" s="2"/>
      <c r="B1881" s="44"/>
      <c r="C1881" s="38"/>
      <c r="D1881" s="37"/>
      <c r="E1881" s="38"/>
      <c r="F1881" s="39" t="s">
        <v>1291</v>
      </c>
      <c r="G1881" s="36" t="s">
        <v>1074</v>
      </c>
      <c r="H1881" s="8"/>
    </row>
    <row r="1882" spans="1:14" x14ac:dyDescent="0.25">
      <c r="A1882" s="3"/>
      <c r="B1882" s="40"/>
      <c r="C1882" s="41"/>
      <c r="D1882" s="40"/>
      <c r="E1882" s="41"/>
      <c r="F1882" s="42"/>
      <c r="G1882" s="43"/>
      <c r="H1882" s="8"/>
    </row>
    <row r="1884" spans="1:14" x14ac:dyDescent="0.25">
      <c r="A1884" s="1">
        <v>95</v>
      </c>
      <c r="B1884" s="29" t="s">
        <v>1212</v>
      </c>
      <c r="C1884" s="30"/>
      <c r="D1884" s="29" t="s">
        <v>1218</v>
      </c>
      <c r="E1884" s="30"/>
      <c r="F1884" s="31" t="s">
        <v>1218</v>
      </c>
      <c r="G1884" s="49"/>
    </row>
    <row r="1885" spans="1:14" x14ac:dyDescent="0.25">
      <c r="A1885" s="4" t="s">
        <v>6</v>
      </c>
      <c r="B1885" s="33" t="s">
        <v>726</v>
      </c>
      <c r="C1885" s="34" t="s">
        <v>1074</v>
      </c>
      <c r="D1885" s="33" t="s">
        <v>726</v>
      </c>
      <c r="E1885" s="34" t="s">
        <v>1074</v>
      </c>
      <c r="F1885" s="35" t="s">
        <v>726</v>
      </c>
      <c r="G1885" s="34" t="s">
        <v>1074</v>
      </c>
      <c r="I1885" s="7">
        <v>1</v>
      </c>
      <c r="J1885" s="6">
        <v>0.33333333333333337</v>
      </c>
      <c r="K1885" s="7">
        <v>1</v>
      </c>
      <c r="L1885" s="6">
        <v>1</v>
      </c>
      <c r="M1885" s="7">
        <v>0.33333333333333337</v>
      </c>
      <c r="N1885" s="7">
        <v>0.33333333333333337</v>
      </c>
    </row>
    <row r="1886" spans="1:14" x14ac:dyDescent="0.25">
      <c r="A1886" s="2"/>
      <c r="B1886" s="37"/>
      <c r="C1886" s="38"/>
      <c r="D1886" s="37"/>
      <c r="E1886" s="38"/>
      <c r="F1886" s="39"/>
      <c r="G1886" s="38"/>
    </row>
    <row r="1887" spans="1:14" x14ac:dyDescent="0.25">
      <c r="A1887" s="3"/>
      <c r="B1887" s="40"/>
      <c r="C1887" s="41"/>
      <c r="D1887" s="40"/>
      <c r="E1887" s="41"/>
      <c r="F1887" s="42"/>
      <c r="G1887" s="41"/>
    </row>
    <row r="1888" spans="1:14" x14ac:dyDescent="0.25">
      <c r="A1888" s="4" t="s">
        <v>5</v>
      </c>
      <c r="B1888" s="33"/>
      <c r="C1888" s="34"/>
      <c r="D1888" s="33" t="s">
        <v>671</v>
      </c>
      <c r="E1888" s="34" t="s">
        <v>1074</v>
      </c>
      <c r="F1888" s="35" t="s">
        <v>671</v>
      </c>
      <c r="G1888" s="38" t="s">
        <v>1074</v>
      </c>
    </row>
    <row r="1889" spans="1:8" x14ac:dyDescent="0.25">
      <c r="A1889" s="2"/>
      <c r="B1889" s="37"/>
      <c r="C1889" s="38"/>
      <c r="D1889" s="37"/>
      <c r="E1889" s="38"/>
      <c r="F1889" s="37"/>
      <c r="G1889" s="38"/>
    </row>
    <row r="1890" spans="1:8" x14ac:dyDescent="0.25">
      <c r="A1890" s="3"/>
      <c r="B1890" s="40"/>
      <c r="C1890" s="41"/>
      <c r="D1890" s="40"/>
      <c r="E1890" s="41"/>
      <c r="F1890" s="42"/>
      <c r="G1890" s="41"/>
    </row>
    <row r="1891" spans="1:8" x14ac:dyDescent="0.25">
      <c r="A1891" s="4" t="s">
        <v>7</v>
      </c>
      <c r="B1891" s="33" t="s">
        <v>722</v>
      </c>
      <c r="C1891" s="34" t="s">
        <v>1074</v>
      </c>
      <c r="D1891" s="33" t="s">
        <v>722</v>
      </c>
      <c r="E1891" s="34" t="s">
        <v>1074</v>
      </c>
      <c r="F1891" s="39" t="s">
        <v>716</v>
      </c>
      <c r="G1891" s="38" t="s">
        <v>1074</v>
      </c>
    </row>
    <row r="1892" spans="1:8" x14ac:dyDescent="0.25">
      <c r="A1892" s="2"/>
      <c r="B1892" s="37"/>
      <c r="C1892" s="38"/>
      <c r="D1892" s="37"/>
      <c r="E1892" s="36"/>
      <c r="F1892" s="38"/>
      <c r="G1892" s="39"/>
    </row>
    <row r="1893" spans="1:8" x14ac:dyDescent="0.25">
      <c r="A1893" s="3"/>
      <c r="B1893" s="40"/>
      <c r="C1893" s="41"/>
      <c r="D1893" s="40"/>
      <c r="E1893" s="41"/>
      <c r="F1893" s="42"/>
      <c r="G1893" s="41"/>
    </row>
    <row r="1894" spans="1:8" x14ac:dyDescent="0.25">
      <c r="A1894" s="4" t="s">
        <v>8</v>
      </c>
      <c r="B1894" s="33" t="s">
        <v>200</v>
      </c>
      <c r="C1894" s="34" t="s">
        <v>1074</v>
      </c>
      <c r="D1894" s="35" t="s">
        <v>200</v>
      </c>
      <c r="E1894" s="34" t="s">
        <v>1074</v>
      </c>
      <c r="F1894" s="35" t="s">
        <v>200</v>
      </c>
      <c r="G1894" s="38" t="s">
        <v>1074</v>
      </c>
    </row>
    <row r="1895" spans="1:8" x14ac:dyDescent="0.25">
      <c r="A1895" s="2"/>
      <c r="B1895" s="37" t="s">
        <v>542</v>
      </c>
      <c r="C1895" s="38" t="s">
        <v>1072</v>
      </c>
      <c r="D1895" s="39" t="s">
        <v>542</v>
      </c>
      <c r="E1895" s="38" t="s">
        <v>1072</v>
      </c>
      <c r="F1895" s="39" t="s">
        <v>542</v>
      </c>
      <c r="G1895" s="38" t="s">
        <v>1072</v>
      </c>
    </row>
    <row r="1896" spans="1:8" x14ac:dyDescent="0.25">
      <c r="A1896" s="3"/>
      <c r="B1896" s="40"/>
      <c r="C1896" s="41"/>
      <c r="D1896" s="40"/>
      <c r="E1896" s="41"/>
      <c r="F1896" s="42"/>
      <c r="G1896" s="41"/>
    </row>
    <row r="1897" spans="1:8" x14ac:dyDescent="0.25">
      <c r="A1897" s="2" t="s">
        <v>9</v>
      </c>
      <c r="B1897" s="37"/>
      <c r="C1897" s="38"/>
      <c r="D1897" s="37"/>
      <c r="E1897" s="38"/>
      <c r="F1897" s="39" t="s">
        <v>727</v>
      </c>
      <c r="G1897" s="38" t="s">
        <v>1074</v>
      </c>
    </row>
    <row r="1898" spans="1:8" x14ac:dyDescent="0.25">
      <c r="A1898" s="2"/>
      <c r="B1898" s="37"/>
      <c r="C1898" s="38"/>
      <c r="D1898" s="37"/>
      <c r="E1898" s="38"/>
      <c r="F1898" s="48"/>
      <c r="G1898" s="38"/>
    </row>
    <row r="1899" spans="1:8" x14ac:dyDescent="0.25">
      <c r="A1899" s="3"/>
      <c r="B1899" s="40"/>
      <c r="C1899" s="41"/>
      <c r="D1899" s="40"/>
      <c r="E1899" s="41"/>
      <c r="F1899" s="42"/>
      <c r="G1899" s="41"/>
    </row>
    <row r="1900" spans="1:8" x14ac:dyDescent="0.25">
      <c r="A1900" s="2" t="s">
        <v>1224</v>
      </c>
      <c r="B1900" s="37"/>
      <c r="C1900" s="38"/>
      <c r="D1900" s="37"/>
      <c r="E1900" s="38"/>
      <c r="F1900" s="39"/>
      <c r="G1900" s="36"/>
      <c r="H1900" s="8"/>
    </row>
    <row r="1901" spans="1:8" x14ac:dyDescent="0.25">
      <c r="A1901" s="2"/>
      <c r="B1901" s="44"/>
      <c r="C1901" s="38"/>
      <c r="D1901" s="37"/>
      <c r="E1901" s="38"/>
      <c r="F1901" s="39"/>
      <c r="G1901" s="36"/>
      <c r="H1901" s="8"/>
    </row>
    <row r="1902" spans="1:8" x14ac:dyDescent="0.25">
      <c r="A1902" s="3"/>
      <c r="B1902" s="40"/>
      <c r="C1902" s="41"/>
      <c r="D1902" s="40"/>
      <c r="E1902" s="41"/>
      <c r="F1902" s="42"/>
      <c r="G1902" s="43"/>
      <c r="H1902" s="8"/>
    </row>
    <row r="1904" spans="1:8" x14ac:dyDescent="0.25">
      <c r="A1904" s="1">
        <v>96</v>
      </c>
      <c r="B1904" s="29" t="s">
        <v>1213</v>
      </c>
      <c r="C1904" s="30"/>
      <c r="D1904" s="29" t="s">
        <v>1218</v>
      </c>
      <c r="E1904" s="30"/>
      <c r="F1904" s="31" t="s">
        <v>1218</v>
      </c>
      <c r="G1904" s="49"/>
    </row>
    <row r="1905" spans="1:14" x14ac:dyDescent="0.25">
      <c r="A1905" s="4" t="s">
        <v>6</v>
      </c>
      <c r="B1905" s="33" t="s">
        <v>728</v>
      </c>
      <c r="C1905" s="34" t="s">
        <v>1074</v>
      </c>
      <c r="D1905" s="33" t="s">
        <v>1044</v>
      </c>
      <c r="E1905" s="34" t="s">
        <v>1074</v>
      </c>
      <c r="F1905" s="35" t="s">
        <v>728</v>
      </c>
      <c r="G1905" s="34" t="s">
        <v>1074</v>
      </c>
      <c r="I1905" s="7">
        <v>1</v>
      </c>
      <c r="J1905" s="6">
        <v>1</v>
      </c>
      <c r="K1905" s="7">
        <v>1</v>
      </c>
      <c r="L1905" s="6">
        <v>1</v>
      </c>
      <c r="M1905" s="7">
        <v>0.33333333333333337</v>
      </c>
      <c r="N1905" s="7">
        <v>0.33333333333333337</v>
      </c>
    </row>
    <row r="1906" spans="1:14" x14ac:dyDescent="0.25">
      <c r="A1906" s="2"/>
      <c r="B1906" s="37"/>
      <c r="C1906" s="38"/>
      <c r="D1906" s="37"/>
      <c r="E1906" s="38"/>
      <c r="F1906" s="39"/>
      <c r="G1906" s="38"/>
    </row>
    <row r="1907" spans="1:14" x14ac:dyDescent="0.25">
      <c r="A1907" s="3"/>
      <c r="B1907" s="40"/>
      <c r="C1907" s="41"/>
      <c r="D1907" s="40"/>
      <c r="E1907" s="41"/>
      <c r="F1907" s="42"/>
      <c r="G1907" s="41"/>
    </row>
    <row r="1908" spans="1:14" x14ac:dyDescent="0.25">
      <c r="A1908" s="4" t="s">
        <v>5</v>
      </c>
      <c r="B1908" s="33" t="s">
        <v>116</v>
      </c>
      <c r="C1908" s="34" t="s">
        <v>1074</v>
      </c>
      <c r="D1908" s="33" t="s">
        <v>116</v>
      </c>
      <c r="E1908" s="34" t="s">
        <v>1074</v>
      </c>
      <c r="F1908" s="35" t="s">
        <v>116</v>
      </c>
      <c r="G1908" s="38" t="s">
        <v>1074</v>
      </c>
    </row>
    <row r="1909" spans="1:14" x14ac:dyDescent="0.25">
      <c r="A1909" s="2"/>
      <c r="B1909" s="37"/>
      <c r="C1909" s="38"/>
      <c r="D1909" s="37"/>
      <c r="E1909" s="38"/>
      <c r="F1909" s="37"/>
      <c r="G1909" s="38"/>
    </row>
    <row r="1910" spans="1:14" x14ac:dyDescent="0.25">
      <c r="A1910" s="3"/>
      <c r="B1910" s="40"/>
      <c r="C1910" s="41"/>
      <c r="D1910" s="40"/>
      <c r="E1910" s="41"/>
      <c r="F1910" s="42"/>
      <c r="G1910" s="41"/>
    </row>
    <row r="1911" spans="1:14" x14ac:dyDescent="0.25">
      <c r="A1911" s="4" t="s">
        <v>7</v>
      </c>
      <c r="B1911" s="33" t="s">
        <v>722</v>
      </c>
      <c r="C1911" s="34" t="s">
        <v>1074</v>
      </c>
      <c r="D1911" s="33" t="s">
        <v>722</v>
      </c>
      <c r="E1911" s="34" t="s">
        <v>1074</v>
      </c>
      <c r="F1911" s="39" t="s">
        <v>722</v>
      </c>
      <c r="G1911" s="38" t="s">
        <v>1074</v>
      </c>
    </row>
    <row r="1912" spans="1:14" x14ac:dyDescent="0.25">
      <c r="A1912" s="2"/>
      <c r="B1912" s="37"/>
      <c r="C1912" s="38"/>
      <c r="D1912" s="37"/>
      <c r="E1912" s="36"/>
      <c r="F1912" s="38"/>
      <c r="G1912" s="39"/>
    </row>
    <row r="1913" spans="1:14" x14ac:dyDescent="0.25">
      <c r="A1913" s="3"/>
      <c r="B1913" s="40"/>
      <c r="C1913" s="41"/>
      <c r="D1913" s="40"/>
      <c r="E1913" s="41"/>
      <c r="F1913" s="42"/>
      <c r="G1913" s="41"/>
    </row>
    <row r="1914" spans="1:14" x14ac:dyDescent="0.25">
      <c r="A1914" s="4" t="s">
        <v>8</v>
      </c>
      <c r="B1914" s="33" t="s">
        <v>542</v>
      </c>
      <c r="C1914" s="34" t="s">
        <v>1074</v>
      </c>
      <c r="D1914" s="33" t="s">
        <v>542</v>
      </c>
      <c r="E1914" s="34" t="s">
        <v>1074</v>
      </c>
      <c r="F1914" s="35" t="s">
        <v>542</v>
      </c>
      <c r="G1914" s="38" t="s">
        <v>1074</v>
      </c>
    </row>
    <row r="1915" spans="1:14" x14ac:dyDescent="0.25">
      <c r="A1915" s="2"/>
      <c r="B1915" s="37"/>
      <c r="C1915" s="38"/>
      <c r="D1915" s="37" t="s">
        <v>200</v>
      </c>
      <c r="E1915" s="38" t="s">
        <v>1072</v>
      </c>
      <c r="F1915" s="39"/>
      <c r="G1915" s="38"/>
    </row>
    <row r="1916" spans="1:14" x14ac:dyDescent="0.25">
      <c r="A1916" s="3"/>
      <c r="B1916" s="40"/>
      <c r="C1916" s="41"/>
      <c r="D1916" s="40"/>
      <c r="E1916" s="41"/>
      <c r="F1916" s="42"/>
      <c r="G1916" s="41"/>
    </row>
    <row r="1917" spans="1:14" x14ac:dyDescent="0.25">
      <c r="A1917" s="2" t="s">
        <v>9</v>
      </c>
      <c r="B1917" s="37" t="s">
        <v>975</v>
      </c>
      <c r="C1917" s="38" t="s">
        <v>1074</v>
      </c>
      <c r="D1917" s="37"/>
      <c r="E1917" s="38"/>
      <c r="F1917" s="39"/>
      <c r="G1917" s="38"/>
    </row>
    <row r="1918" spans="1:14" x14ac:dyDescent="0.25">
      <c r="A1918" s="2"/>
      <c r="B1918" s="37"/>
      <c r="C1918" s="38"/>
      <c r="D1918" s="37"/>
      <c r="E1918" s="38"/>
      <c r="F1918" s="48"/>
      <c r="G1918" s="38"/>
    </row>
    <row r="1919" spans="1:14" x14ac:dyDescent="0.25">
      <c r="A1919" s="3"/>
      <c r="B1919" s="40"/>
      <c r="C1919" s="41"/>
      <c r="D1919" s="40"/>
      <c r="E1919" s="41"/>
      <c r="F1919" s="42"/>
      <c r="G1919" s="41"/>
    </row>
    <row r="1920" spans="1:14" x14ac:dyDescent="0.25">
      <c r="A1920" s="2" t="s">
        <v>1224</v>
      </c>
      <c r="B1920" s="37"/>
      <c r="C1920" s="38"/>
      <c r="D1920" s="37" t="s">
        <v>1364</v>
      </c>
      <c r="E1920" s="38" t="s">
        <v>1074</v>
      </c>
      <c r="F1920" s="37" t="s">
        <v>1364</v>
      </c>
      <c r="G1920" s="36" t="s">
        <v>1074</v>
      </c>
      <c r="H1920" s="8"/>
    </row>
    <row r="1921" spans="1:14" x14ac:dyDescent="0.25">
      <c r="A1921" s="2"/>
      <c r="B1921" s="44"/>
      <c r="C1921" s="38"/>
      <c r="D1921" s="37"/>
      <c r="E1921" s="38"/>
      <c r="F1921" s="39"/>
      <c r="G1921" s="36"/>
      <c r="H1921" s="8"/>
    </row>
    <row r="1922" spans="1:14" x14ac:dyDescent="0.25">
      <c r="A1922" s="3"/>
      <c r="B1922" s="40"/>
      <c r="C1922" s="41"/>
      <c r="D1922" s="40"/>
      <c r="E1922" s="41"/>
      <c r="F1922" s="42"/>
      <c r="G1922" s="43"/>
      <c r="H1922" s="8"/>
    </row>
    <row r="1924" spans="1:14" x14ac:dyDescent="0.25">
      <c r="A1924" s="1">
        <v>97</v>
      </c>
      <c r="B1924" s="29" t="s">
        <v>1214</v>
      </c>
      <c r="C1924" s="30"/>
      <c r="D1924" s="29" t="s">
        <v>1218</v>
      </c>
      <c r="E1924" s="30"/>
      <c r="F1924" s="31" t="s">
        <v>1218</v>
      </c>
      <c r="G1924" s="49"/>
    </row>
    <row r="1925" spans="1:14" x14ac:dyDescent="0.25">
      <c r="A1925" s="4" t="s">
        <v>6</v>
      </c>
      <c r="B1925" s="33" t="s">
        <v>729</v>
      </c>
      <c r="C1925" s="34" t="s">
        <v>1074</v>
      </c>
      <c r="D1925" s="33" t="s">
        <v>729</v>
      </c>
      <c r="E1925" s="34" t="s">
        <v>1074</v>
      </c>
      <c r="F1925" s="35" t="s">
        <v>729</v>
      </c>
      <c r="G1925" s="34" t="s">
        <v>1074</v>
      </c>
      <c r="I1925" s="7">
        <v>1</v>
      </c>
      <c r="J1925" s="6">
        <v>1</v>
      </c>
      <c r="K1925" s="7">
        <v>1</v>
      </c>
      <c r="L1925" s="6">
        <v>1</v>
      </c>
      <c r="M1925" s="7">
        <v>1</v>
      </c>
      <c r="N1925" s="7">
        <v>1</v>
      </c>
    </row>
    <row r="1926" spans="1:14" x14ac:dyDescent="0.25">
      <c r="A1926" s="2"/>
      <c r="B1926" s="37"/>
      <c r="C1926" s="38"/>
      <c r="D1926" s="37"/>
      <c r="E1926" s="38"/>
      <c r="F1926" s="39"/>
      <c r="G1926" s="38"/>
    </row>
    <row r="1927" spans="1:14" x14ac:dyDescent="0.25">
      <c r="A1927" s="3"/>
      <c r="B1927" s="40"/>
      <c r="C1927" s="41"/>
      <c r="D1927" s="40"/>
      <c r="E1927" s="41"/>
      <c r="F1927" s="42"/>
      <c r="G1927" s="41"/>
    </row>
    <row r="1928" spans="1:14" x14ac:dyDescent="0.25">
      <c r="A1928" s="4" t="s">
        <v>5</v>
      </c>
      <c r="B1928" s="33"/>
      <c r="C1928" s="34"/>
      <c r="D1928" s="33" t="s">
        <v>671</v>
      </c>
      <c r="E1928" s="34" t="s">
        <v>1074</v>
      </c>
      <c r="F1928" s="35" t="s">
        <v>671</v>
      </c>
      <c r="G1928" s="38" t="s">
        <v>1074</v>
      </c>
    </row>
    <row r="1929" spans="1:14" x14ac:dyDescent="0.25">
      <c r="A1929" s="2"/>
      <c r="B1929" s="37"/>
      <c r="C1929" s="38"/>
      <c r="D1929" s="37"/>
      <c r="E1929" s="38"/>
      <c r="F1929" s="37"/>
      <c r="G1929" s="38"/>
    </row>
    <row r="1930" spans="1:14" x14ac:dyDescent="0.25">
      <c r="A1930" s="3"/>
      <c r="B1930" s="40"/>
      <c r="C1930" s="41"/>
      <c r="D1930" s="40"/>
      <c r="E1930" s="41"/>
      <c r="F1930" s="42"/>
      <c r="G1930" s="41"/>
    </row>
    <row r="1931" spans="1:14" x14ac:dyDescent="0.25">
      <c r="A1931" s="4" t="s">
        <v>7</v>
      </c>
      <c r="B1931" s="33" t="s">
        <v>722</v>
      </c>
      <c r="C1931" s="34" t="s">
        <v>1074</v>
      </c>
      <c r="D1931" s="33" t="s">
        <v>722</v>
      </c>
      <c r="E1931" s="34" t="s">
        <v>1074</v>
      </c>
      <c r="F1931" s="39" t="s">
        <v>730</v>
      </c>
      <c r="G1931" s="38" t="s">
        <v>1072</v>
      </c>
    </row>
    <row r="1932" spans="1:14" x14ac:dyDescent="0.25">
      <c r="A1932" s="2"/>
      <c r="B1932" s="37" t="s">
        <v>730</v>
      </c>
      <c r="C1932" s="38" t="s">
        <v>1072</v>
      </c>
      <c r="D1932" s="37" t="s">
        <v>730</v>
      </c>
      <c r="E1932" s="36" t="s">
        <v>1072</v>
      </c>
      <c r="F1932" s="38"/>
      <c r="G1932" s="39"/>
    </row>
    <row r="1933" spans="1:14" x14ac:dyDescent="0.25">
      <c r="A1933" s="3"/>
      <c r="B1933" s="40"/>
      <c r="C1933" s="41"/>
      <c r="D1933" s="40"/>
      <c r="E1933" s="41"/>
      <c r="F1933" s="42"/>
      <c r="G1933" s="41"/>
    </row>
    <row r="1934" spans="1:14" x14ac:dyDescent="0.25">
      <c r="A1934" s="4" t="s">
        <v>8</v>
      </c>
      <c r="B1934" s="33" t="s">
        <v>200</v>
      </c>
      <c r="C1934" s="34" t="s">
        <v>1074</v>
      </c>
      <c r="D1934" s="33" t="s">
        <v>200</v>
      </c>
      <c r="E1934" s="34" t="s">
        <v>1074</v>
      </c>
      <c r="F1934" s="35" t="s">
        <v>200</v>
      </c>
      <c r="G1934" s="38" t="s">
        <v>1074</v>
      </c>
    </row>
    <row r="1935" spans="1:14" x14ac:dyDescent="0.25">
      <c r="A1935" s="2"/>
      <c r="B1935" s="37"/>
      <c r="C1935" s="38"/>
      <c r="D1935" s="37" t="s">
        <v>738</v>
      </c>
      <c r="E1935" s="38" t="s">
        <v>1072</v>
      </c>
      <c r="F1935" s="39"/>
      <c r="G1935" s="38"/>
    </row>
    <row r="1936" spans="1:14" x14ac:dyDescent="0.25">
      <c r="A1936" s="3"/>
      <c r="B1936" s="40"/>
      <c r="C1936" s="41"/>
      <c r="D1936" s="40"/>
      <c r="E1936" s="41"/>
      <c r="F1936" s="42"/>
      <c r="G1936" s="41"/>
    </row>
    <row r="1937" spans="1:14" x14ac:dyDescent="0.25">
      <c r="A1937" s="2" t="s">
        <v>9</v>
      </c>
      <c r="B1937" s="37" t="s">
        <v>976</v>
      </c>
      <c r="C1937" s="38" t="s">
        <v>1074</v>
      </c>
      <c r="D1937" s="37" t="s">
        <v>1043</v>
      </c>
      <c r="E1937" s="38" t="s">
        <v>1074</v>
      </c>
      <c r="F1937" s="39" t="s">
        <v>731</v>
      </c>
      <c r="G1937" s="38" t="s">
        <v>1074</v>
      </c>
    </row>
    <row r="1938" spans="1:14" x14ac:dyDescent="0.25">
      <c r="A1938" s="2"/>
      <c r="B1938" s="37"/>
      <c r="C1938" s="38"/>
      <c r="D1938" s="37"/>
      <c r="E1938" s="38"/>
      <c r="F1938" s="48"/>
      <c r="G1938" s="38"/>
    </row>
    <row r="1939" spans="1:14" x14ac:dyDescent="0.25">
      <c r="A1939" s="3"/>
      <c r="B1939" s="40"/>
      <c r="C1939" s="41"/>
      <c r="D1939" s="40"/>
      <c r="E1939" s="41"/>
      <c r="F1939" s="42"/>
      <c r="G1939" s="41"/>
    </row>
    <row r="1940" spans="1:14" x14ac:dyDescent="0.25">
      <c r="A1940" s="2" t="s">
        <v>1224</v>
      </c>
      <c r="B1940" s="37"/>
      <c r="C1940" s="38"/>
      <c r="D1940" s="37" t="s">
        <v>1365</v>
      </c>
      <c r="E1940" s="38" t="s">
        <v>1074</v>
      </c>
      <c r="F1940" s="39"/>
      <c r="G1940" s="36"/>
      <c r="H1940" s="8"/>
    </row>
    <row r="1941" spans="1:14" x14ac:dyDescent="0.25">
      <c r="A1941" s="2"/>
      <c r="B1941" s="44"/>
      <c r="C1941" s="38"/>
      <c r="D1941" s="37" t="s">
        <v>1366</v>
      </c>
      <c r="E1941" s="38" t="s">
        <v>1072</v>
      </c>
      <c r="F1941" s="39"/>
      <c r="G1941" s="36"/>
      <c r="H1941" s="8"/>
    </row>
    <row r="1942" spans="1:14" x14ac:dyDescent="0.25">
      <c r="A1942" s="3"/>
      <c r="B1942" s="40"/>
      <c r="C1942" s="41"/>
      <c r="D1942" s="40"/>
      <c r="E1942" s="41"/>
      <c r="F1942" s="42"/>
      <c r="G1942" s="43"/>
      <c r="H1942" s="8"/>
    </row>
    <row r="1944" spans="1:14" x14ac:dyDescent="0.25">
      <c r="A1944" s="1">
        <v>98</v>
      </c>
      <c r="B1944" s="29" t="s">
        <v>1215</v>
      </c>
      <c r="C1944" s="30"/>
      <c r="D1944" s="29" t="s">
        <v>1218</v>
      </c>
      <c r="E1944" s="30"/>
      <c r="F1944" s="31" t="s">
        <v>1218</v>
      </c>
      <c r="G1944" s="49"/>
    </row>
    <row r="1945" spans="1:14" x14ac:dyDescent="0.25">
      <c r="A1945" s="4" t="s">
        <v>6</v>
      </c>
      <c r="B1945" s="33" t="s">
        <v>732</v>
      </c>
      <c r="C1945" s="34" t="s">
        <v>1074</v>
      </c>
      <c r="D1945" s="33" t="s">
        <v>732</v>
      </c>
      <c r="E1945" s="34" t="s">
        <v>1074</v>
      </c>
      <c r="F1945" s="35" t="s">
        <v>732</v>
      </c>
      <c r="G1945" s="34" t="s">
        <v>1074</v>
      </c>
      <c r="I1945" s="7">
        <v>1</v>
      </c>
      <c r="J1945" s="6">
        <v>1</v>
      </c>
      <c r="K1945" s="7">
        <v>1</v>
      </c>
      <c r="L1945" s="6">
        <v>1</v>
      </c>
      <c r="M1945" s="7">
        <v>1</v>
      </c>
      <c r="N1945" s="7">
        <v>1</v>
      </c>
    </row>
    <row r="1946" spans="1:14" x14ac:dyDescent="0.25">
      <c r="A1946" s="2"/>
      <c r="B1946" s="37"/>
      <c r="C1946" s="38"/>
      <c r="D1946" s="37"/>
      <c r="E1946" s="38"/>
      <c r="F1946" s="39"/>
      <c r="G1946" s="38"/>
    </row>
    <row r="1947" spans="1:14" x14ac:dyDescent="0.25">
      <c r="A1947" s="3"/>
      <c r="B1947" s="40"/>
      <c r="C1947" s="41"/>
      <c r="D1947" s="40"/>
      <c r="E1947" s="41"/>
      <c r="F1947" s="42"/>
      <c r="G1947" s="41"/>
    </row>
    <row r="1948" spans="1:14" x14ac:dyDescent="0.25">
      <c r="A1948" s="4" t="s">
        <v>5</v>
      </c>
      <c r="B1948" s="33" t="s">
        <v>116</v>
      </c>
      <c r="C1948" s="34" t="s">
        <v>1074</v>
      </c>
      <c r="D1948" s="33" t="s">
        <v>733</v>
      </c>
      <c r="E1948" s="34" t="s">
        <v>1074</v>
      </c>
      <c r="F1948" s="35" t="s">
        <v>733</v>
      </c>
      <c r="G1948" s="38" t="s">
        <v>1074</v>
      </c>
    </row>
    <row r="1949" spans="1:14" x14ac:dyDescent="0.25">
      <c r="A1949" s="2"/>
      <c r="B1949" s="37"/>
      <c r="C1949" s="38"/>
      <c r="D1949" s="37"/>
      <c r="E1949" s="38"/>
      <c r="F1949" s="37"/>
      <c r="G1949" s="38"/>
    </row>
    <row r="1950" spans="1:14" x14ac:dyDescent="0.25">
      <c r="A1950" s="3"/>
      <c r="B1950" s="40"/>
      <c r="C1950" s="41"/>
      <c r="D1950" s="40"/>
      <c r="E1950" s="41"/>
      <c r="F1950" s="42"/>
      <c r="G1950" s="41"/>
    </row>
    <row r="1951" spans="1:14" x14ac:dyDescent="0.25">
      <c r="A1951" s="4" t="s">
        <v>7</v>
      </c>
      <c r="B1951" s="33" t="s">
        <v>722</v>
      </c>
      <c r="C1951" s="34" t="s">
        <v>1074</v>
      </c>
      <c r="D1951" s="33" t="s">
        <v>722</v>
      </c>
      <c r="E1951" s="34" t="s">
        <v>1074</v>
      </c>
      <c r="F1951" s="39" t="s">
        <v>716</v>
      </c>
      <c r="G1951" s="38" t="s">
        <v>1074</v>
      </c>
    </row>
    <row r="1952" spans="1:14" x14ac:dyDescent="0.25">
      <c r="A1952" s="2"/>
      <c r="B1952" s="37"/>
      <c r="C1952" s="38"/>
      <c r="D1952" s="37"/>
      <c r="E1952" s="36"/>
      <c r="F1952" s="38"/>
      <c r="G1952" s="39"/>
    </row>
    <row r="1953" spans="1:14" x14ac:dyDescent="0.25">
      <c r="A1953" s="3"/>
      <c r="B1953" s="40"/>
      <c r="C1953" s="41"/>
      <c r="D1953" s="40"/>
      <c r="E1953" s="41"/>
      <c r="F1953" s="42"/>
      <c r="G1953" s="41"/>
    </row>
    <row r="1954" spans="1:14" x14ac:dyDescent="0.25">
      <c r="A1954" s="4" t="s">
        <v>8</v>
      </c>
      <c r="B1954" s="33" t="s">
        <v>734</v>
      </c>
      <c r="C1954" s="34" t="s">
        <v>1074</v>
      </c>
      <c r="D1954" s="33" t="s">
        <v>1041</v>
      </c>
      <c r="E1954" s="34" t="s">
        <v>1056</v>
      </c>
      <c r="F1954" s="35" t="s">
        <v>734</v>
      </c>
      <c r="G1954" s="38" t="s">
        <v>1074</v>
      </c>
    </row>
    <row r="1955" spans="1:14" x14ac:dyDescent="0.25">
      <c r="A1955" s="2"/>
      <c r="B1955" s="37" t="s">
        <v>200</v>
      </c>
      <c r="C1955" s="38" t="s">
        <v>1072</v>
      </c>
      <c r="D1955" s="37"/>
      <c r="E1955" s="38"/>
      <c r="F1955" s="39" t="s">
        <v>200</v>
      </c>
      <c r="G1955" s="38" t="s">
        <v>1072</v>
      </c>
    </row>
    <row r="1956" spans="1:14" x14ac:dyDescent="0.25">
      <c r="A1956" s="3"/>
      <c r="B1956" s="40"/>
      <c r="C1956" s="41"/>
      <c r="D1956" s="40"/>
      <c r="E1956" s="41"/>
      <c r="F1956" s="42"/>
      <c r="G1956" s="41"/>
    </row>
    <row r="1957" spans="1:14" x14ac:dyDescent="0.25">
      <c r="A1957" s="2" t="s">
        <v>9</v>
      </c>
      <c r="B1957" s="37" t="s">
        <v>977</v>
      </c>
      <c r="C1957" s="38" t="s">
        <v>1074</v>
      </c>
      <c r="D1957" s="37" t="s">
        <v>1042</v>
      </c>
      <c r="E1957" s="38" t="s">
        <v>1074</v>
      </c>
      <c r="F1957" s="39" t="s">
        <v>735</v>
      </c>
      <c r="G1957" s="38" t="s">
        <v>1074</v>
      </c>
    </row>
    <row r="1958" spans="1:14" x14ac:dyDescent="0.25">
      <c r="A1958" s="2"/>
      <c r="B1958" s="37"/>
      <c r="C1958" s="38"/>
      <c r="D1958" s="37"/>
      <c r="E1958" s="38"/>
      <c r="F1958" s="48"/>
      <c r="G1958" s="38"/>
    </row>
    <row r="1959" spans="1:14" x14ac:dyDescent="0.25">
      <c r="A1959" s="3"/>
      <c r="B1959" s="40"/>
      <c r="C1959" s="41"/>
      <c r="D1959" s="40"/>
      <c r="E1959" s="41"/>
      <c r="F1959" s="42"/>
      <c r="G1959" s="41"/>
    </row>
    <row r="1960" spans="1:14" x14ac:dyDescent="0.25">
      <c r="A1960" s="2" t="s">
        <v>1224</v>
      </c>
      <c r="B1960" s="37" t="s">
        <v>1292</v>
      </c>
      <c r="C1960" s="38" t="s">
        <v>1074</v>
      </c>
      <c r="D1960" s="37"/>
      <c r="E1960" s="38"/>
      <c r="F1960" s="39"/>
      <c r="G1960" s="36"/>
      <c r="H1960" s="8"/>
    </row>
    <row r="1961" spans="1:14" x14ac:dyDescent="0.25">
      <c r="A1961" s="2"/>
      <c r="B1961" s="44"/>
      <c r="C1961" s="38"/>
      <c r="D1961" s="37"/>
      <c r="E1961" s="38"/>
      <c r="F1961" s="39"/>
      <c r="G1961" s="36"/>
      <c r="H1961" s="8"/>
    </row>
    <row r="1962" spans="1:14" x14ac:dyDescent="0.25">
      <c r="A1962" s="3"/>
      <c r="B1962" s="40"/>
      <c r="C1962" s="41"/>
      <c r="D1962" s="40"/>
      <c r="E1962" s="41"/>
      <c r="F1962" s="42"/>
      <c r="G1962" s="43"/>
      <c r="H1962" s="8"/>
    </row>
    <row r="1964" spans="1:14" x14ac:dyDescent="0.25">
      <c r="A1964" s="1">
        <v>99</v>
      </c>
      <c r="B1964" s="29" t="s">
        <v>1216</v>
      </c>
      <c r="C1964" s="30"/>
      <c r="D1964" s="29" t="s">
        <v>1218</v>
      </c>
      <c r="E1964" s="30"/>
      <c r="F1964" s="31" t="s">
        <v>1218</v>
      </c>
      <c r="G1964" s="49"/>
    </row>
    <row r="1965" spans="1:14" x14ac:dyDescent="0.25">
      <c r="A1965" s="4" t="s">
        <v>6</v>
      </c>
      <c r="B1965" s="33" t="s">
        <v>978</v>
      </c>
      <c r="C1965" s="34" t="s">
        <v>1074</v>
      </c>
      <c r="D1965" s="33" t="s">
        <v>1039</v>
      </c>
      <c r="E1965" s="34" t="s">
        <v>1074</v>
      </c>
      <c r="F1965" s="35" t="s">
        <v>736</v>
      </c>
      <c r="G1965" s="34" t="s">
        <v>1074</v>
      </c>
      <c r="I1965" s="7">
        <v>1</v>
      </c>
      <c r="J1965" s="6">
        <v>1</v>
      </c>
      <c r="K1965" s="7">
        <v>1</v>
      </c>
      <c r="L1965" s="6">
        <v>1</v>
      </c>
      <c r="M1965" s="7">
        <v>0.33333333333333337</v>
      </c>
      <c r="N1965" s="7">
        <v>0.33333333333333337</v>
      </c>
    </row>
    <row r="1966" spans="1:14" x14ac:dyDescent="0.25">
      <c r="A1966" s="2"/>
      <c r="B1966" s="37"/>
      <c r="C1966" s="38"/>
      <c r="D1966" s="37" t="s">
        <v>737</v>
      </c>
      <c r="E1966" s="38" t="s">
        <v>1072</v>
      </c>
      <c r="F1966" s="39" t="s">
        <v>737</v>
      </c>
      <c r="G1966" s="38" t="s">
        <v>1072</v>
      </c>
    </row>
    <row r="1967" spans="1:14" x14ac:dyDescent="0.25">
      <c r="A1967" s="3"/>
      <c r="B1967" s="40"/>
      <c r="C1967" s="41"/>
      <c r="D1967" s="40"/>
      <c r="E1967" s="41"/>
      <c r="F1967" s="42"/>
      <c r="G1967" s="41"/>
    </row>
    <row r="1968" spans="1:14" x14ac:dyDescent="0.25">
      <c r="A1968" s="4" t="s">
        <v>5</v>
      </c>
      <c r="B1968" s="33" t="s">
        <v>116</v>
      </c>
      <c r="C1968" s="34" t="s">
        <v>1074</v>
      </c>
      <c r="D1968" s="33" t="s">
        <v>1096</v>
      </c>
      <c r="E1968" s="34" t="s">
        <v>1074</v>
      </c>
      <c r="F1968" s="35" t="s">
        <v>1096</v>
      </c>
      <c r="G1968" s="38" t="s">
        <v>1074</v>
      </c>
    </row>
    <row r="1969" spans="1:8" x14ac:dyDescent="0.25">
      <c r="A1969" s="2"/>
      <c r="B1969" s="37"/>
      <c r="C1969" s="38"/>
      <c r="D1969" s="37" t="s">
        <v>1040</v>
      </c>
      <c r="E1969" s="38" t="s">
        <v>1074</v>
      </c>
      <c r="F1969" s="37"/>
      <c r="G1969" s="38"/>
    </row>
    <row r="1970" spans="1:8" x14ac:dyDescent="0.25">
      <c r="A1970" s="3"/>
      <c r="B1970" s="40"/>
      <c r="C1970" s="41"/>
      <c r="D1970" s="40"/>
      <c r="E1970" s="41"/>
      <c r="F1970" s="42"/>
      <c r="G1970" s="41"/>
    </row>
    <row r="1971" spans="1:8" x14ac:dyDescent="0.25">
      <c r="A1971" s="4" t="s">
        <v>7</v>
      </c>
      <c r="B1971" s="33" t="s">
        <v>979</v>
      </c>
      <c r="C1971" s="34" t="s">
        <v>1074</v>
      </c>
      <c r="D1971" s="33" t="s">
        <v>979</v>
      </c>
      <c r="E1971" s="34" t="s">
        <v>1074</v>
      </c>
      <c r="F1971" s="39" t="s">
        <v>716</v>
      </c>
      <c r="G1971" s="38" t="s">
        <v>1074</v>
      </c>
    </row>
    <row r="1972" spans="1:8" x14ac:dyDescent="0.25">
      <c r="A1972" s="2"/>
      <c r="B1972" s="37"/>
      <c r="C1972" s="38"/>
      <c r="D1972" s="37"/>
      <c r="E1972" s="36"/>
      <c r="F1972" s="38"/>
      <c r="G1972" s="39"/>
    </row>
    <row r="1973" spans="1:8" x14ac:dyDescent="0.25">
      <c r="A1973" s="3"/>
      <c r="B1973" s="40"/>
      <c r="C1973" s="41"/>
      <c r="D1973" s="40"/>
      <c r="E1973" s="41"/>
      <c r="F1973" s="42"/>
      <c r="G1973" s="41"/>
    </row>
    <row r="1974" spans="1:8" x14ac:dyDescent="0.25">
      <c r="A1974" s="4" t="s">
        <v>8</v>
      </c>
      <c r="B1974" s="33" t="s">
        <v>213</v>
      </c>
      <c r="C1974" s="34" t="s">
        <v>1074</v>
      </c>
      <c r="D1974" s="33" t="s">
        <v>200</v>
      </c>
      <c r="E1974" s="34" t="s">
        <v>1074</v>
      </c>
      <c r="F1974" s="35" t="s">
        <v>200</v>
      </c>
      <c r="G1974" s="38" t="s">
        <v>1074</v>
      </c>
    </row>
    <row r="1975" spans="1:8" x14ac:dyDescent="0.25">
      <c r="A1975" s="2"/>
      <c r="B1975" s="37"/>
      <c r="C1975" s="38"/>
      <c r="D1975" s="37" t="s">
        <v>738</v>
      </c>
      <c r="E1975" s="38" t="s">
        <v>1072</v>
      </c>
      <c r="F1975" s="39" t="s">
        <v>738</v>
      </c>
      <c r="G1975" s="38" t="s">
        <v>1072</v>
      </c>
    </row>
    <row r="1976" spans="1:8" x14ac:dyDescent="0.25">
      <c r="A1976" s="3"/>
      <c r="B1976" s="40"/>
      <c r="C1976" s="41"/>
      <c r="D1976" s="40"/>
      <c r="E1976" s="41"/>
      <c r="F1976" s="42"/>
      <c r="G1976" s="41"/>
    </row>
    <row r="1977" spans="1:8" x14ac:dyDescent="0.25">
      <c r="A1977" s="2" t="s">
        <v>9</v>
      </c>
      <c r="B1977" s="37"/>
      <c r="C1977" s="38"/>
      <c r="D1977" s="37"/>
      <c r="E1977" s="38"/>
      <c r="F1977" s="39" t="s">
        <v>739</v>
      </c>
      <c r="G1977" s="38" t="s">
        <v>1074</v>
      </c>
    </row>
    <row r="1978" spans="1:8" x14ac:dyDescent="0.25">
      <c r="A1978" s="2"/>
      <c r="B1978" s="37"/>
      <c r="C1978" s="38"/>
      <c r="D1978" s="37"/>
      <c r="E1978" s="38"/>
      <c r="F1978" s="48"/>
      <c r="G1978" s="38"/>
    </row>
    <row r="1979" spans="1:8" x14ac:dyDescent="0.25">
      <c r="A1979" s="3"/>
      <c r="B1979" s="40"/>
      <c r="C1979" s="41"/>
      <c r="D1979" s="40"/>
      <c r="E1979" s="41"/>
      <c r="F1979" s="42"/>
      <c r="G1979" s="41"/>
    </row>
    <row r="1980" spans="1:8" x14ac:dyDescent="0.25">
      <c r="A1980" s="2" t="s">
        <v>1224</v>
      </c>
      <c r="B1980" s="37" t="s">
        <v>1393</v>
      </c>
      <c r="C1980" s="38" t="s">
        <v>1074</v>
      </c>
      <c r="D1980" s="37" t="s">
        <v>1367</v>
      </c>
      <c r="E1980" s="38" t="s">
        <v>1074</v>
      </c>
      <c r="F1980" s="39"/>
      <c r="G1980" s="36"/>
      <c r="H1980" s="8"/>
    </row>
    <row r="1981" spans="1:8" x14ac:dyDescent="0.25">
      <c r="A1981" s="2"/>
      <c r="B1981" s="44"/>
      <c r="C1981" s="38"/>
      <c r="D1981" s="37"/>
      <c r="E1981" s="38"/>
      <c r="F1981" s="39"/>
      <c r="G1981" s="36"/>
      <c r="H1981" s="8"/>
    </row>
    <row r="1982" spans="1:8" x14ac:dyDescent="0.25">
      <c r="A1982" s="3"/>
      <c r="B1982" s="40"/>
      <c r="C1982" s="41"/>
      <c r="D1982" s="40"/>
      <c r="E1982" s="41"/>
      <c r="F1982" s="42"/>
      <c r="G1982" s="43"/>
      <c r="H1982" s="8"/>
    </row>
    <row r="1984" spans="1:8" x14ac:dyDescent="0.25">
      <c r="A1984" s="1">
        <v>100</v>
      </c>
      <c r="B1984" s="29" t="s">
        <v>1217</v>
      </c>
      <c r="C1984" s="30"/>
      <c r="D1984" s="29" t="s">
        <v>1218</v>
      </c>
      <c r="E1984" s="30"/>
      <c r="F1984" s="31" t="s">
        <v>1218</v>
      </c>
      <c r="G1984" s="49"/>
    </row>
    <row r="1985" spans="1:14" x14ac:dyDescent="0.25">
      <c r="A1985" s="4" t="s">
        <v>6</v>
      </c>
      <c r="B1985" s="33" t="s">
        <v>980</v>
      </c>
      <c r="C1985" s="34" t="s">
        <v>1072</v>
      </c>
      <c r="D1985" s="33" t="s">
        <v>1035</v>
      </c>
      <c r="E1985" s="34" t="s">
        <v>1074</v>
      </c>
      <c r="F1985" s="35" t="s">
        <v>740</v>
      </c>
      <c r="G1985" s="34" t="s">
        <v>1074</v>
      </c>
      <c r="I1985" s="7">
        <v>0.66666666666666674</v>
      </c>
      <c r="J1985" s="6">
        <v>1</v>
      </c>
      <c r="K1985" s="7">
        <v>1</v>
      </c>
      <c r="L1985" s="6">
        <v>1</v>
      </c>
      <c r="M1985" s="7">
        <v>1</v>
      </c>
      <c r="N1985" s="7">
        <v>1</v>
      </c>
    </row>
    <row r="1986" spans="1:14" x14ac:dyDescent="0.25">
      <c r="A1986" s="2"/>
      <c r="B1986" s="37"/>
      <c r="C1986" s="38"/>
      <c r="D1986" s="37" t="s">
        <v>1036</v>
      </c>
      <c r="E1986" s="38" t="s">
        <v>1072</v>
      </c>
      <c r="F1986" s="39" t="s">
        <v>741</v>
      </c>
      <c r="G1986" s="38" t="s">
        <v>1073</v>
      </c>
    </row>
    <row r="1987" spans="1:14" x14ac:dyDescent="0.25">
      <c r="A1987" s="3"/>
      <c r="B1987" s="40"/>
      <c r="C1987" s="41"/>
      <c r="D1987" s="40"/>
      <c r="E1987" s="41"/>
      <c r="F1987" s="42" t="s">
        <v>742</v>
      </c>
      <c r="G1987" s="41" t="s">
        <v>1077</v>
      </c>
    </row>
    <row r="1988" spans="1:14" x14ac:dyDescent="0.25">
      <c r="A1988" s="4" t="s">
        <v>5</v>
      </c>
      <c r="B1988" s="33" t="s">
        <v>981</v>
      </c>
      <c r="C1988" s="34" t="s">
        <v>1074</v>
      </c>
      <c r="D1988" s="33" t="s">
        <v>1037</v>
      </c>
      <c r="E1988" s="34" t="s">
        <v>1074</v>
      </c>
      <c r="F1988" s="35" t="s">
        <v>743</v>
      </c>
      <c r="G1988" s="38" t="s">
        <v>1074</v>
      </c>
    </row>
    <row r="1989" spans="1:14" x14ac:dyDescent="0.25">
      <c r="A1989" s="2"/>
      <c r="B1989" s="37"/>
      <c r="C1989" s="38"/>
      <c r="D1989" s="37" t="s">
        <v>23</v>
      </c>
      <c r="E1989" s="38" t="s">
        <v>1072</v>
      </c>
      <c r="F1989" s="37" t="s">
        <v>23</v>
      </c>
      <c r="G1989" s="38" t="s">
        <v>1072</v>
      </c>
    </row>
    <row r="1990" spans="1:14" x14ac:dyDescent="0.25">
      <c r="A1990" s="3"/>
      <c r="B1990" s="40"/>
      <c r="C1990" s="41"/>
      <c r="D1990" s="40"/>
      <c r="E1990" s="41"/>
      <c r="F1990" s="42"/>
      <c r="G1990" s="41"/>
    </row>
    <row r="1991" spans="1:14" x14ac:dyDescent="0.25">
      <c r="A1991" s="4" t="s">
        <v>7</v>
      </c>
      <c r="B1991" s="33"/>
      <c r="C1991" s="34"/>
      <c r="D1991" s="33"/>
      <c r="E1991" s="34"/>
      <c r="F1991" s="39"/>
      <c r="G1991" s="38"/>
    </row>
    <row r="1992" spans="1:14" x14ac:dyDescent="0.25">
      <c r="A1992" s="2"/>
      <c r="B1992" s="37"/>
      <c r="C1992" s="38"/>
      <c r="D1992" s="37"/>
      <c r="E1992" s="36"/>
      <c r="F1992" s="38"/>
      <c r="G1992" s="39"/>
    </row>
    <row r="1993" spans="1:14" x14ac:dyDescent="0.25">
      <c r="A1993" s="3"/>
      <c r="B1993" s="40"/>
      <c r="C1993" s="41"/>
      <c r="D1993" s="40"/>
      <c r="E1993" s="41"/>
      <c r="F1993" s="42"/>
      <c r="G1993" s="41"/>
    </row>
    <row r="1994" spans="1:14" x14ac:dyDescent="0.25">
      <c r="A1994" s="4" t="s">
        <v>8</v>
      </c>
      <c r="B1994" s="33" t="s">
        <v>167</v>
      </c>
      <c r="C1994" s="34" t="s">
        <v>1074</v>
      </c>
      <c r="D1994" s="33" t="s">
        <v>1038</v>
      </c>
      <c r="E1994" s="34" t="s">
        <v>1073</v>
      </c>
      <c r="F1994" s="35" t="s">
        <v>744</v>
      </c>
      <c r="G1994" s="38" t="s">
        <v>1073</v>
      </c>
    </row>
    <row r="1995" spans="1:14" x14ac:dyDescent="0.25">
      <c r="A1995" s="2"/>
      <c r="B1995" s="37" t="s">
        <v>213</v>
      </c>
      <c r="C1995" s="38" t="s">
        <v>1072</v>
      </c>
      <c r="D1995" s="37" t="s">
        <v>172</v>
      </c>
      <c r="E1995" s="38" t="s">
        <v>1074</v>
      </c>
      <c r="F1995" s="39" t="s">
        <v>745</v>
      </c>
      <c r="G1995" s="38" t="s">
        <v>1074</v>
      </c>
    </row>
    <row r="1996" spans="1:14" x14ac:dyDescent="0.25">
      <c r="A1996" s="3"/>
      <c r="B1996" s="40"/>
      <c r="C1996" s="41"/>
      <c r="D1996" s="40" t="s">
        <v>745</v>
      </c>
      <c r="E1996" s="41" t="s">
        <v>1072</v>
      </c>
      <c r="F1996" s="42" t="s">
        <v>746</v>
      </c>
      <c r="G1996" s="41" t="s">
        <v>1072</v>
      </c>
    </row>
    <row r="1997" spans="1:14" x14ac:dyDescent="0.25">
      <c r="A1997" s="2" t="s">
        <v>9</v>
      </c>
      <c r="B1997" s="37"/>
      <c r="C1997" s="38"/>
      <c r="D1997" s="37"/>
      <c r="E1997" s="38"/>
      <c r="F1997" s="39"/>
      <c r="G1997" s="38"/>
    </row>
    <row r="1998" spans="1:14" x14ac:dyDescent="0.25">
      <c r="A1998" s="2"/>
      <c r="B1998" s="37"/>
      <c r="C1998" s="38"/>
      <c r="D1998" s="37"/>
      <c r="E1998" s="38"/>
      <c r="F1998" s="48"/>
      <c r="G1998" s="38"/>
    </row>
    <row r="1999" spans="1:14" x14ac:dyDescent="0.25">
      <c r="A1999" s="3"/>
      <c r="B1999" s="40"/>
      <c r="C1999" s="41"/>
      <c r="D1999" s="40"/>
      <c r="E1999" s="41"/>
      <c r="F1999" s="42"/>
      <c r="G1999" s="41"/>
    </row>
    <row r="2000" spans="1:14" x14ac:dyDescent="0.25">
      <c r="A2000" s="2" t="s">
        <v>1224</v>
      </c>
      <c r="B2000" s="37"/>
      <c r="C2000" s="38"/>
      <c r="D2000" s="37"/>
      <c r="E2000" s="38"/>
      <c r="F2000" s="39"/>
      <c r="G2000" s="36"/>
      <c r="H2000" s="8"/>
    </row>
    <row r="2001" spans="1:8" x14ac:dyDescent="0.25">
      <c r="A2001" s="2"/>
      <c r="B2001" s="44"/>
      <c r="C2001" s="38"/>
      <c r="D2001" s="37"/>
      <c r="E2001" s="38"/>
      <c r="F2001" s="39"/>
      <c r="G2001" s="36"/>
      <c r="H2001" s="8"/>
    </row>
    <row r="2002" spans="1:8" x14ac:dyDescent="0.25">
      <c r="A2002" s="3"/>
      <c r="B2002" s="40"/>
      <c r="C2002" s="41"/>
      <c r="D2002" s="40"/>
      <c r="E2002" s="41"/>
      <c r="F2002" s="42"/>
      <c r="G2002" s="43"/>
      <c r="H2002" s="8"/>
    </row>
  </sheetData>
  <pageMargins left="0.7" right="0.7" top="0.75" bottom="0.75" header="0.3" footer="0.3"/>
  <pageSetup paperSize="9"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pageSetUpPr fitToPage="1"/>
  </sheetPr>
  <dimension ref="A1:U2002"/>
  <sheetViews>
    <sheetView tabSelected="1" topLeftCell="B685" workbookViewId="0">
      <selection activeCell="C637" sqref="C637"/>
    </sheetView>
  </sheetViews>
  <sheetFormatPr baseColWidth="10" defaultRowHeight="15" x14ac:dyDescent="0.25"/>
  <cols>
    <col min="2" max="2" width="47.28515625" style="28" customWidth="1"/>
    <col min="3" max="3" width="108.5703125" style="28" customWidth="1"/>
    <col min="4" max="6" width="5.85546875" style="65" customWidth="1"/>
    <col min="7" max="7" width="6.140625" style="65" customWidth="1"/>
    <col min="8" max="9" width="5.85546875" style="65" customWidth="1"/>
    <col min="10" max="11" width="5.85546875" style="59" customWidth="1"/>
    <col min="12" max="12" width="5.85546875" customWidth="1"/>
    <col min="13" max="13" width="10.140625" style="7" bestFit="1" customWidth="1"/>
    <col min="14" max="14" width="10.28515625" style="6" bestFit="1" customWidth="1"/>
    <col min="15" max="15" width="10.140625" style="7" bestFit="1" customWidth="1"/>
    <col min="16" max="16" width="10.85546875" style="6"/>
    <col min="17" max="18" width="10.85546875" style="7"/>
  </cols>
  <sheetData>
    <row r="1" spans="1:21" x14ac:dyDescent="0.25">
      <c r="A1" s="12"/>
      <c r="B1" s="24"/>
      <c r="C1" s="24"/>
      <c r="D1" s="64" t="s">
        <v>1098</v>
      </c>
      <c r="E1" s="64" t="s">
        <v>1099</v>
      </c>
      <c r="F1" s="64" t="s">
        <v>1100</v>
      </c>
      <c r="G1" s="64" t="s">
        <v>1102</v>
      </c>
      <c r="H1" s="64" t="s">
        <v>1103</v>
      </c>
      <c r="I1" s="64" t="s">
        <v>1104</v>
      </c>
      <c r="J1" s="64" t="s">
        <v>1101</v>
      </c>
      <c r="K1" s="78"/>
      <c r="M1" s="17" t="s">
        <v>6</v>
      </c>
      <c r="N1" s="18" t="s">
        <v>5</v>
      </c>
      <c r="O1" s="18" t="s">
        <v>7</v>
      </c>
      <c r="P1" s="18" t="s">
        <v>8</v>
      </c>
      <c r="Q1" s="19" t="s">
        <v>9</v>
      </c>
      <c r="R1" s="19" t="s">
        <v>1224</v>
      </c>
    </row>
    <row r="2" spans="1:21" ht="15.75" thickBot="1" x14ac:dyDescent="0.3">
      <c r="A2" s="13"/>
      <c r="B2" s="26"/>
      <c r="C2" s="26"/>
      <c r="D2" s="80">
        <f>AvgICR(D4:D10300,20,2)</f>
        <v>0.88</v>
      </c>
      <c r="E2" s="80">
        <f t="shared" ref="E2:I2" si="0">AvgICR(E4:E10300,20,2)</f>
        <v>0.96</v>
      </c>
      <c r="F2" s="80">
        <f t="shared" si="0"/>
        <v>0.88</v>
      </c>
      <c r="G2" s="80">
        <f t="shared" si="0"/>
        <v>0.84</v>
      </c>
      <c r="H2" s="80">
        <f t="shared" si="0"/>
        <v>0.76</v>
      </c>
      <c r="I2" s="80">
        <f t="shared" si="0"/>
        <v>0.85</v>
      </c>
      <c r="J2" s="58" t="s">
        <v>1101</v>
      </c>
      <c r="K2" s="79"/>
      <c r="M2" s="15">
        <f t="shared" ref="M2:R2" si="1">AvgIntervalRows(M4:M10300,17,2)</f>
        <v>1</v>
      </c>
      <c r="N2" s="16">
        <f t="shared" si="1"/>
        <v>1</v>
      </c>
      <c r="O2" s="16">
        <f t="shared" si="1"/>
        <v>0.33333333333333331</v>
      </c>
      <c r="P2" s="16">
        <f t="shared" si="1"/>
        <v>0.33333333333333331</v>
      </c>
      <c r="Q2" s="11">
        <f t="shared" si="1"/>
        <v>0.33333333333333331</v>
      </c>
      <c r="R2" s="11">
        <f t="shared" si="1"/>
        <v>0.33333333333333331</v>
      </c>
      <c r="U2" s="80">
        <f>AvgICR(U4:U10300,20,2)</f>
        <v>0</v>
      </c>
    </row>
    <row r="3" spans="1:21" x14ac:dyDescent="0.25">
      <c r="C3" s="28" t="s">
        <v>1397</v>
      </c>
      <c r="M3" s="7">
        <v>0</v>
      </c>
      <c r="N3" s="6">
        <v>0.16</v>
      </c>
      <c r="O3" s="7">
        <v>0.22</v>
      </c>
      <c r="P3" s="6">
        <v>0</v>
      </c>
      <c r="Q3" s="7">
        <v>0.15</v>
      </c>
      <c r="R3" s="7">
        <v>0.33</v>
      </c>
      <c r="S3" t="s">
        <v>1116</v>
      </c>
    </row>
    <row r="4" spans="1:21" x14ac:dyDescent="0.25">
      <c r="A4" s="81">
        <v>1</v>
      </c>
      <c r="B4" s="49" t="s">
        <v>1118</v>
      </c>
      <c r="C4" s="31" t="s">
        <v>1398</v>
      </c>
      <c r="D4" s="76"/>
      <c r="E4" s="66"/>
      <c r="F4" s="66"/>
      <c r="G4" s="66"/>
      <c r="H4" s="66"/>
      <c r="I4" s="66"/>
      <c r="J4" s="60"/>
      <c r="K4" s="60"/>
      <c r="M4" s="7">
        <v>0</v>
      </c>
      <c r="N4" s="6">
        <v>0.13</v>
      </c>
      <c r="O4" s="7">
        <v>0.18</v>
      </c>
      <c r="P4" s="6">
        <v>0</v>
      </c>
      <c r="Q4" s="7">
        <v>0.08</v>
      </c>
      <c r="R4" s="7">
        <v>0.14000000000000001</v>
      </c>
      <c r="S4" t="s">
        <v>1117</v>
      </c>
      <c r="T4">
        <v>1</v>
      </c>
      <c r="U4">
        <v>0</v>
      </c>
    </row>
    <row r="5" spans="1:21" x14ac:dyDescent="0.25">
      <c r="A5" s="4" t="s">
        <v>6</v>
      </c>
      <c r="B5" s="37" t="s">
        <v>3</v>
      </c>
      <c r="C5" s="37"/>
      <c r="D5" s="70">
        <v>1</v>
      </c>
      <c r="E5" s="70">
        <v>1</v>
      </c>
      <c r="F5" s="70">
        <v>1</v>
      </c>
      <c r="G5" s="67">
        <f>IF(B5="","",IF( AND(D5=1, E5=1),1,0))</f>
        <v>1</v>
      </c>
      <c r="H5" s="67">
        <f>IF(B5="","",IF(AND(D5=1,F5=1),1,0))</f>
        <v>1</v>
      </c>
      <c r="I5" s="67">
        <f>IF(B5="","",IF(AND(E5=1,F5=1),1,0))</f>
        <v>1</v>
      </c>
      <c r="J5" s="73">
        <f>IF(B5="","",SUM(D5:F5))</f>
        <v>3</v>
      </c>
      <c r="K5" s="61"/>
      <c r="L5" s="59"/>
      <c r="M5" s="7">
        <f>SUM(G5:I5)/3</f>
        <v>1</v>
      </c>
      <c r="N5" s="6">
        <f>SUM(G8:I8)/3</f>
        <v>1</v>
      </c>
      <c r="O5" s="7">
        <f>SUM(G11:I11)/3</f>
        <v>0.33333333333333331</v>
      </c>
      <c r="P5" s="6">
        <f>SUM(G14:I14)/3</f>
        <v>0.33333333333333331</v>
      </c>
      <c r="Q5" s="7">
        <f>SUM(G17:I17)/3</f>
        <v>0.33333333333333331</v>
      </c>
      <c r="R5" s="7">
        <f>SUM(G20:I20)/3</f>
        <v>0.33333333333333331</v>
      </c>
      <c r="T5">
        <v>2</v>
      </c>
      <c r="U5">
        <v>0</v>
      </c>
    </row>
    <row r="6" spans="1:21" x14ac:dyDescent="0.25">
      <c r="A6" s="2"/>
      <c r="B6" s="37" t="s">
        <v>113</v>
      </c>
      <c r="C6" s="37"/>
      <c r="D6" s="71">
        <v>1</v>
      </c>
      <c r="E6" s="71">
        <v>1</v>
      </c>
      <c r="F6" s="71">
        <v>1</v>
      </c>
      <c r="G6" s="68">
        <f t="shared" ref="G6:G17" si="2">IF(B6="","",IF( AND(D6=1, E6=1),1,0))</f>
        <v>1</v>
      </c>
      <c r="H6" s="68">
        <f t="shared" ref="H6:H19" si="3">IF(B6="","",IF(AND(D6=1,F6=1),1,0))</f>
        <v>1</v>
      </c>
      <c r="I6" s="68">
        <f t="shared" ref="I6:I19" si="4">IF(B6="","",IF(AND(E6=1,F6=1),1,0))</f>
        <v>1</v>
      </c>
      <c r="J6" s="74">
        <f t="shared" ref="J6:J19" si="5">IF(B6="","",SUM(D6:F6))</f>
        <v>3</v>
      </c>
      <c r="K6" s="62"/>
      <c r="L6" s="59"/>
      <c r="T6">
        <v>3</v>
      </c>
      <c r="U6">
        <v>0</v>
      </c>
    </row>
    <row r="7" spans="1:21" x14ac:dyDescent="0.25">
      <c r="A7" s="3"/>
      <c r="B7" s="42" t="s">
        <v>115</v>
      </c>
      <c r="C7" s="42"/>
      <c r="D7" s="72">
        <v>1</v>
      </c>
      <c r="E7" s="72">
        <v>1</v>
      </c>
      <c r="F7" s="72">
        <v>1</v>
      </c>
      <c r="G7" s="69">
        <f t="shared" si="2"/>
        <v>1</v>
      </c>
      <c r="H7" s="69">
        <f t="shared" si="3"/>
        <v>1</v>
      </c>
      <c r="I7" s="69">
        <f t="shared" si="4"/>
        <v>1</v>
      </c>
      <c r="J7" s="75">
        <f t="shared" si="5"/>
        <v>3</v>
      </c>
      <c r="K7" s="63"/>
      <c r="L7" s="59"/>
      <c r="T7">
        <v>4</v>
      </c>
      <c r="U7">
        <v>1</v>
      </c>
    </row>
    <row r="8" spans="1:21" x14ac:dyDescent="0.25">
      <c r="A8" s="4" t="s">
        <v>5</v>
      </c>
      <c r="B8" s="33" t="s">
        <v>4</v>
      </c>
      <c r="C8" s="33"/>
      <c r="D8" s="70">
        <v>1</v>
      </c>
      <c r="E8" s="70">
        <v>1</v>
      </c>
      <c r="F8" s="70">
        <v>1</v>
      </c>
      <c r="G8" s="67">
        <f t="shared" si="2"/>
        <v>1</v>
      </c>
      <c r="H8" s="67">
        <f t="shared" si="3"/>
        <v>1</v>
      </c>
      <c r="I8" s="67">
        <f t="shared" si="4"/>
        <v>1</v>
      </c>
      <c r="J8" s="73">
        <f t="shared" si="5"/>
        <v>3</v>
      </c>
      <c r="K8" s="61"/>
      <c r="L8" s="59"/>
      <c r="T8">
        <v>5</v>
      </c>
      <c r="U8">
        <v>1</v>
      </c>
    </row>
    <row r="9" spans="1:21" x14ac:dyDescent="0.25">
      <c r="A9" s="2"/>
      <c r="B9" s="37"/>
      <c r="C9" s="37"/>
      <c r="D9" s="71"/>
      <c r="E9" s="71"/>
      <c r="F9" s="71"/>
      <c r="G9" s="68"/>
      <c r="H9" s="68" t="str">
        <f t="shared" si="3"/>
        <v/>
      </c>
      <c r="I9" s="68" t="str">
        <f t="shared" si="4"/>
        <v/>
      </c>
      <c r="J9" s="74" t="str">
        <f t="shared" si="5"/>
        <v/>
      </c>
      <c r="K9" s="62"/>
      <c r="L9" s="59"/>
      <c r="T9">
        <v>6</v>
      </c>
    </row>
    <row r="10" spans="1:21" x14ac:dyDescent="0.25">
      <c r="A10" s="3"/>
      <c r="B10" s="40"/>
      <c r="C10" s="37"/>
      <c r="D10" s="71"/>
      <c r="E10" s="71"/>
      <c r="F10" s="71"/>
      <c r="G10" s="69"/>
      <c r="H10" s="69" t="str">
        <f t="shared" si="3"/>
        <v/>
      </c>
      <c r="I10" s="69" t="str">
        <f t="shared" si="4"/>
        <v/>
      </c>
      <c r="J10" s="75" t="str">
        <f t="shared" si="5"/>
        <v/>
      </c>
      <c r="K10" s="63"/>
      <c r="L10" s="59"/>
      <c r="T10">
        <v>7</v>
      </c>
    </row>
    <row r="11" spans="1:21" x14ac:dyDescent="0.25">
      <c r="A11" s="4" t="s">
        <v>7</v>
      </c>
      <c r="B11" s="33" t="s">
        <v>67</v>
      </c>
      <c r="C11" s="33"/>
      <c r="D11" s="70">
        <v>0</v>
      </c>
      <c r="E11" s="70">
        <v>1</v>
      </c>
      <c r="F11" s="70">
        <v>1</v>
      </c>
      <c r="G11" s="67">
        <f t="shared" si="2"/>
        <v>0</v>
      </c>
      <c r="H11" s="67">
        <f t="shared" si="3"/>
        <v>0</v>
      </c>
      <c r="I11" s="67">
        <f t="shared" si="4"/>
        <v>1</v>
      </c>
      <c r="J11" s="73">
        <f t="shared" si="5"/>
        <v>2</v>
      </c>
      <c r="K11" s="61"/>
      <c r="L11" s="59"/>
      <c r="T11">
        <v>8</v>
      </c>
    </row>
    <row r="12" spans="1:21" x14ac:dyDescent="0.25">
      <c r="A12" s="2"/>
      <c r="B12" s="37" t="s">
        <v>10</v>
      </c>
      <c r="C12" s="37"/>
      <c r="D12" s="71">
        <v>0</v>
      </c>
      <c r="E12" s="71">
        <v>0</v>
      </c>
      <c r="F12" s="71">
        <v>1</v>
      </c>
      <c r="G12" s="68">
        <f t="shared" si="2"/>
        <v>0</v>
      </c>
      <c r="H12" s="68">
        <f t="shared" si="3"/>
        <v>0</v>
      </c>
      <c r="I12" s="68">
        <f t="shared" si="4"/>
        <v>0</v>
      </c>
      <c r="J12" s="74">
        <f t="shared" si="5"/>
        <v>1</v>
      </c>
      <c r="K12" s="62"/>
      <c r="L12" s="59"/>
      <c r="T12">
        <v>9</v>
      </c>
    </row>
    <row r="13" spans="1:21" x14ac:dyDescent="0.25">
      <c r="A13" s="3"/>
      <c r="B13" s="40"/>
      <c r="C13" s="40"/>
      <c r="D13" s="72">
        <v>0</v>
      </c>
      <c r="E13" s="72"/>
      <c r="F13" s="72"/>
      <c r="G13" s="69"/>
      <c r="H13" s="69" t="str">
        <f t="shared" si="3"/>
        <v/>
      </c>
      <c r="I13" s="69" t="str">
        <f t="shared" si="4"/>
        <v/>
      </c>
      <c r="J13" s="75" t="str">
        <f t="shared" si="5"/>
        <v/>
      </c>
      <c r="K13" s="63"/>
      <c r="L13" s="59"/>
      <c r="T13">
        <v>10</v>
      </c>
    </row>
    <row r="14" spans="1:21" x14ac:dyDescent="0.25">
      <c r="A14" s="4" t="s">
        <v>8</v>
      </c>
      <c r="B14" s="37" t="s">
        <v>17</v>
      </c>
      <c r="C14" s="37"/>
      <c r="D14" s="70">
        <v>0</v>
      </c>
      <c r="E14" s="70">
        <v>1</v>
      </c>
      <c r="F14" s="70">
        <v>1</v>
      </c>
      <c r="G14" s="67">
        <f t="shared" si="2"/>
        <v>0</v>
      </c>
      <c r="H14" s="67">
        <f t="shared" si="3"/>
        <v>0</v>
      </c>
      <c r="I14" s="67">
        <f t="shared" si="4"/>
        <v>1</v>
      </c>
      <c r="J14" s="73">
        <f t="shared" si="5"/>
        <v>2</v>
      </c>
      <c r="K14" s="61"/>
      <c r="L14" s="59"/>
      <c r="T14">
        <v>11</v>
      </c>
    </row>
    <row r="15" spans="1:21" x14ac:dyDescent="0.25">
      <c r="A15" s="2"/>
      <c r="B15" s="37" t="s">
        <v>68</v>
      </c>
      <c r="C15" s="37"/>
      <c r="D15" s="71">
        <v>0</v>
      </c>
      <c r="E15" s="71">
        <v>1</v>
      </c>
      <c r="F15" s="71">
        <v>1</v>
      </c>
      <c r="G15" s="68">
        <f t="shared" si="2"/>
        <v>0</v>
      </c>
      <c r="H15" s="68">
        <f t="shared" si="3"/>
        <v>0</v>
      </c>
      <c r="I15" s="68">
        <f t="shared" si="4"/>
        <v>1</v>
      </c>
      <c r="J15" s="74">
        <f t="shared" si="5"/>
        <v>2</v>
      </c>
      <c r="K15" s="62"/>
      <c r="L15" s="59"/>
      <c r="T15">
        <v>12</v>
      </c>
    </row>
    <row r="16" spans="1:21" x14ac:dyDescent="0.25">
      <c r="A16" s="3"/>
      <c r="B16" s="40"/>
      <c r="C16" s="40"/>
      <c r="D16" s="72"/>
      <c r="E16" s="72"/>
      <c r="F16" s="72"/>
      <c r="G16" s="69" t="str">
        <f t="shared" si="2"/>
        <v/>
      </c>
      <c r="H16" s="69" t="str">
        <f t="shared" si="3"/>
        <v/>
      </c>
      <c r="I16" s="69" t="str">
        <f t="shared" si="4"/>
        <v/>
      </c>
      <c r="J16" s="75" t="str">
        <f t="shared" si="5"/>
        <v/>
      </c>
      <c r="K16" s="63"/>
      <c r="L16" s="59"/>
      <c r="T16">
        <v>13</v>
      </c>
    </row>
    <row r="17" spans="1:20" x14ac:dyDescent="0.25">
      <c r="A17" s="2" t="s">
        <v>9</v>
      </c>
      <c r="B17" s="37" t="s">
        <v>70</v>
      </c>
      <c r="C17" s="37"/>
      <c r="D17" s="71">
        <v>0</v>
      </c>
      <c r="E17" s="71">
        <v>1</v>
      </c>
      <c r="F17" s="71">
        <v>1</v>
      </c>
      <c r="G17" s="68">
        <f t="shared" si="2"/>
        <v>0</v>
      </c>
      <c r="H17" s="68">
        <f t="shared" si="3"/>
        <v>0</v>
      </c>
      <c r="I17" s="68">
        <f t="shared" si="4"/>
        <v>1</v>
      </c>
      <c r="J17" s="74">
        <f t="shared" si="5"/>
        <v>2</v>
      </c>
      <c r="K17" s="62"/>
      <c r="L17" s="59"/>
      <c r="T17">
        <v>14</v>
      </c>
    </row>
    <row r="18" spans="1:20" x14ac:dyDescent="0.25">
      <c r="A18" s="2"/>
      <c r="B18" s="37"/>
      <c r="C18" s="37"/>
      <c r="D18" s="71"/>
      <c r="E18" s="71"/>
      <c r="F18" s="71"/>
      <c r="G18" s="68"/>
      <c r="H18" s="68" t="str">
        <f t="shared" si="3"/>
        <v/>
      </c>
      <c r="I18" s="68" t="str">
        <f t="shared" si="4"/>
        <v/>
      </c>
      <c r="J18" s="74" t="str">
        <f t="shared" si="5"/>
        <v/>
      </c>
      <c r="K18" s="62"/>
      <c r="T18">
        <v>15</v>
      </c>
    </row>
    <row r="19" spans="1:20" x14ac:dyDescent="0.25">
      <c r="A19" s="3"/>
      <c r="B19" s="40"/>
      <c r="C19" s="40"/>
      <c r="D19" s="72"/>
      <c r="E19" s="72"/>
      <c r="F19" s="72"/>
      <c r="G19" s="69"/>
      <c r="H19" s="69" t="str">
        <f t="shared" si="3"/>
        <v/>
      </c>
      <c r="I19" s="69" t="str">
        <f t="shared" si="4"/>
        <v/>
      </c>
      <c r="J19" s="75" t="str">
        <f t="shared" si="5"/>
        <v/>
      </c>
      <c r="K19" s="63"/>
      <c r="T19">
        <v>16</v>
      </c>
    </row>
    <row r="20" spans="1:20" x14ac:dyDescent="0.25">
      <c r="A20" s="2" t="s">
        <v>1224</v>
      </c>
      <c r="B20" s="37" t="s">
        <v>1230</v>
      </c>
      <c r="C20" s="37"/>
      <c r="D20" s="71">
        <v>0</v>
      </c>
      <c r="E20" s="71">
        <v>1</v>
      </c>
      <c r="F20" s="71">
        <v>1</v>
      </c>
      <c r="G20" s="68">
        <f t="shared" ref="G20:G22" si="6">IF(B20="","",IF( AND(D20=1, E20=1),1,0))</f>
        <v>0</v>
      </c>
      <c r="H20" s="68">
        <f t="shared" ref="H20:H22" si="7">IF(B20="","",IF(AND(D20=1,F20=1),1,0))</f>
        <v>0</v>
      </c>
      <c r="I20" s="68">
        <f t="shared" ref="I20:I22" si="8">IF(B20="","",IF(AND(E20=1,F20=1),1,0))</f>
        <v>1</v>
      </c>
      <c r="J20" s="74">
        <f t="shared" ref="J20:J22" si="9">IF(B20="","",SUM(D20:F20))</f>
        <v>2</v>
      </c>
      <c r="K20" s="62"/>
      <c r="T20">
        <v>17</v>
      </c>
    </row>
    <row r="21" spans="1:20" x14ac:dyDescent="0.25">
      <c r="A21" s="2"/>
      <c r="B21" s="39" t="s">
        <v>320</v>
      </c>
      <c r="C21" s="39"/>
      <c r="D21" s="71">
        <v>1</v>
      </c>
      <c r="E21" s="71">
        <v>1</v>
      </c>
      <c r="F21" s="71">
        <v>0</v>
      </c>
      <c r="G21" s="68">
        <f t="shared" si="6"/>
        <v>1</v>
      </c>
      <c r="H21" s="68">
        <f t="shared" si="7"/>
        <v>0</v>
      </c>
      <c r="I21" s="68">
        <f t="shared" si="8"/>
        <v>0</v>
      </c>
      <c r="J21" s="74">
        <f t="shared" si="9"/>
        <v>2</v>
      </c>
      <c r="K21" s="62"/>
      <c r="T21">
        <v>18</v>
      </c>
    </row>
    <row r="22" spans="1:20" x14ac:dyDescent="0.25">
      <c r="A22" s="3"/>
      <c r="B22" s="37"/>
      <c r="C22" s="37"/>
      <c r="D22" s="72"/>
      <c r="E22" s="72"/>
      <c r="F22" s="72"/>
      <c r="G22" s="69" t="str">
        <f t="shared" si="6"/>
        <v/>
      </c>
      <c r="H22" s="69" t="str">
        <f t="shared" si="7"/>
        <v/>
      </c>
      <c r="I22" s="69" t="str">
        <f t="shared" si="8"/>
        <v/>
      </c>
      <c r="J22" s="75" t="str">
        <f t="shared" si="9"/>
        <v/>
      </c>
      <c r="K22" s="63"/>
      <c r="T22">
        <v>19</v>
      </c>
    </row>
    <row r="24" spans="1:20" x14ac:dyDescent="0.25">
      <c r="A24" s="81">
        <v>2</v>
      </c>
      <c r="B24" s="49" t="s">
        <v>1119</v>
      </c>
      <c r="C24" s="31" t="s">
        <v>1399</v>
      </c>
      <c r="D24" s="76"/>
      <c r="E24" s="66"/>
      <c r="F24" s="66"/>
      <c r="G24" s="66"/>
      <c r="H24" s="66"/>
      <c r="I24" s="66"/>
      <c r="J24" s="60"/>
      <c r="K24" s="60"/>
    </row>
    <row r="25" spans="1:20" x14ac:dyDescent="0.25">
      <c r="A25" s="4" t="s">
        <v>6</v>
      </c>
      <c r="B25" s="37" t="s">
        <v>15</v>
      </c>
      <c r="C25" s="37"/>
      <c r="D25" s="70">
        <v>1</v>
      </c>
      <c r="E25" s="70">
        <v>1</v>
      </c>
      <c r="F25" s="70">
        <v>1</v>
      </c>
      <c r="G25" s="67">
        <f t="shared" ref="G25:G42" si="10">IF(B25="","",IF( AND(D25=1, E25=1),1,0))</f>
        <v>1</v>
      </c>
      <c r="H25" s="67">
        <f t="shared" ref="H25:H42" si="11">IF(B25="","",IF(AND(D25=1,F25=1),1,0))</f>
        <v>1</v>
      </c>
      <c r="I25" s="67">
        <f t="shared" ref="I25:I42" si="12">IF(B25="","",IF(AND(E25=1,F25=1),1,0))</f>
        <v>1</v>
      </c>
      <c r="J25" s="73">
        <f t="shared" ref="J25:J97" si="13">IF(B25="","",SUM(D25:F25))</f>
        <v>3</v>
      </c>
      <c r="K25" s="61"/>
      <c r="M25" s="7">
        <f t="shared" ref="M25" si="14">SUM(G25:I25)/3</f>
        <v>1</v>
      </c>
      <c r="N25" s="6">
        <f t="shared" ref="N25" si="15">SUM(G28:I28)/3</f>
        <v>1</v>
      </c>
      <c r="O25" s="7">
        <f t="shared" ref="O25" si="16">SUM(G31:I31)/3</f>
        <v>1</v>
      </c>
      <c r="P25" s="6">
        <f t="shared" ref="P25" si="17">SUM(G34:I34)/3</f>
        <v>1</v>
      </c>
      <c r="Q25" s="7">
        <f t="shared" ref="Q25" si="18">SUM(G37:I37)/3</f>
        <v>1</v>
      </c>
      <c r="R25" s="7">
        <f>SUM(G40:I40)/3</f>
        <v>1</v>
      </c>
    </row>
    <row r="26" spans="1:20" x14ac:dyDescent="0.25">
      <c r="A26" s="2"/>
      <c r="B26" s="37"/>
      <c r="C26" s="37"/>
      <c r="D26" s="71"/>
      <c r="E26" s="71"/>
      <c r="F26" s="71"/>
      <c r="G26" s="68" t="str">
        <f t="shared" si="10"/>
        <v/>
      </c>
      <c r="H26" s="68" t="str">
        <f t="shared" si="11"/>
        <v/>
      </c>
      <c r="I26" s="68" t="str">
        <f t="shared" si="12"/>
        <v/>
      </c>
      <c r="J26" s="74" t="str">
        <f t="shared" si="13"/>
        <v/>
      </c>
      <c r="K26" s="62"/>
    </row>
    <row r="27" spans="1:20" x14ac:dyDescent="0.25">
      <c r="A27" s="3"/>
      <c r="B27" s="42"/>
      <c r="C27" s="42"/>
      <c r="D27" s="72"/>
      <c r="E27" s="72"/>
      <c r="F27" s="72"/>
      <c r="G27" s="69" t="str">
        <f t="shared" si="10"/>
        <v/>
      </c>
      <c r="H27" s="69" t="str">
        <f t="shared" si="11"/>
        <v/>
      </c>
      <c r="I27" s="69" t="str">
        <f t="shared" si="12"/>
        <v/>
      </c>
      <c r="J27" s="75" t="str">
        <f t="shared" si="13"/>
        <v/>
      </c>
      <c r="K27" s="63"/>
    </row>
    <row r="28" spans="1:20" x14ac:dyDescent="0.25">
      <c r="A28" s="4" t="s">
        <v>5</v>
      </c>
      <c r="B28" s="33" t="s">
        <v>16</v>
      </c>
      <c r="C28" s="33"/>
      <c r="D28" s="70">
        <v>1</v>
      </c>
      <c r="E28" s="70">
        <v>1</v>
      </c>
      <c r="F28" s="70">
        <v>1</v>
      </c>
      <c r="G28" s="67">
        <f t="shared" si="10"/>
        <v>1</v>
      </c>
      <c r="H28" s="67">
        <f t="shared" si="11"/>
        <v>1</v>
      </c>
      <c r="I28" s="67">
        <f t="shared" si="12"/>
        <v>1</v>
      </c>
      <c r="J28" s="73">
        <f t="shared" si="13"/>
        <v>3</v>
      </c>
      <c r="K28" s="61"/>
    </row>
    <row r="29" spans="1:20" x14ac:dyDescent="0.25">
      <c r="A29" s="2"/>
      <c r="B29" s="37"/>
      <c r="C29" s="37"/>
      <c r="D29" s="71"/>
      <c r="E29" s="71"/>
      <c r="F29" s="71"/>
      <c r="G29" s="68" t="str">
        <f t="shared" si="10"/>
        <v/>
      </c>
      <c r="H29" s="68" t="str">
        <f t="shared" si="11"/>
        <v/>
      </c>
      <c r="I29" s="68" t="str">
        <f t="shared" si="12"/>
        <v/>
      </c>
      <c r="J29" s="74" t="str">
        <f t="shared" si="13"/>
        <v/>
      </c>
      <c r="K29" s="62"/>
    </row>
    <row r="30" spans="1:20" x14ac:dyDescent="0.25">
      <c r="A30" s="3"/>
      <c r="B30" s="40"/>
      <c r="C30" s="37"/>
      <c r="D30" s="71"/>
      <c r="E30" s="71"/>
      <c r="F30" s="71"/>
      <c r="G30" s="69" t="str">
        <f t="shared" si="10"/>
        <v/>
      </c>
      <c r="H30" s="69" t="str">
        <f t="shared" si="11"/>
        <v/>
      </c>
      <c r="I30" s="69" t="str">
        <f t="shared" si="12"/>
        <v/>
      </c>
      <c r="J30" s="75" t="str">
        <f t="shared" si="13"/>
        <v/>
      </c>
      <c r="K30" s="63"/>
    </row>
    <row r="31" spans="1:20" x14ac:dyDescent="0.25">
      <c r="A31" s="4" t="s">
        <v>7</v>
      </c>
      <c r="B31" s="33" t="s">
        <v>75</v>
      </c>
      <c r="C31" s="33"/>
      <c r="D31" s="70">
        <v>1</v>
      </c>
      <c r="E31" s="70">
        <v>1</v>
      </c>
      <c r="F31" s="70">
        <v>1</v>
      </c>
      <c r="G31" s="67">
        <f t="shared" si="10"/>
        <v>1</v>
      </c>
      <c r="H31" s="67">
        <f t="shared" si="11"/>
        <v>1</v>
      </c>
      <c r="I31" s="67">
        <f t="shared" si="12"/>
        <v>1</v>
      </c>
      <c r="J31" s="73">
        <f t="shared" si="13"/>
        <v>3</v>
      </c>
      <c r="K31" s="61"/>
    </row>
    <row r="32" spans="1:20" x14ac:dyDescent="0.25">
      <c r="A32" s="2"/>
      <c r="B32" s="37"/>
      <c r="C32" s="37"/>
      <c r="D32" s="71"/>
      <c r="E32" s="71"/>
      <c r="F32" s="71"/>
      <c r="G32" s="68" t="str">
        <f t="shared" si="10"/>
        <v/>
      </c>
      <c r="H32" s="68" t="str">
        <f t="shared" si="11"/>
        <v/>
      </c>
      <c r="I32" s="68" t="str">
        <f t="shared" si="12"/>
        <v/>
      </c>
      <c r="J32" s="74" t="str">
        <f t="shared" si="13"/>
        <v/>
      </c>
      <c r="K32" s="62"/>
    </row>
    <row r="33" spans="1:18" x14ac:dyDescent="0.25">
      <c r="A33" s="3"/>
      <c r="B33" s="40"/>
      <c r="C33" s="40"/>
      <c r="D33" s="72"/>
      <c r="E33" s="72"/>
      <c r="F33" s="72"/>
      <c r="G33" s="69" t="str">
        <f t="shared" si="10"/>
        <v/>
      </c>
      <c r="H33" s="69" t="str">
        <f t="shared" si="11"/>
        <v/>
      </c>
      <c r="I33" s="69" t="str">
        <f t="shared" si="12"/>
        <v/>
      </c>
      <c r="J33" s="75" t="str">
        <f t="shared" si="13"/>
        <v/>
      </c>
      <c r="K33" s="63"/>
    </row>
    <row r="34" spans="1:18" x14ac:dyDescent="0.25">
      <c r="A34" s="4" t="s">
        <v>8</v>
      </c>
      <c r="B34" s="37" t="s">
        <v>17</v>
      </c>
      <c r="C34" s="37"/>
      <c r="D34" s="70">
        <v>1</v>
      </c>
      <c r="E34" s="70">
        <v>1</v>
      </c>
      <c r="F34" s="70">
        <v>1</v>
      </c>
      <c r="G34" s="67">
        <f t="shared" si="10"/>
        <v>1</v>
      </c>
      <c r="H34" s="67">
        <f t="shared" si="11"/>
        <v>1</v>
      </c>
      <c r="I34" s="67">
        <f t="shared" si="12"/>
        <v>1</v>
      </c>
      <c r="J34" s="73">
        <f t="shared" si="13"/>
        <v>3</v>
      </c>
      <c r="K34" s="61"/>
    </row>
    <row r="35" spans="1:18" x14ac:dyDescent="0.25">
      <c r="A35" s="2"/>
      <c r="B35" s="37"/>
      <c r="C35" s="37"/>
      <c r="D35" s="71"/>
      <c r="E35" s="71"/>
      <c r="F35" s="71"/>
      <c r="G35" s="68" t="str">
        <f t="shared" si="10"/>
        <v/>
      </c>
      <c r="H35" s="68" t="str">
        <f t="shared" si="11"/>
        <v/>
      </c>
      <c r="I35" s="68" t="str">
        <f t="shared" si="12"/>
        <v/>
      </c>
      <c r="J35" s="74" t="str">
        <f t="shared" si="13"/>
        <v/>
      </c>
      <c r="K35" s="62"/>
    </row>
    <row r="36" spans="1:18" x14ac:dyDescent="0.25">
      <c r="A36" s="3"/>
      <c r="B36" s="40"/>
      <c r="C36" s="40"/>
      <c r="D36" s="72"/>
      <c r="E36" s="72"/>
      <c r="F36" s="72"/>
      <c r="G36" s="69" t="str">
        <f t="shared" si="10"/>
        <v/>
      </c>
      <c r="H36" s="69" t="str">
        <f t="shared" si="11"/>
        <v/>
      </c>
      <c r="I36" s="69" t="str">
        <f t="shared" si="12"/>
        <v/>
      </c>
      <c r="J36" s="75" t="str">
        <f t="shared" si="13"/>
        <v/>
      </c>
      <c r="K36" s="63"/>
    </row>
    <row r="37" spans="1:18" x14ac:dyDescent="0.25">
      <c r="A37" s="2" t="s">
        <v>9</v>
      </c>
      <c r="B37" s="37" t="s">
        <v>120</v>
      </c>
      <c r="C37" s="37"/>
      <c r="D37" s="71">
        <v>1</v>
      </c>
      <c r="E37" s="71">
        <v>1</v>
      </c>
      <c r="F37" s="71">
        <v>1</v>
      </c>
      <c r="G37" s="68">
        <f t="shared" si="10"/>
        <v>1</v>
      </c>
      <c r="H37" s="68">
        <f t="shared" si="11"/>
        <v>1</v>
      </c>
      <c r="I37" s="68">
        <f t="shared" si="12"/>
        <v>1</v>
      </c>
      <c r="J37" s="74">
        <f t="shared" si="13"/>
        <v>3</v>
      </c>
      <c r="K37" s="62"/>
    </row>
    <row r="38" spans="1:18" x14ac:dyDescent="0.25">
      <c r="A38" s="2"/>
      <c r="B38" s="37"/>
      <c r="C38" s="37"/>
      <c r="D38" s="71"/>
      <c r="E38" s="71"/>
      <c r="F38" s="71"/>
      <c r="G38" s="68" t="str">
        <f t="shared" si="10"/>
        <v/>
      </c>
      <c r="H38" s="68" t="str">
        <f t="shared" si="11"/>
        <v/>
      </c>
      <c r="I38" s="68" t="str">
        <f t="shared" si="12"/>
        <v/>
      </c>
      <c r="J38" s="74" t="str">
        <f t="shared" si="13"/>
        <v/>
      </c>
      <c r="K38" s="62"/>
    </row>
    <row r="39" spans="1:18" x14ac:dyDescent="0.25">
      <c r="A39" s="3"/>
      <c r="B39" s="40"/>
      <c r="C39" s="40"/>
      <c r="D39" s="72"/>
      <c r="E39" s="72"/>
      <c r="F39" s="72"/>
      <c r="G39" s="69" t="str">
        <f t="shared" si="10"/>
        <v/>
      </c>
      <c r="H39" s="69" t="str">
        <f t="shared" si="11"/>
        <v/>
      </c>
      <c r="I39" s="69" t="str">
        <f t="shared" si="12"/>
        <v/>
      </c>
      <c r="J39" s="75" t="str">
        <f t="shared" si="13"/>
        <v/>
      </c>
      <c r="K39" s="63"/>
    </row>
    <row r="40" spans="1:18" x14ac:dyDescent="0.25">
      <c r="A40" s="2" t="s">
        <v>1224</v>
      </c>
      <c r="B40" s="37" t="s">
        <v>1232</v>
      </c>
      <c r="C40" s="37"/>
      <c r="D40" s="71">
        <v>1</v>
      </c>
      <c r="E40" s="71">
        <v>1</v>
      </c>
      <c r="F40" s="71">
        <v>1</v>
      </c>
      <c r="G40" s="68">
        <f t="shared" si="10"/>
        <v>1</v>
      </c>
      <c r="H40" s="68">
        <f t="shared" si="11"/>
        <v>1</v>
      </c>
      <c r="I40" s="68">
        <v>1</v>
      </c>
      <c r="J40" s="74">
        <f t="shared" si="13"/>
        <v>3</v>
      </c>
      <c r="K40" s="62"/>
    </row>
    <row r="41" spans="1:18" x14ac:dyDescent="0.25">
      <c r="A41" s="2"/>
      <c r="B41" s="44" t="s">
        <v>1233</v>
      </c>
      <c r="C41" s="44"/>
      <c r="D41" s="71">
        <v>1</v>
      </c>
      <c r="E41" s="71">
        <v>0</v>
      </c>
      <c r="F41" s="71">
        <v>0</v>
      </c>
      <c r="G41" s="68">
        <f t="shared" si="10"/>
        <v>0</v>
      </c>
      <c r="H41" s="68">
        <f t="shared" si="11"/>
        <v>0</v>
      </c>
      <c r="I41" s="68">
        <f t="shared" si="12"/>
        <v>0</v>
      </c>
      <c r="J41" s="74">
        <f t="shared" si="13"/>
        <v>1</v>
      </c>
      <c r="K41" s="62"/>
    </row>
    <row r="42" spans="1:18" x14ac:dyDescent="0.25">
      <c r="A42" s="3"/>
      <c r="B42" s="40"/>
      <c r="C42" s="40"/>
      <c r="D42" s="72"/>
      <c r="E42" s="72"/>
      <c r="F42" s="72"/>
      <c r="G42" s="69" t="str">
        <f t="shared" si="10"/>
        <v/>
      </c>
      <c r="H42" s="69" t="str">
        <f t="shared" si="11"/>
        <v/>
      </c>
      <c r="I42" s="69" t="str">
        <f t="shared" si="12"/>
        <v/>
      </c>
      <c r="J42" s="75">
        <v>0</v>
      </c>
      <c r="K42" s="63"/>
    </row>
    <row r="44" spans="1:18" x14ac:dyDescent="0.25">
      <c r="A44" s="81">
        <v>3</v>
      </c>
      <c r="B44" s="49" t="s">
        <v>1120</v>
      </c>
      <c r="C44" s="31" t="s">
        <v>1400</v>
      </c>
      <c r="D44" s="76"/>
      <c r="E44" s="66"/>
      <c r="F44" s="66"/>
      <c r="G44" s="66"/>
      <c r="H44" s="66"/>
      <c r="I44" s="66"/>
      <c r="J44" s="60"/>
      <c r="K44" s="60"/>
    </row>
    <row r="45" spans="1:18" x14ac:dyDescent="0.25">
      <c r="A45" s="4" t="s">
        <v>6</v>
      </c>
      <c r="B45" s="37" t="s">
        <v>21</v>
      </c>
      <c r="C45" s="37"/>
      <c r="D45" s="70">
        <v>1</v>
      </c>
      <c r="E45" s="70">
        <v>1</v>
      </c>
      <c r="F45" s="70">
        <v>1</v>
      </c>
      <c r="G45" s="67">
        <f t="shared" ref="G45:G62" si="19">IF(B45="","",IF( AND(D45=1, E45=1),1,0))</f>
        <v>1</v>
      </c>
      <c r="H45" s="67">
        <f t="shared" ref="H45:H62" si="20">IF(B45="","",IF(AND(D45=1,F45=1),1,0))</f>
        <v>1</v>
      </c>
      <c r="I45" s="67">
        <f t="shared" ref="I45:I62" si="21">IF(B45="","",IF(AND(E45=1,F45=1),1,0))</f>
        <v>1</v>
      </c>
      <c r="J45" s="73">
        <f t="shared" ref="J45" si="22">IF(B45="","",SUM(D45:F45))</f>
        <v>3</v>
      </c>
      <c r="K45" s="61"/>
      <c r="M45" s="7">
        <f t="shared" ref="M45" si="23">SUM(G45:I45)/3</f>
        <v>1</v>
      </c>
      <c r="N45" s="6">
        <f t="shared" ref="N45" si="24">SUM(G48:I48)/3</f>
        <v>1</v>
      </c>
      <c r="O45" s="7">
        <f t="shared" ref="O45" si="25">SUM(G51:I51)/3</f>
        <v>1</v>
      </c>
      <c r="P45" s="6">
        <f t="shared" ref="P45" si="26">SUM(G54:I54)/3</f>
        <v>1</v>
      </c>
      <c r="Q45" s="7">
        <f t="shared" ref="Q45" si="27">SUM(G57:I57)/3</f>
        <v>0.33333333333333331</v>
      </c>
      <c r="R45" s="7">
        <f>SUM(G60:I60)/3</f>
        <v>1</v>
      </c>
    </row>
    <row r="46" spans="1:18" x14ac:dyDescent="0.25">
      <c r="A46" s="2"/>
      <c r="B46" s="37"/>
      <c r="C46" s="37"/>
      <c r="D46" s="71"/>
      <c r="E46" s="71"/>
      <c r="F46" s="71"/>
      <c r="G46" s="68" t="str">
        <f t="shared" si="19"/>
        <v/>
      </c>
      <c r="H46" s="68" t="str">
        <f t="shared" si="20"/>
        <v/>
      </c>
      <c r="I46" s="68" t="str">
        <f t="shared" si="21"/>
        <v/>
      </c>
      <c r="J46" s="74" t="str">
        <f t="shared" si="13"/>
        <v/>
      </c>
      <c r="K46" s="62"/>
    </row>
    <row r="47" spans="1:18" x14ac:dyDescent="0.25">
      <c r="A47" s="3"/>
      <c r="B47" s="42"/>
      <c r="C47" s="42"/>
      <c r="D47" s="72"/>
      <c r="E47" s="72"/>
      <c r="F47" s="72"/>
      <c r="G47" s="69" t="str">
        <f t="shared" si="19"/>
        <v/>
      </c>
      <c r="H47" s="69" t="str">
        <f t="shared" si="20"/>
        <v/>
      </c>
      <c r="I47" s="69" t="str">
        <f t="shared" si="21"/>
        <v/>
      </c>
      <c r="J47" s="75" t="str">
        <f t="shared" si="13"/>
        <v/>
      </c>
      <c r="K47" s="63"/>
    </row>
    <row r="48" spans="1:18" x14ac:dyDescent="0.25">
      <c r="A48" s="4" t="s">
        <v>5</v>
      </c>
      <c r="B48" s="33" t="s">
        <v>23</v>
      </c>
      <c r="C48" s="33"/>
      <c r="D48" s="70">
        <v>1</v>
      </c>
      <c r="E48" s="70">
        <v>1</v>
      </c>
      <c r="F48" s="70">
        <v>1</v>
      </c>
      <c r="G48" s="67">
        <f t="shared" si="19"/>
        <v>1</v>
      </c>
      <c r="H48" s="67">
        <f t="shared" si="20"/>
        <v>1</v>
      </c>
      <c r="I48" s="67">
        <f t="shared" si="21"/>
        <v>1</v>
      </c>
      <c r="J48" s="73">
        <f t="shared" si="13"/>
        <v>3</v>
      </c>
      <c r="K48" s="61"/>
    </row>
    <row r="49" spans="1:11" x14ac:dyDescent="0.25">
      <c r="A49" s="2"/>
      <c r="B49" s="37"/>
      <c r="C49" s="37"/>
      <c r="D49" s="71"/>
      <c r="E49" s="71"/>
      <c r="F49" s="71"/>
      <c r="G49" s="68" t="str">
        <f t="shared" si="19"/>
        <v/>
      </c>
      <c r="H49" s="68" t="str">
        <f t="shared" si="20"/>
        <v/>
      </c>
      <c r="I49" s="68" t="str">
        <f t="shared" si="21"/>
        <v/>
      </c>
      <c r="J49" s="74" t="str">
        <f t="shared" si="13"/>
        <v/>
      </c>
      <c r="K49" s="62"/>
    </row>
    <row r="50" spans="1:11" x14ac:dyDescent="0.25">
      <c r="A50" s="3"/>
      <c r="B50" s="40"/>
      <c r="C50" s="37"/>
      <c r="D50" s="71"/>
      <c r="E50" s="71"/>
      <c r="F50" s="71"/>
      <c r="G50" s="69" t="str">
        <f t="shared" si="19"/>
        <v/>
      </c>
      <c r="H50" s="69" t="str">
        <f t="shared" si="20"/>
        <v/>
      </c>
      <c r="I50" s="69" t="str">
        <f t="shared" si="21"/>
        <v/>
      </c>
      <c r="J50" s="75" t="str">
        <f t="shared" si="13"/>
        <v/>
      </c>
      <c r="K50" s="63"/>
    </row>
    <row r="51" spans="1:11" x14ac:dyDescent="0.25">
      <c r="A51" s="4" t="s">
        <v>7</v>
      </c>
      <c r="B51" s="33" t="s">
        <v>124</v>
      </c>
      <c r="C51" s="33"/>
      <c r="D51" s="70">
        <v>1</v>
      </c>
      <c r="E51" s="70">
        <v>1</v>
      </c>
      <c r="F51" s="70">
        <v>1</v>
      </c>
      <c r="G51" s="67">
        <f t="shared" si="19"/>
        <v>1</v>
      </c>
      <c r="H51" s="67">
        <f t="shared" si="20"/>
        <v>1</v>
      </c>
      <c r="I51" s="67">
        <f t="shared" si="21"/>
        <v>1</v>
      </c>
      <c r="J51" s="73">
        <f t="shared" si="13"/>
        <v>3</v>
      </c>
      <c r="K51" s="61"/>
    </row>
    <row r="52" spans="1:11" x14ac:dyDescent="0.25">
      <c r="A52" s="2"/>
      <c r="B52" s="37" t="s">
        <v>24</v>
      </c>
      <c r="C52" s="37"/>
      <c r="D52" s="71">
        <v>1</v>
      </c>
      <c r="E52" s="71">
        <v>1</v>
      </c>
      <c r="F52" s="71">
        <v>0</v>
      </c>
      <c r="G52" s="68">
        <f t="shared" si="19"/>
        <v>1</v>
      </c>
      <c r="H52" s="68">
        <f t="shared" si="20"/>
        <v>0</v>
      </c>
      <c r="I52" s="68">
        <f t="shared" si="21"/>
        <v>0</v>
      </c>
      <c r="J52" s="74">
        <f t="shared" si="13"/>
        <v>2</v>
      </c>
      <c r="K52" s="62"/>
    </row>
    <row r="53" spans="1:11" x14ac:dyDescent="0.25">
      <c r="A53" s="3"/>
      <c r="B53" s="40"/>
      <c r="C53" s="40"/>
      <c r="D53" s="72"/>
      <c r="E53" s="72"/>
      <c r="F53" s="72"/>
      <c r="G53" s="69" t="str">
        <f t="shared" si="19"/>
        <v/>
      </c>
      <c r="H53" s="69" t="str">
        <f t="shared" si="20"/>
        <v/>
      </c>
      <c r="I53" s="69" t="str">
        <f t="shared" si="21"/>
        <v/>
      </c>
      <c r="J53" s="75" t="str">
        <f t="shared" si="13"/>
        <v/>
      </c>
      <c r="K53" s="63"/>
    </row>
    <row r="54" spans="1:11" x14ac:dyDescent="0.25">
      <c r="A54" s="4" t="s">
        <v>8</v>
      </c>
      <c r="B54" s="37" t="s">
        <v>26</v>
      </c>
      <c r="C54" s="37"/>
      <c r="D54" s="70">
        <v>1</v>
      </c>
      <c r="E54" s="70">
        <v>1</v>
      </c>
      <c r="F54" s="70">
        <v>1</v>
      </c>
      <c r="G54" s="67">
        <f t="shared" si="19"/>
        <v>1</v>
      </c>
      <c r="H54" s="67">
        <f t="shared" si="20"/>
        <v>1</v>
      </c>
      <c r="I54" s="67">
        <f t="shared" si="21"/>
        <v>1</v>
      </c>
      <c r="J54" s="73">
        <f t="shared" si="13"/>
        <v>3</v>
      </c>
      <c r="K54" s="61"/>
    </row>
    <row r="55" spans="1:11" x14ac:dyDescent="0.25">
      <c r="A55" s="2"/>
      <c r="B55" s="37"/>
      <c r="C55" s="37"/>
      <c r="D55" s="71"/>
      <c r="E55" s="71"/>
      <c r="F55" s="71"/>
      <c r="G55" s="68" t="str">
        <f t="shared" si="19"/>
        <v/>
      </c>
      <c r="H55" s="68" t="str">
        <f t="shared" si="20"/>
        <v/>
      </c>
      <c r="I55" s="68" t="str">
        <f t="shared" si="21"/>
        <v/>
      </c>
      <c r="J55" s="74" t="str">
        <f t="shared" si="13"/>
        <v/>
      </c>
      <c r="K55" s="62"/>
    </row>
    <row r="56" spans="1:11" x14ac:dyDescent="0.25">
      <c r="A56" s="3"/>
      <c r="B56" s="40"/>
      <c r="C56" s="40"/>
      <c r="D56" s="72"/>
      <c r="E56" s="72"/>
      <c r="F56" s="72"/>
      <c r="G56" s="69" t="str">
        <f t="shared" si="19"/>
        <v/>
      </c>
      <c r="H56" s="69" t="str">
        <f t="shared" si="20"/>
        <v/>
      </c>
      <c r="I56" s="69" t="str">
        <f t="shared" si="21"/>
        <v/>
      </c>
      <c r="J56" s="75" t="str">
        <f t="shared" si="13"/>
        <v/>
      </c>
      <c r="K56" s="63"/>
    </row>
    <row r="57" spans="1:11" x14ac:dyDescent="0.25">
      <c r="A57" s="2" t="s">
        <v>9</v>
      </c>
      <c r="B57" s="37" t="s">
        <v>28</v>
      </c>
      <c r="C57" s="37"/>
      <c r="D57" s="71">
        <v>1</v>
      </c>
      <c r="E57" s="71">
        <v>1</v>
      </c>
      <c r="F57" s="71">
        <v>0</v>
      </c>
      <c r="G57" s="68">
        <f t="shared" si="19"/>
        <v>1</v>
      </c>
      <c r="H57" s="68">
        <f t="shared" si="20"/>
        <v>0</v>
      </c>
      <c r="I57" s="68">
        <f t="shared" si="21"/>
        <v>0</v>
      </c>
      <c r="J57" s="74">
        <f t="shared" si="13"/>
        <v>2</v>
      </c>
      <c r="K57" s="62"/>
    </row>
    <row r="58" spans="1:11" x14ac:dyDescent="0.25">
      <c r="A58" s="2"/>
      <c r="B58" s="37"/>
      <c r="C58" s="37"/>
      <c r="D58" s="71"/>
      <c r="E58" s="71"/>
      <c r="F58" s="71"/>
      <c r="G58" s="68" t="str">
        <f t="shared" si="19"/>
        <v/>
      </c>
      <c r="H58" s="68" t="str">
        <f t="shared" si="20"/>
        <v/>
      </c>
      <c r="I58" s="68" t="str">
        <f t="shared" si="21"/>
        <v/>
      </c>
      <c r="J58" s="74" t="str">
        <f t="shared" si="13"/>
        <v/>
      </c>
      <c r="K58" s="62"/>
    </row>
    <row r="59" spans="1:11" x14ac:dyDescent="0.25">
      <c r="A59" s="3"/>
      <c r="B59" s="40"/>
      <c r="C59" s="40"/>
      <c r="D59" s="72"/>
      <c r="E59" s="72"/>
      <c r="F59" s="72"/>
      <c r="G59" s="69" t="str">
        <f t="shared" si="19"/>
        <v/>
      </c>
      <c r="H59" s="69" t="str">
        <f t="shared" si="20"/>
        <v/>
      </c>
      <c r="I59" s="69" t="str">
        <f t="shared" si="21"/>
        <v/>
      </c>
      <c r="J59" s="75" t="str">
        <f t="shared" si="13"/>
        <v/>
      </c>
      <c r="K59" s="63"/>
    </row>
    <row r="60" spans="1:11" x14ac:dyDescent="0.25">
      <c r="A60" s="2" t="s">
        <v>1224</v>
      </c>
      <c r="B60" s="37" t="s">
        <v>862</v>
      </c>
      <c r="C60" s="37"/>
      <c r="D60" s="71">
        <v>1</v>
      </c>
      <c r="E60" s="71">
        <v>1</v>
      </c>
      <c r="F60" s="71">
        <v>1</v>
      </c>
      <c r="G60" s="68">
        <f t="shared" si="19"/>
        <v>1</v>
      </c>
      <c r="H60" s="68">
        <f t="shared" si="20"/>
        <v>1</v>
      </c>
      <c r="I60" s="68">
        <f t="shared" si="21"/>
        <v>1</v>
      </c>
      <c r="J60" s="74">
        <f t="shared" ref="J60:J62" si="28">IF(B60="","",SUM(D60:F60))</f>
        <v>3</v>
      </c>
      <c r="K60" s="62"/>
    </row>
    <row r="61" spans="1:11" x14ac:dyDescent="0.25">
      <c r="A61" s="2"/>
      <c r="B61" s="44" t="s">
        <v>1234</v>
      </c>
      <c r="C61" s="44"/>
      <c r="D61" s="71">
        <v>1</v>
      </c>
      <c r="E61" s="71">
        <v>0</v>
      </c>
      <c r="F61" s="71">
        <v>0</v>
      </c>
      <c r="G61" s="68">
        <f t="shared" si="19"/>
        <v>0</v>
      </c>
      <c r="H61" s="68">
        <f t="shared" si="20"/>
        <v>0</v>
      </c>
      <c r="I61" s="68">
        <f t="shared" si="21"/>
        <v>0</v>
      </c>
      <c r="J61" s="74">
        <f t="shared" si="28"/>
        <v>1</v>
      </c>
      <c r="K61" s="62"/>
    </row>
    <row r="62" spans="1:11" x14ac:dyDescent="0.25">
      <c r="A62" s="3"/>
      <c r="B62" s="40"/>
      <c r="C62" s="40"/>
      <c r="D62" s="72"/>
      <c r="E62" s="72"/>
      <c r="F62" s="72"/>
      <c r="G62" s="69" t="str">
        <f t="shared" si="19"/>
        <v/>
      </c>
      <c r="H62" s="69" t="str">
        <f t="shared" si="20"/>
        <v/>
      </c>
      <c r="I62" s="69" t="str">
        <f t="shared" si="21"/>
        <v/>
      </c>
      <c r="J62" s="75" t="str">
        <f t="shared" si="28"/>
        <v/>
      </c>
      <c r="K62" s="63"/>
    </row>
    <row r="64" spans="1:11" x14ac:dyDescent="0.25">
      <c r="A64" s="81">
        <v>4</v>
      </c>
      <c r="B64" s="49" t="s">
        <v>1121</v>
      </c>
      <c r="C64" s="31" t="s">
        <v>1401</v>
      </c>
      <c r="D64" s="76"/>
      <c r="E64" s="66"/>
      <c r="F64" s="66"/>
      <c r="G64" s="66"/>
      <c r="H64" s="66"/>
      <c r="I64" s="66"/>
      <c r="J64" s="60"/>
      <c r="K64" s="60"/>
    </row>
    <row r="65" spans="1:18" x14ac:dyDescent="0.25">
      <c r="A65" s="4" t="s">
        <v>6</v>
      </c>
      <c r="B65" s="37" t="s">
        <v>78</v>
      </c>
      <c r="C65" s="37"/>
      <c r="D65" s="70">
        <v>1</v>
      </c>
      <c r="E65" s="70">
        <v>1</v>
      </c>
      <c r="F65" s="70">
        <v>1</v>
      </c>
      <c r="G65" s="67">
        <f t="shared" ref="G65:G82" si="29">IF(B65="","",IF( AND(D65=1, E65=1),1,0))</f>
        <v>1</v>
      </c>
      <c r="H65" s="67">
        <f t="shared" ref="H65:H82" si="30">IF(B65="","",IF(AND(D65=1,F65=1),1,0))</f>
        <v>1</v>
      </c>
      <c r="I65" s="67">
        <f t="shared" ref="I65:I82" si="31">IF(B65="","",IF(AND(E65=1,F65=1),1,0))</f>
        <v>1</v>
      </c>
      <c r="J65" s="73">
        <f t="shared" ref="J65" si="32">IF(B65="","",SUM(D65:F65))</f>
        <v>3</v>
      </c>
      <c r="K65" s="61"/>
      <c r="M65" s="7">
        <f t="shared" ref="M65" si="33">SUM(G65:I65)/3</f>
        <v>1</v>
      </c>
      <c r="N65" s="6">
        <f t="shared" ref="N65" si="34">SUM(G68:I68)/3</f>
        <v>1</v>
      </c>
      <c r="O65" s="7">
        <f t="shared" ref="O65" si="35">SUM(G71:I71)/3</f>
        <v>1</v>
      </c>
      <c r="P65" s="6">
        <f t="shared" ref="P65" si="36">SUM(G74:I74)/3</f>
        <v>1</v>
      </c>
      <c r="Q65" s="7">
        <f t="shared" ref="Q65" si="37">SUM(G77:I77)/3</f>
        <v>1</v>
      </c>
      <c r="R65" s="7">
        <f>SUM(D80:F80)/3</f>
        <v>1</v>
      </c>
    </row>
    <row r="66" spans="1:18" x14ac:dyDescent="0.25">
      <c r="A66" s="2"/>
      <c r="B66" s="37" t="s">
        <v>30</v>
      </c>
      <c r="C66" s="37"/>
      <c r="D66" s="71">
        <v>1</v>
      </c>
      <c r="E66" s="71">
        <v>1</v>
      </c>
      <c r="F66" s="71">
        <v>0</v>
      </c>
      <c r="G66" s="68">
        <f t="shared" si="29"/>
        <v>1</v>
      </c>
      <c r="H66" s="68">
        <f t="shared" si="30"/>
        <v>0</v>
      </c>
      <c r="I66" s="68">
        <f t="shared" si="31"/>
        <v>0</v>
      </c>
      <c r="J66" s="74">
        <f t="shared" si="13"/>
        <v>2</v>
      </c>
      <c r="K66" s="62"/>
    </row>
    <row r="67" spans="1:18" x14ac:dyDescent="0.25">
      <c r="A67" s="3"/>
      <c r="B67" s="42"/>
      <c r="C67" s="42"/>
      <c r="D67" s="72"/>
      <c r="E67" s="72"/>
      <c r="F67" s="72"/>
      <c r="G67" s="69" t="str">
        <f t="shared" si="29"/>
        <v/>
      </c>
      <c r="H67" s="69" t="str">
        <f t="shared" si="30"/>
        <v/>
      </c>
      <c r="I67" s="69" t="str">
        <f t="shared" si="31"/>
        <v/>
      </c>
      <c r="J67" s="75" t="str">
        <f t="shared" si="13"/>
        <v/>
      </c>
      <c r="K67" s="63"/>
    </row>
    <row r="68" spans="1:18" x14ac:dyDescent="0.25">
      <c r="A68" s="4" t="s">
        <v>5</v>
      </c>
      <c r="B68" s="33" t="s">
        <v>23</v>
      </c>
      <c r="C68" s="33"/>
      <c r="D68" s="70">
        <v>1</v>
      </c>
      <c r="E68" s="70">
        <v>1</v>
      </c>
      <c r="F68" s="70">
        <v>1</v>
      </c>
      <c r="G68" s="67">
        <f t="shared" si="29"/>
        <v>1</v>
      </c>
      <c r="H68" s="67">
        <f t="shared" si="30"/>
        <v>1</v>
      </c>
      <c r="I68" s="67">
        <f t="shared" si="31"/>
        <v>1</v>
      </c>
      <c r="J68" s="73">
        <f t="shared" si="13"/>
        <v>3</v>
      </c>
      <c r="K68" s="61"/>
    </row>
    <row r="69" spans="1:18" x14ac:dyDescent="0.25">
      <c r="A69" s="2"/>
      <c r="B69" s="37"/>
      <c r="C69" s="37"/>
      <c r="D69" s="71"/>
      <c r="E69" s="71"/>
      <c r="F69" s="71"/>
      <c r="G69" s="68" t="str">
        <f t="shared" si="29"/>
        <v/>
      </c>
      <c r="H69" s="68" t="str">
        <f t="shared" si="30"/>
        <v/>
      </c>
      <c r="I69" s="68" t="str">
        <f t="shared" si="31"/>
        <v/>
      </c>
      <c r="J69" s="74" t="str">
        <f t="shared" si="13"/>
        <v/>
      </c>
      <c r="K69" s="62"/>
    </row>
    <row r="70" spans="1:18" x14ac:dyDescent="0.25">
      <c r="A70" s="3"/>
      <c r="B70" s="40"/>
      <c r="C70" s="37"/>
      <c r="D70" s="71"/>
      <c r="E70" s="71"/>
      <c r="F70" s="71"/>
      <c r="G70" s="69" t="str">
        <f t="shared" si="29"/>
        <v/>
      </c>
      <c r="H70" s="69" t="str">
        <f t="shared" si="30"/>
        <v/>
      </c>
      <c r="I70" s="69" t="str">
        <f t="shared" si="31"/>
        <v/>
      </c>
      <c r="J70" s="75" t="str">
        <f t="shared" si="13"/>
        <v/>
      </c>
      <c r="K70" s="63"/>
    </row>
    <row r="71" spans="1:18" x14ac:dyDescent="0.25">
      <c r="A71" s="4" t="s">
        <v>7</v>
      </c>
      <c r="B71" s="33" t="s">
        <v>31</v>
      </c>
      <c r="C71" s="33"/>
      <c r="D71" s="70">
        <v>1</v>
      </c>
      <c r="E71" s="70">
        <v>1</v>
      </c>
      <c r="F71" s="70">
        <v>1</v>
      </c>
      <c r="G71" s="67">
        <f t="shared" si="29"/>
        <v>1</v>
      </c>
      <c r="H71" s="67">
        <f t="shared" si="30"/>
        <v>1</v>
      </c>
      <c r="I71" s="67">
        <f t="shared" si="31"/>
        <v>1</v>
      </c>
      <c r="J71" s="73">
        <f t="shared" si="13"/>
        <v>3</v>
      </c>
      <c r="K71" s="61"/>
    </row>
    <row r="72" spans="1:18" x14ac:dyDescent="0.25">
      <c r="A72" s="2"/>
      <c r="B72" s="37"/>
      <c r="C72" s="37"/>
      <c r="D72" s="71"/>
      <c r="E72" s="71"/>
      <c r="F72" s="71"/>
      <c r="G72" s="68" t="str">
        <f t="shared" si="29"/>
        <v/>
      </c>
      <c r="H72" s="68" t="str">
        <f t="shared" si="30"/>
        <v/>
      </c>
      <c r="I72" s="68" t="str">
        <f t="shared" si="31"/>
        <v/>
      </c>
      <c r="J72" s="74" t="str">
        <f t="shared" si="13"/>
        <v/>
      </c>
      <c r="K72" s="62"/>
    </row>
    <row r="73" spans="1:18" x14ac:dyDescent="0.25">
      <c r="A73" s="3"/>
      <c r="B73" s="40"/>
      <c r="C73" s="40"/>
      <c r="D73" s="72"/>
      <c r="E73" s="72"/>
      <c r="F73" s="72"/>
      <c r="G73" s="69" t="str">
        <f t="shared" si="29"/>
        <v/>
      </c>
      <c r="H73" s="69" t="str">
        <f t="shared" si="30"/>
        <v/>
      </c>
      <c r="I73" s="69" t="str">
        <f t="shared" si="31"/>
        <v/>
      </c>
      <c r="J73" s="75" t="str">
        <f t="shared" si="13"/>
        <v/>
      </c>
      <c r="K73" s="63"/>
    </row>
    <row r="74" spans="1:18" x14ac:dyDescent="0.25">
      <c r="A74" s="4" t="s">
        <v>8</v>
      </c>
      <c r="B74" s="37" t="s">
        <v>32</v>
      </c>
      <c r="C74" s="37"/>
      <c r="D74" s="70">
        <v>1</v>
      </c>
      <c r="E74" s="70">
        <v>1</v>
      </c>
      <c r="F74" s="70">
        <v>1</v>
      </c>
      <c r="G74" s="67">
        <f t="shared" si="29"/>
        <v>1</v>
      </c>
      <c r="H74" s="67">
        <f t="shared" si="30"/>
        <v>1</v>
      </c>
      <c r="I74" s="67">
        <f t="shared" si="31"/>
        <v>1</v>
      </c>
      <c r="J74" s="73">
        <f t="shared" si="13"/>
        <v>3</v>
      </c>
      <c r="K74" s="61"/>
    </row>
    <row r="75" spans="1:18" x14ac:dyDescent="0.25">
      <c r="A75" s="2"/>
      <c r="B75" s="37"/>
      <c r="C75" s="37"/>
      <c r="D75" s="71"/>
      <c r="E75" s="71"/>
      <c r="F75" s="71"/>
      <c r="G75" s="68" t="str">
        <f t="shared" si="29"/>
        <v/>
      </c>
      <c r="H75" s="68" t="str">
        <f t="shared" si="30"/>
        <v/>
      </c>
      <c r="I75" s="68" t="str">
        <f t="shared" si="31"/>
        <v/>
      </c>
      <c r="J75" s="74" t="str">
        <f t="shared" si="13"/>
        <v/>
      </c>
      <c r="K75" s="62"/>
    </row>
    <row r="76" spans="1:18" x14ac:dyDescent="0.25">
      <c r="A76" s="3"/>
      <c r="B76" s="40"/>
      <c r="C76" s="40"/>
      <c r="D76" s="72"/>
      <c r="E76" s="72"/>
      <c r="F76" s="72"/>
      <c r="G76" s="69" t="str">
        <f t="shared" si="29"/>
        <v/>
      </c>
      <c r="H76" s="69" t="str">
        <f t="shared" si="30"/>
        <v/>
      </c>
      <c r="I76" s="69" t="str">
        <f t="shared" si="31"/>
        <v/>
      </c>
      <c r="J76" s="75" t="str">
        <f t="shared" si="13"/>
        <v/>
      </c>
      <c r="K76" s="63"/>
    </row>
    <row r="77" spans="1:18" x14ac:dyDescent="0.25">
      <c r="A77" s="2" t="s">
        <v>9</v>
      </c>
      <c r="B77" s="37" t="s">
        <v>147</v>
      </c>
      <c r="C77" s="37"/>
      <c r="D77" s="71">
        <v>1</v>
      </c>
      <c r="E77" s="71">
        <v>1</v>
      </c>
      <c r="F77" s="71">
        <v>1</v>
      </c>
      <c r="G77" s="68">
        <f t="shared" si="29"/>
        <v>1</v>
      </c>
      <c r="H77" s="68">
        <f t="shared" si="30"/>
        <v>1</v>
      </c>
      <c r="I77" s="68">
        <f t="shared" si="31"/>
        <v>1</v>
      </c>
      <c r="J77" s="74">
        <f t="shared" si="13"/>
        <v>3</v>
      </c>
      <c r="K77" s="62"/>
    </row>
    <row r="78" spans="1:18" x14ac:dyDescent="0.25">
      <c r="A78" s="2"/>
      <c r="B78" s="37" t="s">
        <v>81</v>
      </c>
      <c r="C78" s="37"/>
      <c r="D78" s="71">
        <v>1</v>
      </c>
      <c r="E78" s="71">
        <v>1</v>
      </c>
      <c r="F78" s="71">
        <v>0</v>
      </c>
      <c r="G78" s="68">
        <f t="shared" si="29"/>
        <v>1</v>
      </c>
      <c r="H78" s="68">
        <f t="shared" si="30"/>
        <v>0</v>
      </c>
      <c r="I78" s="68">
        <f t="shared" si="31"/>
        <v>0</v>
      </c>
      <c r="J78" s="74">
        <f t="shared" si="13"/>
        <v>2</v>
      </c>
      <c r="K78" s="62"/>
    </row>
    <row r="79" spans="1:18" x14ac:dyDescent="0.25">
      <c r="A79" s="3"/>
      <c r="B79" s="40"/>
      <c r="C79" s="40"/>
      <c r="D79" s="72"/>
      <c r="E79" s="72"/>
      <c r="F79" s="72"/>
      <c r="G79" s="69" t="str">
        <f t="shared" si="29"/>
        <v/>
      </c>
      <c r="H79" s="69" t="str">
        <f t="shared" si="30"/>
        <v/>
      </c>
      <c r="I79" s="69" t="str">
        <f t="shared" si="31"/>
        <v/>
      </c>
      <c r="J79" s="75" t="str">
        <f t="shared" si="13"/>
        <v/>
      </c>
      <c r="K79" s="63"/>
    </row>
    <row r="80" spans="1:18" x14ac:dyDescent="0.25">
      <c r="A80" s="2" t="s">
        <v>1224</v>
      </c>
      <c r="B80" s="39" t="s">
        <v>81</v>
      </c>
      <c r="C80" s="39"/>
      <c r="D80" s="71">
        <v>1</v>
      </c>
      <c r="E80" s="71">
        <v>1</v>
      </c>
      <c r="F80" s="71">
        <v>1</v>
      </c>
      <c r="G80" s="68">
        <f t="shared" si="29"/>
        <v>1</v>
      </c>
      <c r="H80" s="68">
        <f t="shared" si="30"/>
        <v>1</v>
      </c>
      <c r="I80" s="68">
        <f t="shared" si="31"/>
        <v>1</v>
      </c>
      <c r="J80" s="74">
        <f t="shared" ref="J80:J82" si="38">IF(B80="","",SUM(D80:F80))</f>
        <v>3</v>
      </c>
      <c r="K80" s="62"/>
    </row>
    <row r="81" spans="1:18" x14ac:dyDescent="0.25">
      <c r="A81" s="2"/>
      <c r="B81" s="39" t="s">
        <v>147</v>
      </c>
      <c r="C81" s="39"/>
      <c r="D81" s="71">
        <v>1</v>
      </c>
      <c r="E81" s="71">
        <v>1</v>
      </c>
      <c r="F81" s="71">
        <v>0</v>
      </c>
      <c r="G81" s="68">
        <f t="shared" si="29"/>
        <v>1</v>
      </c>
      <c r="H81" s="68">
        <f t="shared" si="30"/>
        <v>0</v>
      </c>
      <c r="I81" s="68">
        <f t="shared" si="31"/>
        <v>0</v>
      </c>
      <c r="J81" s="74">
        <f t="shared" si="38"/>
        <v>2</v>
      </c>
      <c r="K81" s="62"/>
    </row>
    <row r="82" spans="1:18" x14ac:dyDescent="0.25">
      <c r="A82" s="3"/>
      <c r="B82" s="44" t="s">
        <v>853</v>
      </c>
      <c r="C82" s="44"/>
      <c r="D82" s="72">
        <v>0</v>
      </c>
      <c r="E82" s="72">
        <v>1</v>
      </c>
      <c r="F82" s="72">
        <v>1</v>
      </c>
      <c r="G82" s="69">
        <f t="shared" si="29"/>
        <v>0</v>
      </c>
      <c r="H82" s="69">
        <f t="shared" si="30"/>
        <v>0</v>
      </c>
      <c r="I82" s="69">
        <f t="shared" si="31"/>
        <v>1</v>
      </c>
      <c r="J82" s="75">
        <f t="shared" si="38"/>
        <v>2</v>
      </c>
      <c r="K82" s="63"/>
    </row>
    <row r="84" spans="1:18" x14ac:dyDescent="0.25">
      <c r="A84" s="81">
        <v>5</v>
      </c>
      <c r="B84" s="49" t="s">
        <v>1122</v>
      </c>
      <c r="C84" s="31" t="s">
        <v>1402</v>
      </c>
      <c r="D84" s="76"/>
      <c r="E84" s="66"/>
      <c r="F84" s="66"/>
      <c r="G84" s="66"/>
      <c r="H84" s="66"/>
      <c r="I84" s="66"/>
      <c r="J84" s="60"/>
      <c r="K84" s="60"/>
    </row>
    <row r="85" spans="1:18" x14ac:dyDescent="0.25">
      <c r="A85" s="4" t="s">
        <v>6</v>
      </c>
      <c r="B85" s="37" t="s">
        <v>82</v>
      </c>
      <c r="C85" s="37"/>
      <c r="D85" s="70">
        <v>1</v>
      </c>
      <c r="E85" s="70">
        <v>1</v>
      </c>
      <c r="F85" s="70">
        <v>1</v>
      </c>
      <c r="G85" s="67">
        <f t="shared" ref="G85:G102" si="39">IF(B85="","",IF( AND(D85=1, E85=1),1,0))</f>
        <v>1</v>
      </c>
      <c r="H85" s="67">
        <f t="shared" ref="H85:H102" si="40">IF(B85="","",IF(AND(D85=1,F85=1),1,0))</f>
        <v>1</v>
      </c>
      <c r="I85" s="67">
        <f t="shared" ref="I85:I102" si="41">IF(B85="","",IF(AND(E85=1,F85=1),1,0))</f>
        <v>1</v>
      </c>
      <c r="J85" s="73">
        <f t="shared" ref="J85" si="42">IF(B85="","",SUM(D85:F85))</f>
        <v>3</v>
      </c>
      <c r="K85" s="61"/>
      <c r="M85" s="7">
        <f t="shared" ref="M85" si="43">SUM(G85:I85)/3</f>
        <v>1</v>
      </c>
      <c r="N85" s="6">
        <f t="shared" ref="N85" si="44">SUM(G88:I88)/3</f>
        <v>1</v>
      </c>
      <c r="O85" s="7">
        <f t="shared" ref="O85" si="45">SUM(G91:I91)/3</f>
        <v>1</v>
      </c>
      <c r="P85" s="6">
        <f t="shared" ref="P85" si="46">SUM(G94:I94)/3</f>
        <v>0</v>
      </c>
      <c r="Q85" s="7">
        <f t="shared" ref="Q85" si="47">SUM(G97:I97)/3</f>
        <v>0.33333333333333331</v>
      </c>
      <c r="R85" s="7">
        <f>SUM(G100:I100)/3</f>
        <v>1</v>
      </c>
    </row>
    <row r="86" spans="1:18" x14ac:dyDescent="0.25">
      <c r="A86" s="2"/>
      <c r="B86" s="35" t="s">
        <v>126</v>
      </c>
      <c r="C86" s="39"/>
      <c r="D86" s="71">
        <v>0</v>
      </c>
      <c r="E86" s="71">
        <v>1</v>
      </c>
      <c r="F86" s="71">
        <v>1</v>
      </c>
      <c r="G86" s="68">
        <f t="shared" si="39"/>
        <v>0</v>
      </c>
      <c r="H86" s="68">
        <f t="shared" si="40"/>
        <v>0</v>
      </c>
      <c r="I86" s="68">
        <f t="shared" si="41"/>
        <v>1</v>
      </c>
      <c r="J86" s="74">
        <f t="shared" si="13"/>
        <v>2</v>
      </c>
      <c r="K86" s="62"/>
    </row>
    <row r="87" spans="1:18" x14ac:dyDescent="0.25">
      <c r="A87" s="3"/>
      <c r="B87" s="42"/>
      <c r="C87" s="42"/>
      <c r="D87" s="72">
        <v>0</v>
      </c>
      <c r="E87" s="72">
        <v>0</v>
      </c>
      <c r="F87" s="72">
        <v>0</v>
      </c>
      <c r="G87" s="69" t="str">
        <f t="shared" si="39"/>
        <v/>
      </c>
      <c r="H87" s="69" t="str">
        <f t="shared" si="40"/>
        <v/>
      </c>
      <c r="I87" s="69" t="str">
        <f t="shared" si="41"/>
        <v/>
      </c>
      <c r="J87" s="75" t="str">
        <f t="shared" si="13"/>
        <v/>
      </c>
      <c r="K87" s="63"/>
    </row>
    <row r="88" spans="1:18" x14ac:dyDescent="0.25">
      <c r="A88" s="4" t="s">
        <v>5</v>
      </c>
      <c r="B88" s="33" t="s">
        <v>37</v>
      </c>
      <c r="C88" s="33"/>
      <c r="D88" s="70">
        <v>1</v>
      </c>
      <c r="E88" s="70">
        <v>1</v>
      </c>
      <c r="F88" s="70">
        <v>1</v>
      </c>
      <c r="G88" s="67">
        <f t="shared" si="39"/>
        <v>1</v>
      </c>
      <c r="H88" s="67">
        <f t="shared" si="40"/>
        <v>1</v>
      </c>
      <c r="I88" s="67">
        <f t="shared" si="41"/>
        <v>1</v>
      </c>
      <c r="J88" s="73">
        <f t="shared" si="13"/>
        <v>3</v>
      </c>
      <c r="K88" s="61"/>
    </row>
    <row r="89" spans="1:18" x14ac:dyDescent="0.25">
      <c r="A89" s="2"/>
      <c r="B89" s="37"/>
      <c r="C89" s="37"/>
      <c r="D89" s="71"/>
      <c r="E89" s="71"/>
      <c r="F89" s="71"/>
      <c r="G89" s="68" t="str">
        <f t="shared" si="39"/>
        <v/>
      </c>
      <c r="H89" s="68" t="str">
        <f t="shared" si="40"/>
        <v/>
      </c>
      <c r="I89" s="68" t="str">
        <f t="shared" si="41"/>
        <v/>
      </c>
      <c r="J89" s="74" t="str">
        <f t="shared" si="13"/>
        <v/>
      </c>
      <c r="K89" s="62"/>
    </row>
    <row r="90" spans="1:18" x14ac:dyDescent="0.25">
      <c r="A90" s="3"/>
      <c r="B90" s="40"/>
      <c r="C90" s="37"/>
      <c r="D90" s="71"/>
      <c r="E90" s="71"/>
      <c r="F90" s="71"/>
      <c r="G90" s="69" t="str">
        <f t="shared" si="39"/>
        <v/>
      </c>
      <c r="H90" s="69" t="str">
        <f t="shared" si="40"/>
        <v/>
      </c>
      <c r="I90" s="69" t="str">
        <f t="shared" si="41"/>
        <v/>
      </c>
      <c r="J90" s="75" t="str">
        <f t="shared" si="13"/>
        <v/>
      </c>
      <c r="K90" s="63"/>
    </row>
    <row r="91" spans="1:18" x14ac:dyDescent="0.25">
      <c r="A91" s="4" t="s">
        <v>7</v>
      </c>
      <c r="B91" s="33" t="s">
        <v>84</v>
      </c>
      <c r="C91" s="33"/>
      <c r="D91" s="70">
        <v>1</v>
      </c>
      <c r="E91" s="70">
        <v>1</v>
      </c>
      <c r="F91" s="70">
        <v>1</v>
      </c>
      <c r="G91" s="67">
        <f t="shared" si="39"/>
        <v>1</v>
      </c>
      <c r="H91" s="67">
        <f t="shared" si="40"/>
        <v>1</v>
      </c>
      <c r="I91" s="67">
        <f t="shared" si="41"/>
        <v>1</v>
      </c>
      <c r="J91" s="73">
        <f t="shared" si="13"/>
        <v>3</v>
      </c>
      <c r="K91" s="61"/>
    </row>
    <row r="92" spans="1:18" x14ac:dyDescent="0.25">
      <c r="A92" s="2"/>
      <c r="B92" s="37"/>
      <c r="C92" s="37"/>
      <c r="D92" s="71"/>
      <c r="E92" s="71"/>
      <c r="F92" s="71"/>
      <c r="G92" s="68" t="str">
        <f t="shared" si="39"/>
        <v/>
      </c>
      <c r="H92" s="68" t="str">
        <f t="shared" si="40"/>
        <v/>
      </c>
      <c r="I92" s="68" t="str">
        <f t="shared" si="41"/>
        <v/>
      </c>
      <c r="J92" s="74" t="str">
        <f t="shared" si="13"/>
        <v/>
      </c>
      <c r="K92" s="62"/>
    </row>
    <row r="93" spans="1:18" x14ac:dyDescent="0.25">
      <c r="A93" s="3"/>
      <c r="B93" s="40"/>
      <c r="C93" s="40"/>
      <c r="D93" s="72"/>
      <c r="E93" s="72"/>
      <c r="F93" s="72"/>
      <c r="G93" s="69" t="str">
        <f t="shared" si="39"/>
        <v/>
      </c>
      <c r="H93" s="69" t="str">
        <f t="shared" si="40"/>
        <v/>
      </c>
      <c r="I93" s="69" t="str">
        <f t="shared" si="41"/>
        <v/>
      </c>
      <c r="J93" s="75" t="str">
        <f t="shared" si="13"/>
        <v/>
      </c>
      <c r="K93" s="63"/>
    </row>
    <row r="94" spans="1:18" x14ac:dyDescent="0.25">
      <c r="A94" s="4" t="s">
        <v>8</v>
      </c>
      <c r="B94" s="37" t="s">
        <v>85</v>
      </c>
      <c r="C94" s="37"/>
      <c r="D94" s="70">
        <v>0</v>
      </c>
      <c r="E94" s="70">
        <v>1</v>
      </c>
      <c r="F94" s="70">
        <v>0</v>
      </c>
      <c r="G94" s="67">
        <f t="shared" si="39"/>
        <v>0</v>
      </c>
      <c r="H94" s="67">
        <f t="shared" si="40"/>
        <v>0</v>
      </c>
      <c r="I94" s="67">
        <f t="shared" si="41"/>
        <v>0</v>
      </c>
      <c r="J94" s="73">
        <f t="shared" si="13"/>
        <v>1</v>
      </c>
      <c r="K94" s="61"/>
    </row>
    <row r="95" spans="1:18" x14ac:dyDescent="0.25">
      <c r="A95" s="2"/>
      <c r="B95" s="37" t="s">
        <v>127</v>
      </c>
      <c r="C95" s="37"/>
      <c r="D95" s="71">
        <v>0</v>
      </c>
      <c r="E95" s="71">
        <v>0</v>
      </c>
      <c r="F95" s="71">
        <v>1</v>
      </c>
      <c r="G95" s="68">
        <f t="shared" si="39"/>
        <v>0</v>
      </c>
      <c r="H95" s="68">
        <f t="shared" si="40"/>
        <v>0</v>
      </c>
      <c r="I95" s="68">
        <f t="shared" si="41"/>
        <v>0</v>
      </c>
      <c r="J95" s="74">
        <f t="shared" si="13"/>
        <v>1</v>
      </c>
      <c r="K95" s="62"/>
    </row>
    <row r="96" spans="1:18" x14ac:dyDescent="0.25">
      <c r="A96" s="3"/>
      <c r="B96" s="40" t="s">
        <v>1105</v>
      </c>
      <c r="C96" s="40"/>
      <c r="D96" s="72">
        <v>1</v>
      </c>
      <c r="E96" s="72">
        <v>0</v>
      </c>
      <c r="F96" s="72">
        <v>0</v>
      </c>
      <c r="G96" s="69">
        <f t="shared" si="39"/>
        <v>0</v>
      </c>
      <c r="H96" s="69">
        <f t="shared" si="40"/>
        <v>0</v>
      </c>
      <c r="I96" s="69">
        <f t="shared" si="41"/>
        <v>0</v>
      </c>
      <c r="J96" s="75">
        <f t="shared" si="13"/>
        <v>1</v>
      </c>
      <c r="K96" s="63"/>
    </row>
    <row r="97" spans="1:18" x14ac:dyDescent="0.25">
      <c r="A97" s="2" t="s">
        <v>9</v>
      </c>
      <c r="B97" s="37" t="s">
        <v>86</v>
      </c>
      <c r="C97" s="37"/>
      <c r="D97" s="71">
        <v>0</v>
      </c>
      <c r="E97" s="71">
        <v>1</v>
      </c>
      <c r="F97" s="71">
        <v>1</v>
      </c>
      <c r="G97" s="68">
        <f t="shared" si="39"/>
        <v>0</v>
      </c>
      <c r="H97" s="68">
        <f t="shared" si="40"/>
        <v>0</v>
      </c>
      <c r="I97" s="68">
        <f t="shared" si="41"/>
        <v>1</v>
      </c>
      <c r="J97" s="74">
        <f t="shared" si="13"/>
        <v>2</v>
      </c>
      <c r="K97" s="62"/>
    </row>
    <row r="98" spans="1:18" x14ac:dyDescent="0.25">
      <c r="A98" s="2"/>
      <c r="B98" s="37"/>
      <c r="C98" s="37"/>
      <c r="D98" s="71"/>
      <c r="E98" s="71"/>
      <c r="F98" s="71"/>
      <c r="G98" s="68" t="str">
        <f t="shared" si="39"/>
        <v/>
      </c>
      <c r="H98" s="68" t="str">
        <f t="shared" si="40"/>
        <v/>
      </c>
      <c r="I98" s="68" t="str">
        <f t="shared" si="41"/>
        <v/>
      </c>
      <c r="J98" s="74" t="str">
        <f t="shared" ref="J98:J173" si="48">IF(B98="","",SUM(D98:F98))</f>
        <v/>
      </c>
      <c r="K98" s="62"/>
    </row>
    <row r="99" spans="1:18" x14ac:dyDescent="0.25">
      <c r="A99" s="3"/>
      <c r="B99" s="40"/>
      <c r="C99" s="40"/>
      <c r="D99" s="72"/>
      <c r="E99" s="72"/>
      <c r="F99" s="72"/>
      <c r="G99" s="69" t="str">
        <f t="shared" si="39"/>
        <v/>
      </c>
      <c r="H99" s="69" t="str">
        <f t="shared" si="40"/>
        <v/>
      </c>
      <c r="I99" s="69" t="str">
        <f t="shared" si="41"/>
        <v/>
      </c>
      <c r="J99" s="75" t="str">
        <f t="shared" si="48"/>
        <v/>
      </c>
      <c r="K99" s="63"/>
    </row>
    <row r="100" spans="1:18" x14ac:dyDescent="0.25">
      <c r="A100" s="2" t="s">
        <v>1224</v>
      </c>
      <c r="B100" s="37" t="s">
        <v>1236</v>
      </c>
      <c r="C100" s="37"/>
      <c r="D100" s="71">
        <v>1</v>
      </c>
      <c r="E100" s="71">
        <v>1</v>
      </c>
      <c r="F100" s="71">
        <v>1</v>
      </c>
      <c r="G100" s="68">
        <f t="shared" si="39"/>
        <v>1</v>
      </c>
      <c r="H100" s="68">
        <f t="shared" si="40"/>
        <v>1</v>
      </c>
      <c r="I100" s="68">
        <f t="shared" si="41"/>
        <v>1</v>
      </c>
      <c r="J100" s="74">
        <f t="shared" ref="J100:J102" si="49">IF(B100="","",SUM(D100:F100))</f>
        <v>3</v>
      </c>
      <c r="K100" s="62"/>
    </row>
    <row r="101" spans="1:18" x14ac:dyDescent="0.25">
      <c r="A101" s="2"/>
      <c r="B101" s="39" t="s">
        <v>128</v>
      </c>
      <c r="C101" s="39"/>
      <c r="D101" s="71">
        <v>1</v>
      </c>
      <c r="E101" s="71">
        <v>0</v>
      </c>
      <c r="F101" s="71">
        <v>1</v>
      </c>
      <c r="G101" s="68">
        <f t="shared" si="39"/>
        <v>0</v>
      </c>
      <c r="H101" s="68">
        <f t="shared" si="40"/>
        <v>1</v>
      </c>
      <c r="I101" s="68">
        <f t="shared" si="41"/>
        <v>0</v>
      </c>
      <c r="J101" s="74">
        <f t="shared" si="49"/>
        <v>2</v>
      </c>
      <c r="K101" s="62"/>
    </row>
    <row r="102" spans="1:18" x14ac:dyDescent="0.25">
      <c r="A102" s="3"/>
      <c r="B102" s="40"/>
      <c r="C102" s="40"/>
      <c r="D102" s="72"/>
      <c r="E102" s="72"/>
      <c r="F102" s="72"/>
      <c r="G102" s="69" t="str">
        <f t="shared" si="39"/>
        <v/>
      </c>
      <c r="H102" s="69" t="str">
        <f t="shared" si="40"/>
        <v/>
      </c>
      <c r="I102" s="69" t="str">
        <f t="shared" si="41"/>
        <v/>
      </c>
      <c r="J102" s="75" t="str">
        <f t="shared" si="49"/>
        <v/>
      </c>
      <c r="K102" s="63"/>
    </row>
    <row r="104" spans="1:18" x14ac:dyDescent="0.25">
      <c r="A104" s="81">
        <v>6</v>
      </c>
      <c r="B104" s="49" t="s">
        <v>1123</v>
      </c>
      <c r="C104" s="31" t="s">
        <v>1403</v>
      </c>
      <c r="D104" s="76"/>
      <c r="E104" s="66"/>
      <c r="F104" s="66"/>
      <c r="G104" s="66"/>
      <c r="H104" s="66"/>
      <c r="I104" s="66"/>
      <c r="J104" s="60"/>
      <c r="K104" s="60"/>
    </row>
    <row r="105" spans="1:18" x14ac:dyDescent="0.25">
      <c r="A105" s="4" t="s">
        <v>6</v>
      </c>
      <c r="B105" s="37" t="s">
        <v>87</v>
      </c>
      <c r="C105" s="37"/>
      <c r="D105" s="70">
        <v>1</v>
      </c>
      <c r="E105" s="70">
        <v>1</v>
      </c>
      <c r="F105" s="70">
        <v>1</v>
      </c>
      <c r="G105" s="67">
        <f t="shared" ref="G105:G122" si="50">IF(B105="","",IF( AND(D105=1, E105=1),1,0))</f>
        <v>1</v>
      </c>
      <c r="H105" s="67">
        <f t="shared" ref="H105:H122" si="51">IF(B105="","",IF(AND(D105=1,F105=1),1,0))</f>
        <v>1</v>
      </c>
      <c r="I105" s="67">
        <f t="shared" ref="I105:I122" si="52">IF(B105="","",IF(AND(E105=1,F105=1),1,0))</f>
        <v>1</v>
      </c>
      <c r="J105" s="73">
        <f t="shared" ref="J105" si="53">IF(B105="","",SUM(D105:F105))</f>
        <v>3</v>
      </c>
      <c r="K105" s="61"/>
      <c r="M105" s="7">
        <f t="shared" ref="M105" si="54">SUM(G105:I105)/3</f>
        <v>1</v>
      </c>
      <c r="N105" s="6">
        <f t="shared" ref="N105" si="55">SUM(G108:I108)/3</f>
        <v>1</v>
      </c>
      <c r="O105" s="7">
        <f t="shared" ref="O105" si="56">SUM(G111:I111)/3</f>
        <v>1</v>
      </c>
      <c r="P105" s="6">
        <f t="shared" ref="P105" si="57">SUM(G114:I114)/3</f>
        <v>0.33333333333333331</v>
      </c>
      <c r="Q105" s="7">
        <f t="shared" ref="Q105" si="58">SUM(G117:I117)/3</f>
        <v>1</v>
      </c>
      <c r="R105" s="7">
        <f>SUM(G120:I120)/3</f>
        <v>1</v>
      </c>
    </row>
    <row r="106" spans="1:18" x14ac:dyDescent="0.25">
      <c r="A106" s="2"/>
      <c r="B106" s="37"/>
      <c r="C106" s="37"/>
      <c r="D106" s="71">
        <v>0</v>
      </c>
      <c r="E106" s="71">
        <v>0</v>
      </c>
      <c r="F106" s="71">
        <v>0</v>
      </c>
      <c r="G106" s="68" t="str">
        <f t="shared" si="50"/>
        <v/>
      </c>
      <c r="H106" s="68" t="str">
        <f t="shared" si="51"/>
        <v/>
      </c>
      <c r="I106" s="68" t="str">
        <f t="shared" si="52"/>
        <v/>
      </c>
      <c r="J106" s="74" t="str">
        <f t="shared" si="48"/>
        <v/>
      </c>
      <c r="K106" s="62"/>
    </row>
    <row r="107" spans="1:18" x14ac:dyDescent="0.25">
      <c r="A107" s="3"/>
      <c r="B107" s="42"/>
      <c r="C107" s="42"/>
      <c r="D107" s="72">
        <v>0</v>
      </c>
      <c r="E107" s="72">
        <v>0</v>
      </c>
      <c r="F107" s="72">
        <v>0</v>
      </c>
      <c r="G107" s="69" t="str">
        <f t="shared" si="50"/>
        <v/>
      </c>
      <c r="H107" s="69" t="str">
        <f t="shared" si="51"/>
        <v/>
      </c>
      <c r="I107" s="69" t="str">
        <f t="shared" si="52"/>
        <v/>
      </c>
      <c r="J107" s="75" t="str">
        <f t="shared" si="48"/>
        <v/>
      </c>
      <c r="K107" s="63"/>
    </row>
    <row r="108" spans="1:18" x14ac:dyDescent="0.25">
      <c r="A108" s="4" t="s">
        <v>5</v>
      </c>
      <c r="B108" s="33" t="s">
        <v>43</v>
      </c>
      <c r="C108" s="33"/>
      <c r="D108" s="70">
        <v>1</v>
      </c>
      <c r="E108" s="70">
        <v>1</v>
      </c>
      <c r="F108" s="70">
        <v>1</v>
      </c>
      <c r="G108" s="67">
        <f t="shared" si="50"/>
        <v>1</v>
      </c>
      <c r="H108" s="67">
        <f t="shared" si="51"/>
        <v>1</v>
      </c>
      <c r="I108" s="67">
        <f t="shared" si="52"/>
        <v>1</v>
      </c>
      <c r="J108" s="73">
        <f t="shared" si="48"/>
        <v>3</v>
      </c>
      <c r="K108" s="61"/>
    </row>
    <row r="109" spans="1:18" x14ac:dyDescent="0.25">
      <c r="A109" s="2"/>
      <c r="B109" s="33" t="s">
        <v>37</v>
      </c>
      <c r="C109" s="37"/>
      <c r="D109" s="71">
        <v>1</v>
      </c>
      <c r="E109" s="71">
        <v>1</v>
      </c>
      <c r="F109" s="71">
        <v>1</v>
      </c>
      <c r="G109" s="68">
        <f t="shared" si="50"/>
        <v>1</v>
      </c>
      <c r="H109" s="68">
        <f t="shared" si="51"/>
        <v>1</v>
      </c>
      <c r="I109" s="68">
        <f t="shared" si="52"/>
        <v>1</v>
      </c>
      <c r="J109" s="74">
        <f t="shared" si="48"/>
        <v>3</v>
      </c>
      <c r="K109" s="62"/>
    </row>
    <row r="110" spans="1:18" x14ac:dyDescent="0.25">
      <c r="A110" s="3"/>
      <c r="B110" s="40"/>
      <c r="C110" s="37"/>
      <c r="D110" s="71"/>
      <c r="E110" s="71"/>
      <c r="F110" s="71"/>
      <c r="G110" s="69" t="str">
        <f t="shared" si="50"/>
        <v/>
      </c>
      <c r="H110" s="69" t="str">
        <f t="shared" si="51"/>
        <v/>
      </c>
      <c r="I110" s="69" t="str">
        <f t="shared" si="52"/>
        <v/>
      </c>
      <c r="J110" s="75" t="str">
        <f t="shared" si="48"/>
        <v/>
      </c>
      <c r="K110" s="63"/>
    </row>
    <row r="111" spans="1:18" x14ac:dyDescent="0.25">
      <c r="A111" s="4" t="s">
        <v>7</v>
      </c>
      <c r="B111" s="33" t="s">
        <v>130</v>
      </c>
      <c r="C111" s="33"/>
      <c r="D111" s="70">
        <v>1</v>
      </c>
      <c r="E111" s="70">
        <v>1</v>
      </c>
      <c r="F111" s="70">
        <v>1</v>
      </c>
      <c r="G111" s="67">
        <f t="shared" si="50"/>
        <v>1</v>
      </c>
      <c r="H111" s="67">
        <f t="shared" si="51"/>
        <v>1</v>
      </c>
      <c r="I111" s="67">
        <f t="shared" si="52"/>
        <v>1</v>
      </c>
      <c r="J111" s="73">
        <f t="shared" si="48"/>
        <v>3</v>
      </c>
      <c r="K111" s="61"/>
    </row>
    <row r="112" spans="1:18" x14ac:dyDescent="0.25">
      <c r="A112" s="2"/>
      <c r="B112" s="37"/>
      <c r="C112" s="37"/>
      <c r="D112" s="71"/>
      <c r="E112" s="71"/>
      <c r="F112" s="71"/>
      <c r="G112" s="68" t="str">
        <f t="shared" si="50"/>
        <v/>
      </c>
      <c r="H112" s="68" t="str">
        <f t="shared" si="51"/>
        <v/>
      </c>
      <c r="I112" s="68" t="str">
        <f t="shared" si="52"/>
        <v/>
      </c>
      <c r="J112" s="74" t="str">
        <f t="shared" si="48"/>
        <v/>
      </c>
      <c r="K112" s="62"/>
    </row>
    <row r="113" spans="1:18" x14ac:dyDescent="0.25">
      <c r="A113" s="3"/>
      <c r="B113" s="40"/>
      <c r="C113" s="40"/>
      <c r="D113" s="72"/>
      <c r="E113" s="72"/>
      <c r="F113" s="72"/>
      <c r="G113" s="69" t="str">
        <f t="shared" si="50"/>
        <v/>
      </c>
      <c r="H113" s="69" t="str">
        <f t="shared" si="51"/>
        <v/>
      </c>
      <c r="I113" s="69" t="str">
        <f t="shared" si="52"/>
        <v/>
      </c>
      <c r="J113" s="75" t="str">
        <f t="shared" si="48"/>
        <v/>
      </c>
      <c r="K113" s="63"/>
    </row>
    <row r="114" spans="1:18" x14ac:dyDescent="0.25">
      <c r="A114" s="4" t="s">
        <v>8</v>
      </c>
      <c r="B114" s="37" t="s">
        <v>92</v>
      </c>
      <c r="C114" s="37"/>
      <c r="D114" s="70">
        <v>0</v>
      </c>
      <c r="E114" s="70">
        <v>1</v>
      </c>
      <c r="F114" s="70">
        <v>1</v>
      </c>
      <c r="G114" s="67">
        <f t="shared" si="50"/>
        <v>0</v>
      </c>
      <c r="H114" s="67">
        <f t="shared" si="51"/>
        <v>0</v>
      </c>
      <c r="I114" s="67">
        <f t="shared" si="52"/>
        <v>1</v>
      </c>
      <c r="J114" s="73">
        <f t="shared" si="48"/>
        <v>2</v>
      </c>
      <c r="K114" s="61"/>
    </row>
    <row r="115" spans="1:18" x14ac:dyDescent="0.25">
      <c r="A115" s="2"/>
      <c r="B115" s="37"/>
      <c r="C115" s="37"/>
      <c r="D115" s="71"/>
      <c r="E115" s="71"/>
      <c r="F115" s="71"/>
      <c r="G115" s="68" t="str">
        <f t="shared" si="50"/>
        <v/>
      </c>
      <c r="H115" s="68" t="str">
        <f t="shared" si="51"/>
        <v/>
      </c>
      <c r="I115" s="68" t="str">
        <f t="shared" si="52"/>
        <v/>
      </c>
      <c r="J115" s="74" t="str">
        <f t="shared" si="48"/>
        <v/>
      </c>
      <c r="K115" s="62"/>
    </row>
    <row r="116" spans="1:18" x14ac:dyDescent="0.25">
      <c r="A116" s="3"/>
      <c r="B116" s="40"/>
      <c r="C116" s="40"/>
      <c r="D116" s="72">
        <v>0</v>
      </c>
      <c r="E116" s="72">
        <v>0</v>
      </c>
      <c r="F116" s="72">
        <v>0</v>
      </c>
      <c r="G116" s="69" t="str">
        <f t="shared" si="50"/>
        <v/>
      </c>
      <c r="H116" s="69" t="str">
        <f t="shared" si="51"/>
        <v/>
      </c>
      <c r="I116" s="69" t="str">
        <f t="shared" si="52"/>
        <v/>
      </c>
      <c r="J116" s="75" t="str">
        <f t="shared" si="48"/>
        <v/>
      </c>
      <c r="K116" s="63"/>
    </row>
    <row r="117" spans="1:18" x14ac:dyDescent="0.25">
      <c r="A117" s="2" t="s">
        <v>9</v>
      </c>
      <c r="B117" s="37" t="s">
        <v>94</v>
      </c>
      <c r="C117" s="37"/>
      <c r="D117" s="71">
        <v>1</v>
      </c>
      <c r="E117" s="71">
        <v>1</v>
      </c>
      <c r="F117" s="71">
        <v>1</v>
      </c>
      <c r="G117" s="68">
        <f t="shared" si="50"/>
        <v>1</v>
      </c>
      <c r="H117" s="68">
        <f t="shared" si="51"/>
        <v>1</v>
      </c>
      <c r="I117" s="68">
        <f t="shared" si="52"/>
        <v>1</v>
      </c>
      <c r="J117" s="74">
        <f t="shared" si="48"/>
        <v>3</v>
      </c>
      <c r="K117" s="62"/>
    </row>
    <row r="118" spans="1:18" x14ac:dyDescent="0.25">
      <c r="A118" s="2"/>
      <c r="B118" s="37"/>
      <c r="C118" s="37"/>
      <c r="D118" s="71"/>
      <c r="E118" s="71"/>
      <c r="F118" s="71"/>
      <c r="G118" s="68" t="str">
        <f t="shared" si="50"/>
        <v/>
      </c>
      <c r="H118" s="68" t="str">
        <f t="shared" si="51"/>
        <v/>
      </c>
      <c r="I118" s="68" t="str">
        <f t="shared" si="52"/>
        <v/>
      </c>
      <c r="J118" s="74" t="str">
        <f t="shared" si="48"/>
        <v/>
      </c>
      <c r="K118" s="62"/>
    </row>
    <row r="119" spans="1:18" x14ac:dyDescent="0.25">
      <c r="A119" s="3"/>
      <c r="B119" s="40"/>
      <c r="C119" s="40"/>
      <c r="D119" s="72"/>
      <c r="E119" s="72"/>
      <c r="F119" s="72"/>
      <c r="G119" s="69" t="str">
        <f t="shared" si="50"/>
        <v/>
      </c>
      <c r="H119" s="69" t="str">
        <f t="shared" si="51"/>
        <v/>
      </c>
      <c r="I119" s="69" t="str">
        <f t="shared" si="52"/>
        <v/>
      </c>
      <c r="J119" s="75" t="str">
        <f t="shared" si="48"/>
        <v/>
      </c>
      <c r="K119" s="63"/>
    </row>
    <row r="120" spans="1:18" x14ac:dyDescent="0.25">
      <c r="A120" s="2" t="s">
        <v>1224</v>
      </c>
      <c r="B120" s="44" t="s">
        <v>1240</v>
      </c>
      <c r="C120" s="44"/>
      <c r="D120" s="71">
        <v>1</v>
      </c>
      <c r="E120" s="71">
        <v>1</v>
      </c>
      <c r="F120" s="71">
        <v>1</v>
      </c>
      <c r="G120" s="68">
        <f t="shared" si="50"/>
        <v>1</v>
      </c>
      <c r="H120" s="68">
        <f t="shared" si="51"/>
        <v>1</v>
      </c>
      <c r="I120" s="68">
        <f t="shared" si="52"/>
        <v>1</v>
      </c>
      <c r="J120" s="74">
        <f t="shared" ref="J120:J122" si="59">IF(B120="","",SUM(D120:F120))</f>
        <v>3</v>
      </c>
      <c r="K120" s="62"/>
    </row>
    <row r="121" spans="1:18" x14ac:dyDescent="0.25">
      <c r="A121" s="2"/>
      <c r="B121" s="37" t="s">
        <v>887</v>
      </c>
      <c r="C121" s="37"/>
      <c r="D121" s="71">
        <v>1</v>
      </c>
      <c r="E121" s="71">
        <v>0</v>
      </c>
      <c r="F121" s="71">
        <v>1</v>
      </c>
      <c r="G121" s="68">
        <f t="shared" si="50"/>
        <v>0</v>
      </c>
      <c r="H121" s="68">
        <f t="shared" si="51"/>
        <v>1</v>
      </c>
      <c r="I121" s="68">
        <f t="shared" si="52"/>
        <v>0</v>
      </c>
      <c r="J121" s="74">
        <f t="shared" si="59"/>
        <v>2</v>
      </c>
      <c r="K121" s="62"/>
    </row>
    <row r="122" spans="1:18" x14ac:dyDescent="0.25">
      <c r="A122" s="3"/>
      <c r="B122" s="40" t="s">
        <v>1241</v>
      </c>
      <c r="C122" s="40"/>
      <c r="D122" s="72">
        <v>1</v>
      </c>
      <c r="E122" s="72">
        <v>0</v>
      </c>
      <c r="F122" s="72">
        <v>0</v>
      </c>
      <c r="G122" s="69">
        <f t="shared" si="50"/>
        <v>0</v>
      </c>
      <c r="H122" s="69">
        <f t="shared" si="51"/>
        <v>0</v>
      </c>
      <c r="I122" s="69">
        <f t="shared" si="52"/>
        <v>0</v>
      </c>
      <c r="J122" s="75">
        <f t="shared" si="59"/>
        <v>1</v>
      </c>
      <c r="K122" s="63"/>
    </row>
    <row r="124" spans="1:18" x14ac:dyDescent="0.25">
      <c r="A124" s="81">
        <v>7</v>
      </c>
      <c r="B124" s="49" t="s">
        <v>1124</v>
      </c>
      <c r="C124" s="31" t="s">
        <v>1404</v>
      </c>
      <c r="D124" s="76"/>
      <c r="E124" s="66"/>
      <c r="F124" s="66"/>
      <c r="G124" s="66"/>
      <c r="H124" s="66"/>
      <c r="I124" s="66"/>
      <c r="J124" s="60"/>
      <c r="K124" s="60"/>
    </row>
    <row r="125" spans="1:18" x14ac:dyDescent="0.25">
      <c r="A125" s="4" t="s">
        <v>6</v>
      </c>
      <c r="B125" s="37" t="s">
        <v>95</v>
      </c>
      <c r="C125" s="37"/>
      <c r="D125" s="70">
        <v>1</v>
      </c>
      <c r="E125" s="70">
        <v>1</v>
      </c>
      <c r="F125" s="70">
        <v>1</v>
      </c>
      <c r="G125" s="67">
        <f t="shared" ref="G125:G139" si="60">IF(B125="","",IF( AND(D125=1, E125=1),1,0))</f>
        <v>1</v>
      </c>
      <c r="H125" s="67">
        <f t="shared" ref="H125:H142" si="61">IF(B125="","",IF(AND(D125=1,F125=1),1,0))</f>
        <v>1</v>
      </c>
      <c r="I125" s="67">
        <f t="shared" ref="I125:I142" si="62">IF(B125="","",IF(AND(E125=1,F125=1),1,0))</f>
        <v>1</v>
      </c>
      <c r="J125" s="73">
        <f t="shared" ref="J125" si="63">IF(B125="","",SUM(D125:F125))</f>
        <v>3</v>
      </c>
      <c r="K125" s="61"/>
      <c r="M125" s="7">
        <f t="shared" ref="M125" si="64">SUM(G125:I125)/3</f>
        <v>1</v>
      </c>
      <c r="N125" s="6">
        <f t="shared" ref="N125" si="65">SUM(G128:I128)/3</f>
        <v>1</v>
      </c>
      <c r="O125" s="7">
        <f t="shared" ref="O125" si="66">SUM(G131:I131)/3</f>
        <v>1</v>
      </c>
      <c r="P125" s="6">
        <f t="shared" ref="P125" si="67">SUM(G134:I134)/3</f>
        <v>1</v>
      </c>
      <c r="Q125" s="7">
        <f>SUM(G137:I137)/3</f>
        <v>0.33333333333333331</v>
      </c>
      <c r="R125" s="7">
        <f t="shared" ref="R125" si="68">SUM(H137:J137)/3</f>
        <v>1</v>
      </c>
    </row>
    <row r="126" spans="1:18" x14ac:dyDescent="0.25">
      <c r="A126" s="2"/>
      <c r="B126" s="40" t="s">
        <v>97</v>
      </c>
      <c r="C126" s="37"/>
      <c r="D126" s="71">
        <v>0</v>
      </c>
      <c r="E126" s="71">
        <v>1</v>
      </c>
      <c r="F126" s="71">
        <v>1</v>
      </c>
      <c r="G126" s="68">
        <f t="shared" si="60"/>
        <v>0</v>
      </c>
      <c r="H126" s="68">
        <f t="shared" si="61"/>
        <v>0</v>
      </c>
      <c r="I126" s="68">
        <f t="shared" si="62"/>
        <v>1</v>
      </c>
      <c r="J126" s="74">
        <f t="shared" si="48"/>
        <v>2</v>
      </c>
      <c r="K126" s="62"/>
    </row>
    <row r="127" spans="1:18" x14ac:dyDescent="0.25">
      <c r="A127" s="3"/>
      <c r="B127" s="42"/>
      <c r="C127" s="42"/>
      <c r="D127" s="72"/>
      <c r="E127" s="72"/>
      <c r="F127" s="72"/>
      <c r="G127" s="69" t="str">
        <f t="shared" si="60"/>
        <v/>
      </c>
      <c r="H127" s="69" t="str">
        <f t="shared" si="61"/>
        <v/>
      </c>
      <c r="I127" s="69" t="str">
        <f t="shared" si="62"/>
        <v/>
      </c>
      <c r="J127" s="75" t="str">
        <f t="shared" si="48"/>
        <v/>
      </c>
      <c r="K127" s="63"/>
    </row>
    <row r="128" spans="1:18" x14ac:dyDescent="0.25">
      <c r="A128" s="4" t="s">
        <v>5</v>
      </c>
      <c r="B128" s="33" t="s">
        <v>1105</v>
      </c>
      <c r="C128" s="33"/>
      <c r="D128" s="70">
        <v>1</v>
      </c>
      <c r="E128" s="70">
        <v>1</v>
      </c>
      <c r="F128" s="70">
        <v>1</v>
      </c>
      <c r="G128" s="67">
        <f t="shared" si="60"/>
        <v>1</v>
      </c>
      <c r="H128" s="67">
        <f t="shared" si="61"/>
        <v>1</v>
      </c>
      <c r="I128" s="67">
        <f t="shared" si="62"/>
        <v>1</v>
      </c>
      <c r="J128" s="73">
        <f t="shared" si="48"/>
        <v>3</v>
      </c>
      <c r="K128" s="61"/>
    </row>
    <row r="129" spans="1:11" x14ac:dyDescent="0.25">
      <c r="A129" s="2"/>
      <c r="B129" s="37"/>
      <c r="C129" s="37"/>
      <c r="D129" s="71"/>
      <c r="E129" s="71"/>
      <c r="F129" s="71"/>
      <c r="G129" s="68" t="str">
        <f t="shared" si="60"/>
        <v/>
      </c>
      <c r="H129" s="68" t="str">
        <f t="shared" si="61"/>
        <v/>
      </c>
      <c r="I129" s="68" t="str">
        <f t="shared" si="62"/>
        <v/>
      </c>
      <c r="J129" s="74" t="str">
        <f t="shared" si="48"/>
        <v/>
      </c>
      <c r="K129" s="62"/>
    </row>
    <row r="130" spans="1:11" x14ac:dyDescent="0.25">
      <c r="A130" s="3"/>
      <c r="B130" s="40"/>
      <c r="C130" s="37"/>
      <c r="D130" s="71"/>
      <c r="E130" s="71"/>
      <c r="F130" s="71"/>
      <c r="G130" s="69" t="str">
        <f t="shared" si="60"/>
        <v/>
      </c>
      <c r="H130" s="69" t="str">
        <f t="shared" si="61"/>
        <v/>
      </c>
      <c r="I130" s="69" t="str">
        <f t="shared" si="62"/>
        <v/>
      </c>
      <c r="J130" s="75" t="str">
        <f t="shared" si="48"/>
        <v/>
      </c>
      <c r="K130" s="63"/>
    </row>
    <row r="131" spans="1:11" x14ac:dyDescent="0.25">
      <c r="A131" s="4" t="s">
        <v>7</v>
      </c>
      <c r="B131" s="33" t="s">
        <v>50</v>
      </c>
      <c r="C131" s="33"/>
      <c r="D131" s="70">
        <v>1</v>
      </c>
      <c r="E131" s="70">
        <v>1</v>
      </c>
      <c r="F131" s="70">
        <v>1</v>
      </c>
      <c r="G131" s="67">
        <f t="shared" si="60"/>
        <v>1</v>
      </c>
      <c r="H131" s="67">
        <f t="shared" si="61"/>
        <v>1</v>
      </c>
      <c r="I131" s="67">
        <f t="shared" si="62"/>
        <v>1</v>
      </c>
      <c r="J131" s="73">
        <f t="shared" si="48"/>
        <v>3</v>
      </c>
      <c r="K131" s="61"/>
    </row>
    <row r="132" spans="1:11" x14ac:dyDescent="0.25">
      <c r="A132" s="2"/>
      <c r="B132" s="37"/>
      <c r="C132" s="37"/>
      <c r="D132" s="71"/>
      <c r="E132" s="71"/>
      <c r="F132" s="71"/>
      <c r="G132" s="68" t="str">
        <f t="shared" si="60"/>
        <v/>
      </c>
      <c r="H132" s="68" t="str">
        <f t="shared" si="61"/>
        <v/>
      </c>
      <c r="I132" s="68" t="str">
        <f t="shared" si="62"/>
        <v/>
      </c>
      <c r="J132" s="74" t="str">
        <f t="shared" si="48"/>
        <v/>
      </c>
      <c r="K132" s="62"/>
    </row>
    <row r="133" spans="1:11" x14ac:dyDescent="0.25">
      <c r="A133" s="3"/>
      <c r="B133" s="40"/>
      <c r="C133" s="40"/>
      <c r="D133" s="72"/>
      <c r="E133" s="72"/>
      <c r="F133" s="72"/>
      <c r="G133" s="69" t="str">
        <f t="shared" si="60"/>
        <v/>
      </c>
      <c r="H133" s="69" t="str">
        <f t="shared" si="61"/>
        <v/>
      </c>
      <c r="I133" s="69" t="str">
        <f t="shared" si="62"/>
        <v/>
      </c>
      <c r="J133" s="75" t="str">
        <f t="shared" si="48"/>
        <v/>
      </c>
      <c r="K133" s="63"/>
    </row>
    <row r="134" spans="1:11" x14ac:dyDescent="0.25">
      <c r="A134" s="4" t="s">
        <v>8</v>
      </c>
      <c r="B134" s="37" t="s">
        <v>47</v>
      </c>
      <c r="C134" s="37"/>
      <c r="D134" s="70">
        <v>1</v>
      </c>
      <c r="E134" s="70">
        <v>1</v>
      </c>
      <c r="F134" s="70">
        <v>1</v>
      </c>
      <c r="G134" s="67">
        <f t="shared" si="60"/>
        <v>1</v>
      </c>
      <c r="H134" s="67">
        <f t="shared" si="61"/>
        <v>1</v>
      </c>
      <c r="I134" s="67">
        <f t="shared" si="62"/>
        <v>1</v>
      </c>
      <c r="J134" s="73">
        <f t="shared" si="48"/>
        <v>3</v>
      </c>
      <c r="K134" s="61"/>
    </row>
    <row r="135" spans="1:11" x14ac:dyDescent="0.25">
      <c r="A135" s="2"/>
      <c r="B135" s="37" t="s">
        <v>48</v>
      </c>
      <c r="C135" s="37"/>
      <c r="D135" s="71">
        <v>0</v>
      </c>
      <c r="E135" s="71">
        <v>1</v>
      </c>
      <c r="F135" s="71">
        <v>1</v>
      </c>
      <c r="G135" s="68">
        <f t="shared" si="60"/>
        <v>0</v>
      </c>
      <c r="H135" s="68">
        <f t="shared" si="61"/>
        <v>0</v>
      </c>
      <c r="I135" s="68">
        <f t="shared" si="62"/>
        <v>1</v>
      </c>
      <c r="J135" s="74">
        <f t="shared" si="48"/>
        <v>2</v>
      </c>
      <c r="K135" s="62"/>
    </row>
    <row r="136" spans="1:11" x14ac:dyDescent="0.25">
      <c r="A136" s="3"/>
      <c r="B136" s="40"/>
      <c r="C136" s="40"/>
      <c r="D136" s="72"/>
      <c r="E136" s="72"/>
      <c r="F136" s="72"/>
      <c r="G136" s="69" t="str">
        <f t="shared" si="60"/>
        <v/>
      </c>
      <c r="H136" s="69" t="str">
        <f t="shared" si="61"/>
        <v/>
      </c>
      <c r="I136" s="69" t="str">
        <f t="shared" si="62"/>
        <v/>
      </c>
      <c r="J136" s="75" t="str">
        <f t="shared" si="48"/>
        <v/>
      </c>
      <c r="K136" s="63"/>
    </row>
    <row r="137" spans="1:11" x14ac:dyDescent="0.25">
      <c r="A137" s="2" t="s">
        <v>9</v>
      </c>
      <c r="B137" s="37" t="s">
        <v>98</v>
      </c>
      <c r="C137" s="37"/>
      <c r="D137" s="71">
        <v>0</v>
      </c>
      <c r="E137" s="71">
        <v>1</v>
      </c>
      <c r="F137" s="71">
        <v>1</v>
      </c>
      <c r="G137" s="68">
        <f t="shared" si="60"/>
        <v>0</v>
      </c>
      <c r="H137" s="68">
        <f t="shared" si="61"/>
        <v>0</v>
      </c>
      <c r="I137" s="68">
        <f t="shared" si="62"/>
        <v>1</v>
      </c>
      <c r="J137" s="74">
        <f t="shared" si="48"/>
        <v>2</v>
      </c>
      <c r="K137" s="62"/>
    </row>
    <row r="138" spans="1:11" x14ac:dyDescent="0.25">
      <c r="A138" s="2"/>
      <c r="B138" s="37"/>
      <c r="C138" s="37"/>
      <c r="D138" s="71"/>
      <c r="E138" s="71"/>
      <c r="F138" s="71"/>
      <c r="G138" s="68" t="str">
        <f t="shared" si="60"/>
        <v/>
      </c>
      <c r="H138" s="68" t="str">
        <f t="shared" si="61"/>
        <v/>
      </c>
      <c r="I138" s="68" t="str">
        <f t="shared" si="62"/>
        <v/>
      </c>
      <c r="J138" s="74" t="str">
        <f t="shared" si="48"/>
        <v/>
      </c>
      <c r="K138" s="62"/>
    </row>
    <row r="139" spans="1:11" x14ac:dyDescent="0.25">
      <c r="A139" s="3"/>
      <c r="B139" s="40"/>
      <c r="C139" s="40"/>
      <c r="D139" s="72"/>
      <c r="E139" s="72"/>
      <c r="F139" s="72"/>
      <c r="G139" s="69" t="str">
        <f t="shared" si="60"/>
        <v/>
      </c>
      <c r="H139" s="69" t="str">
        <f t="shared" si="61"/>
        <v/>
      </c>
      <c r="I139" s="69" t="str">
        <f t="shared" si="62"/>
        <v/>
      </c>
      <c r="J139" s="75" t="str">
        <f t="shared" si="48"/>
        <v/>
      </c>
      <c r="K139" s="63"/>
    </row>
    <row r="140" spans="1:11" x14ac:dyDescent="0.25">
      <c r="A140" s="2" t="s">
        <v>1224</v>
      </c>
      <c r="B140" s="37" t="s">
        <v>1294</v>
      </c>
      <c r="C140" s="37"/>
      <c r="D140" s="71">
        <v>0</v>
      </c>
      <c r="E140" s="71">
        <v>1</v>
      </c>
      <c r="F140" s="71">
        <v>0</v>
      </c>
      <c r="G140" s="68"/>
      <c r="H140" s="68">
        <f t="shared" si="61"/>
        <v>0</v>
      </c>
      <c r="I140" s="68">
        <f t="shared" si="62"/>
        <v>0</v>
      </c>
      <c r="J140" s="74">
        <f t="shared" ref="J140:J142" si="69">IF(B140="","",SUM(D140:F140))</f>
        <v>1</v>
      </c>
      <c r="K140" s="62"/>
    </row>
    <row r="141" spans="1:11" x14ac:dyDescent="0.25">
      <c r="A141" s="2"/>
      <c r="B141" s="37"/>
      <c r="C141" s="37"/>
      <c r="D141" s="71"/>
      <c r="E141" s="71"/>
      <c r="F141" s="71"/>
      <c r="G141" s="68"/>
      <c r="H141" s="68" t="str">
        <f t="shared" si="61"/>
        <v/>
      </c>
      <c r="I141" s="68" t="str">
        <f t="shared" si="62"/>
        <v/>
      </c>
      <c r="J141" s="74" t="str">
        <f t="shared" si="69"/>
        <v/>
      </c>
      <c r="K141" s="62"/>
    </row>
    <row r="142" spans="1:11" x14ac:dyDescent="0.25">
      <c r="A142" s="3"/>
      <c r="B142" s="40"/>
      <c r="C142" s="40"/>
      <c r="D142" s="72"/>
      <c r="E142" s="72"/>
      <c r="F142" s="72"/>
      <c r="G142" s="69"/>
      <c r="H142" s="69" t="str">
        <f t="shared" si="61"/>
        <v/>
      </c>
      <c r="I142" s="69" t="str">
        <f t="shared" si="62"/>
        <v/>
      </c>
      <c r="J142" s="75" t="str">
        <f t="shared" si="69"/>
        <v/>
      </c>
      <c r="K142" s="63"/>
    </row>
    <row r="144" spans="1:11" x14ac:dyDescent="0.25">
      <c r="A144" s="81">
        <v>8</v>
      </c>
      <c r="B144" s="49" t="s">
        <v>1125</v>
      </c>
      <c r="C144" s="31" t="s">
        <v>1405</v>
      </c>
      <c r="D144" s="76"/>
      <c r="E144" s="66"/>
      <c r="F144" s="66"/>
      <c r="G144" s="66"/>
      <c r="H144" s="66"/>
      <c r="I144" s="66"/>
      <c r="J144" s="60"/>
      <c r="K144" s="60"/>
    </row>
    <row r="145" spans="1:18" x14ac:dyDescent="0.25">
      <c r="A145" s="4" t="s">
        <v>6</v>
      </c>
      <c r="B145" s="37" t="s">
        <v>49</v>
      </c>
      <c r="C145" s="37"/>
      <c r="D145" s="70">
        <v>1</v>
      </c>
      <c r="E145" s="70">
        <v>1</v>
      </c>
      <c r="F145" s="70">
        <v>1</v>
      </c>
      <c r="G145" s="67">
        <f t="shared" ref="G145:G162" si="70">IF(B145="","",IF( AND(D145=1, E145=1),1,0))</f>
        <v>1</v>
      </c>
      <c r="H145" s="67">
        <f t="shared" ref="H145:H162" si="71">IF(B145="","",IF(AND(D145=1,F145=1),1,0))</f>
        <v>1</v>
      </c>
      <c r="I145" s="67">
        <f t="shared" ref="I145:I162" si="72">IF(B145="","",IF(AND(E145=1,F145=1),1,0))</f>
        <v>1</v>
      </c>
      <c r="J145" s="73">
        <f t="shared" ref="J145" si="73">IF(B145="","",SUM(D145:F145))</f>
        <v>3</v>
      </c>
      <c r="K145" s="61"/>
      <c r="M145" s="7">
        <f t="shared" ref="M145" si="74">SUM(G145:I145)/3</f>
        <v>1</v>
      </c>
      <c r="N145" s="6">
        <f t="shared" ref="N145" si="75">SUM(G148:I148)/3</f>
        <v>0.33333333333333331</v>
      </c>
      <c r="O145" s="7">
        <f t="shared" ref="O145" si="76">SUM(G151:I151)/3</f>
        <v>1</v>
      </c>
      <c r="P145" s="6">
        <f t="shared" ref="P145" si="77">SUM(G154:I154)/3</f>
        <v>1</v>
      </c>
      <c r="Q145" s="7">
        <f t="shared" ref="Q145" si="78">SUM(G157:I157)/3</f>
        <v>1</v>
      </c>
      <c r="R145" s="7">
        <f>SUM(G160:I160)/3</f>
        <v>0.33333333333333331</v>
      </c>
    </row>
    <row r="146" spans="1:18" x14ac:dyDescent="0.25">
      <c r="A146" s="2"/>
      <c r="B146" s="37"/>
      <c r="C146" s="37"/>
      <c r="D146" s="71"/>
      <c r="E146" s="71"/>
      <c r="F146" s="71"/>
      <c r="G146" s="68" t="str">
        <f t="shared" si="70"/>
        <v/>
      </c>
      <c r="H146" s="68" t="str">
        <f t="shared" si="71"/>
        <v/>
      </c>
      <c r="I146" s="68" t="str">
        <f t="shared" si="72"/>
        <v/>
      </c>
      <c r="J146" s="74" t="str">
        <f t="shared" si="48"/>
        <v/>
      </c>
      <c r="K146" s="62"/>
    </row>
    <row r="147" spans="1:18" x14ac:dyDescent="0.25">
      <c r="A147" s="3"/>
      <c r="B147" s="42"/>
      <c r="C147" s="42"/>
      <c r="D147" s="72"/>
      <c r="E147" s="72"/>
      <c r="F147" s="72"/>
      <c r="G147" s="69" t="str">
        <f t="shared" si="70"/>
        <v/>
      </c>
      <c r="H147" s="69" t="str">
        <f t="shared" si="71"/>
        <v/>
      </c>
      <c r="I147" s="69" t="str">
        <f t="shared" si="72"/>
        <v/>
      </c>
      <c r="J147" s="75" t="str">
        <f t="shared" si="48"/>
        <v/>
      </c>
      <c r="K147" s="63"/>
    </row>
    <row r="148" spans="1:18" x14ac:dyDescent="0.25">
      <c r="A148" s="4" t="s">
        <v>5</v>
      </c>
      <c r="B148" s="33" t="s">
        <v>1105</v>
      </c>
      <c r="C148" s="33"/>
      <c r="D148" s="70">
        <v>1</v>
      </c>
      <c r="E148" s="70">
        <v>0</v>
      </c>
      <c r="F148" s="70">
        <v>1</v>
      </c>
      <c r="G148" s="67">
        <f t="shared" si="70"/>
        <v>0</v>
      </c>
      <c r="H148" s="67">
        <f t="shared" si="71"/>
        <v>1</v>
      </c>
      <c r="I148" s="67">
        <f t="shared" si="72"/>
        <v>0</v>
      </c>
      <c r="J148" s="73">
        <f t="shared" si="48"/>
        <v>2</v>
      </c>
      <c r="K148" s="61"/>
    </row>
    <row r="149" spans="1:18" x14ac:dyDescent="0.25">
      <c r="A149" s="2"/>
      <c r="B149" s="37"/>
      <c r="C149" s="37"/>
      <c r="D149" s="71"/>
      <c r="E149" s="71"/>
      <c r="F149" s="71"/>
      <c r="G149" s="68" t="str">
        <f t="shared" si="70"/>
        <v/>
      </c>
      <c r="H149" s="68" t="str">
        <f t="shared" si="71"/>
        <v/>
      </c>
      <c r="I149" s="68" t="str">
        <f t="shared" si="72"/>
        <v/>
      </c>
      <c r="J149" s="74" t="str">
        <f t="shared" si="48"/>
        <v/>
      </c>
      <c r="K149" s="62"/>
    </row>
    <row r="150" spans="1:18" x14ac:dyDescent="0.25">
      <c r="A150" s="3"/>
      <c r="B150" s="40"/>
      <c r="C150" s="37"/>
      <c r="D150" s="71"/>
      <c r="E150" s="71"/>
      <c r="F150" s="71"/>
      <c r="G150" s="69" t="str">
        <f t="shared" si="70"/>
        <v/>
      </c>
      <c r="H150" s="69" t="str">
        <f t="shared" si="71"/>
        <v/>
      </c>
      <c r="I150" s="69" t="str">
        <f t="shared" si="72"/>
        <v/>
      </c>
      <c r="J150" s="75" t="str">
        <f t="shared" si="48"/>
        <v/>
      </c>
      <c r="K150" s="63"/>
    </row>
    <row r="151" spans="1:18" x14ac:dyDescent="0.25">
      <c r="A151" s="4" t="s">
        <v>7</v>
      </c>
      <c r="B151" s="33" t="s">
        <v>50</v>
      </c>
      <c r="C151" s="33"/>
      <c r="D151" s="70">
        <v>1</v>
      </c>
      <c r="E151" s="70">
        <v>1</v>
      </c>
      <c r="F151" s="70">
        <v>1</v>
      </c>
      <c r="G151" s="67">
        <f t="shared" si="70"/>
        <v>1</v>
      </c>
      <c r="H151" s="67">
        <f t="shared" si="71"/>
        <v>1</v>
      </c>
      <c r="I151" s="67">
        <f t="shared" si="72"/>
        <v>1</v>
      </c>
      <c r="J151" s="73">
        <f t="shared" si="48"/>
        <v>3</v>
      </c>
      <c r="K151" s="61"/>
    </row>
    <row r="152" spans="1:18" x14ac:dyDescent="0.25">
      <c r="A152" s="2"/>
      <c r="B152" s="37"/>
      <c r="C152" s="37"/>
      <c r="D152" s="71"/>
      <c r="E152" s="71"/>
      <c r="F152" s="71"/>
      <c r="G152" s="68" t="str">
        <f t="shared" si="70"/>
        <v/>
      </c>
      <c r="H152" s="68" t="str">
        <f t="shared" si="71"/>
        <v/>
      </c>
      <c r="I152" s="68" t="str">
        <f t="shared" si="72"/>
        <v/>
      </c>
      <c r="J152" s="74" t="str">
        <f t="shared" si="48"/>
        <v/>
      </c>
      <c r="K152" s="62"/>
    </row>
    <row r="153" spans="1:18" x14ac:dyDescent="0.25">
      <c r="A153" s="3"/>
      <c r="B153" s="40"/>
      <c r="C153" s="40"/>
      <c r="D153" s="72"/>
      <c r="E153" s="72"/>
      <c r="F153" s="72"/>
      <c r="G153" s="69" t="str">
        <f t="shared" si="70"/>
        <v/>
      </c>
      <c r="H153" s="69" t="str">
        <f t="shared" si="71"/>
        <v/>
      </c>
      <c r="I153" s="69" t="str">
        <f t="shared" si="72"/>
        <v/>
      </c>
      <c r="J153" s="75" t="str">
        <f t="shared" si="48"/>
        <v/>
      </c>
      <c r="K153" s="63"/>
    </row>
    <row r="154" spans="1:18" x14ac:dyDescent="0.25">
      <c r="A154" s="4" t="s">
        <v>8</v>
      </c>
      <c r="B154" s="37" t="s">
        <v>102</v>
      </c>
      <c r="C154" s="37"/>
      <c r="D154" s="70">
        <v>1</v>
      </c>
      <c r="E154" s="70">
        <v>1</v>
      </c>
      <c r="F154" s="70">
        <v>1</v>
      </c>
      <c r="G154" s="67">
        <f t="shared" si="70"/>
        <v>1</v>
      </c>
      <c r="H154" s="67">
        <f t="shared" si="71"/>
        <v>1</v>
      </c>
      <c r="I154" s="67">
        <f t="shared" si="72"/>
        <v>1</v>
      </c>
      <c r="J154" s="73">
        <f t="shared" si="48"/>
        <v>3</v>
      </c>
      <c r="K154" s="61"/>
    </row>
    <row r="155" spans="1:18" x14ac:dyDescent="0.25">
      <c r="A155" s="2"/>
      <c r="B155" s="37" t="s">
        <v>47</v>
      </c>
      <c r="C155" s="37"/>
      <c r="D155" s="71">
        <v>0</v>
      </c>
      <c r="E155" s="71">
        <v>1</v>
      </c>
      <c r="F155" s="71">
        <v>1</v>
      </c>
      <c r="G155" s="68">
        <f t="shared" si="70"/>
        <v>0</v>
      </c>
      <c r="H155" s="68">
        <f t="shared" si="71"/>
        <v>0</v>
      </c>
      <c r="I155" s="68">
        <f t="shared" si="72"/>
        <v>1</v>
      </c>
      <c r="J155" s="74">
        <f t="shared" si="48"/>
        <v>2</v>
      </c>
      <c r="K155" s="62"/>
    </row>
    <row r="156" spans="1:18" x14ac:dyDescent="0.25">
      <c r="A156" s="3"/>
      <c r="B156" s="40"/>
      <c r="C156" s="40"/>
      <c r="D156" s="72"/>
      <c r="E156" s="72"/>
      <c r="F156" s="72"/>
      <c r="G156" s="69" t="str">
        <f t="shared" si="70"/>
        <v/>
      </c>
      <c r="H156" s="69" t="str">
        <f t="shared" si="71"/>
        <v/>
      </c>
      <c r="I156" s="69" t="str">
        <f t="shared" si="72"/>
        <v/>
      </c>
      <c r="J156" s="75" t="str">
        <f t="shared" si="48"/>
        <v/>
      </c>
      <c r="K156" s="63"/>
    </row>
    <row r="157" spans="1:18" x14ac:dyDescent="0.25">
      <c r="A157" s="2" t="s">
        <v>9</v>
      </c>
      <c r="B157" s="37" t="s">
        <v>54</v>
      </c>
      <c r="C157" s="37"/>
      <c r="D157" s="71">
        <v>1</v>
      </c>
      <c r="E157" s="71">
        <v>1</v>
      </c>
      <c r="F157" s="71">
        <v>1</v>
      </c>
      <c r="G157" s="68">
        <f t="shared" si="70"/>
        <v>1</v>
      </c>
      <c r="H157" s="68">
        <f t="shared" si="71"/>
        <v>1</v>
      </c>
      <c r="I157" s="68">
        <f t="shared" si="72"/>
        <v>1</v>
      </c>
      <c r="J157" s="74">
        <f t="shared" si="48"/>
        <v>3</v>
      </c>
      <c r="K157" s="62"/>
    </row>
    <row r="158" spans="1:18" x14ac:dyDescent="0.25">
      <c r="A158" s="2"/>
      <c r="B158" s="37"/>
      <c r="C158" s="37"/>
      <c r="D158" s="71"/>
      <c r="E158" s="71"/>
      <c r="F158" s="71"/>
      <c r="G158" s="68" t="str">
        <f t="shared" si="70"/>
        <v/>
      </c>
      <c r="H158" s="68" t="str">
        <f t="shared" si="71"/>
        <v/>
      </c>
      <c r="I158" s="68" t="str">
        <f t="shared" si="72"/>
        <v/>
      </c>
      <c r="J158" s="74" t="str">
        <f t="shared" si="48"/>
        <v/>
      </c>
      <c r="K158" s="62"/>
    </row>
    <row r="159" spans="1:18" x14ac:dyDescent="0.25">
      <c r="A159" s="3"/>
      <c r="B159" s="40"/>
      <c r="C159" s="40"/>
      <c r="D159" s="72"/>
      <c r="E159" s="72"/>
      <c r="F159" s="72"/>
      <c r="G159" s="69" t="str">
        <f t="shared" si="70"/>
        <v/>
      </c>
      <c r="H159" s="69" t="str">
        <f t="shared" si="71"/>
        <v/>
      </c>
      <c r="I159" s="69" t="str">
        <f t="shared" si="72"/>
        <v/>
      </c>
      <c r="J159" s="75" t="str">
        <f t="shared" si="48"/>
        <v/>
      </c>
      <c r="K159" s="63"/>
    </row>
    <row r="160" spans="1:18" x14ac:dyDescent="0.25">
      <c r="A160" s="2" t="s">
        <v>1224</v>
      </c>
      <c r="B160" s="44" t="s">
        <v>1243</v>
      </c>
      <c r="C160" s="44"/>
      <c r="D160" s="71">
        <v>1</v>
      </c>
      <c r="E160" s="71">
        <v>0</v>
      </c>
      <c r="F160" s="71">
        <v>1</v>
      </c>
      <c r="G160" s="68">
        <f t="shared" si="70"/>
        <v>0</v>
      </c>
      <c r="H160" s="68">
        <f t="shared" si="71"/>
        <v>1</v>
      </c>
      <c r="I160" s="68">
        <f t="shared" si="72"/>
        <v>0</v>
      </c>
      <c r="J160" s="74">
        <f t="shared" ref="J160:J162" si="79">IF(B160="","",SUM(D160:F160))</f>
        <v>2</v>
      </c>
      <c r="K160" s="62"/>
    </row>
    <row r="161" spans="1:18" x14ac:dyDescent="0.25">
      <c r="A161" s="2"/>
      <c r="B161" s="37" t="s">
        <v>1242</v>
      </c>
      <c r="C161" s="37"/>
      <c r="D161" s="71">
        <v>1</v>
      </c>
      <c r="E161" s="71">
        <v>1</v>
      </c>
      <c r="F161" s="71">
        <v>0</v>
      </c>
      <c r="G161" s="68">
        <f t="shared" si="70"/>
        <v>1</v>
      </c>
      <c r="H161" s="68">
        <f t="shared" si="71"/>
        <v>0</v>
      </c>
      <c r="I161" s="68">
        <f t="shared" si="72"/>
        <v>0</v>
      </c>
      <c r="J161" s="74">
        <f t="shared" si="79"/>
        <v>2</v>
      </c>
      <c r="K161" s="62"/>
    </row>
    <row r="162" spans="1:18" x14ac:dyDescent="0.25">
      <c r="A162" s="3"/>
      <c r="B162" s="40"/>
      <c r="C162" s="40"/>
      <c r="D162" s="72"/>
      <c r="E162" s="72"/>
      <c r="F162" s="72"/>
      <c r="G162" s="69" t="str">
        <f t="shared" si="70"/>
        <v/>
      </c>
      <c r="H162" s="69" t="str">
        <f t="shared" si="71"/>
        <v/>
      </c>
      <c r="I162" s="69" t="str">
        <f t="shared" si="72"/>
        <v/>
      </c>
      <c r="J162" s="75" t="str">
        <f t="shared" si="79"/>
        <v/>
      </c>
      <c r="K162" s="63"/>
    </row>
    <row r="164" spans="1:18" x14ac:dyDescent="0.25">
      <c r="A164" s="81">
        <v>9</v>
      </c>
      <c r="B164" s="49" t="s">
        <v>1126</v>
      </c>
      <c r="C164" s="31" t="s">
        <v>1406</v>
      </c>
      <c r="D164" s="76"/>
      <c r="E164" s="66"/>
      <c r="F164" s="66"/>
      <c r="G164" s="66"/>
      <c r="H164" s="66"/>
      <c r="I164" s="66"/>
      <c r="J164" s="60"/>
      <c r="K164" s="60"/>
    </row>
    <row r="165" spans="1:18" x14ac:dyDescent="0.25">
      <c r="A165" s="4" t="s">
        <v>6</v>
      </c>
      <c r="B165" s="37" t="s">
        <v>55</v>
      </c>
      <c r="C165" s="37"/>
      <c r="D165" s="70">
        <v>1</v>
      </c>
      <c r="E165" s="70">
        <v>1</v>
      </c>
      <c r="F165" s="70">
        <v>0</v>
      </c>
      <c r="G165" s="67">
        <f t="shared" ref="G165:G182" si="80">IF(B165="","",IF( AND(D165=1, E165=1),1,0))</f>
        <v>1</v>
      </c>
      <c r="H165" s="67">
        <f t="shared" ref="H165:H182" si="81">IF(B165="","",IF(AND(D165=1,F165=1),1,0))</f>
        <v>0</v>
      </c>
      <c r="I165" s="67">
        <f t="shared" ref="I165:I182" si="82">IF(B165="","",IF(AND(E165=1,F165=1),1,0))</f>
        <v>0</v>
      </c>
      <c r="J165" s="73">
        <f t="shared" ref="J165" si="83">IF(B165="","",SUM(D165:F165))</f>
        <v>2</v>
      </c>
      <c r="K165" s="61"/>
      <c r="M165" s="7">
        <f t="shared" ref="M165" si="84">SUM(G165:I165)/3</f>
        <v>0.33333333333333331</v>
      </c>
      <c r="N165" s="6">
        <f t="shared" ref="N165" si="85">SUM(G168:I168)/3</f>
        <v>1</v>
      </c>
      <c r="O165" s="7">
        <f t="shared" ref="O165" si="86">SUM(G171:I171)/3</f>
        <v>0.33333333333333331</v>
      </c>
      <c r="P165" s="6">
        <f t="shared" ref="P165" si="87">SUM(G174:I174)/3</f>
        <v>1</v>
      </c>
      <c r="Q165" s="7">
        <f t="shared" ref="Q165" si="88">SUM(G177:I177)/3</f>
        <v>0.33333333333333331</v>
      </c>
      <c r="R165" s="7">
        <f>SUM(G180:I180)/3</f>
        <v>1</v>
      </c>
    </row>
    <row r="166" spans="1:18" x14ac:dyDescent="0.25">
      <c r="A166" s="2"/>
      <c r="B166" s="37" t="s">
        <v>103</v>
      </c>
      <c r="C166" s="37"/>
      <c r="D166" s="71">
        <v>0</v>
      </c>
      <c r="E166" s="71">
        <v>1</v>
      </c>
      <c r="F166" s="71">
        <v>1</v>
      </c>
      <c r="G166" s="68">
        <f t="shared" si="80"/>
        <v>0</v>
      </c>
      <c r="H166" s="68">
        <f t="shared" si="81"/>
        <v>0</v>
      </c>
      <c r="I166" s="68">
        <f t="shared" si="82"/>
        <v>1</v>
      </c>
      <c r="J166" s="74">
        <f t="shared" si="48"/>
        <v>2</v>
      </c>
      <c r="K166" s="62"/>
    </row>
    <row r="167" spans="1:18" x14ac:dyDescent="0.25">
      <c r="A167" s="3"/>
      <c r="B167" s="42"/>
      <c r="C167" s="42"/>
      <c r="D167" s="72"/>
      <c r="E167" s="72"/>
      <c r="F167" s="72"/>
      <c r="G167" s="69" t="str">
        <f t="shared" si="80"/>
        <v/>
      </c>
      <c r="H167" s="69" t="str">
        <f t="shared" si="81"/>
        <v/>
      </c>
      <c r="I167" s="69" t="str">
        <f t="shared" si="82"/>
        <v/>
      </c>
      <c r="J167" s="75" t="str">
        <f t="shared" si="48"/>
        <v/>
      </c>
      <c r="K167" s="63"/>
    </row>
    <row r="168" spans="1:18" x14ac:dyDescent="0.25">
      <c r="A168" s="4" t="s">
        <v>5</v>
      </c>
      <c r="B168" s="33" t="s">
        <v>105</v>
      </c>
      <c r="C168" s="33"/>
      <c r="D168" s="70">
        <v>1</v>
      </c>
      <c r="E168" s="70">
        <v>1</v>
      </c>
      <c r="F168" s="70">
        <v>1</v>
      </c>
      <c r="G168" s="67">
        <f t="shared" si="80"/>
        <v>1</v>
      </c>
      <c r="H168" s="67">
        <f t="shared" si="81"/>
        <v>1</v>
      </c>
      <c r="I168" s="67">
        <f t="shared" si="82"/>
        <v>1</v>
      </c>
      <c r="J168" s="73">
        <f t="shared" si="48"/>
        <v>3</v>
      </c>
      <c r="K168" s="61"/>
    </row>
    <row r="169" spans="1:18" x14ac:dyDescent="0.25">
      <c r="A169" s="2"/>
      <c r="B169" s="37"/>
      <c r="C169" s="37"/>
      <c r="D169" s="71"/>
      <c r="E169" s="71"/>
      <c r="F169" s="71"/>
      <c r="G169" s="68" t="str">
        <f t="shared" si="80"/>
        <v/>
      </c>
      <c r="H169" s="68" t="str">
        <f t="shared" si="81"/>
        <v/>
      </c>
      <c r="I169" s="68" t="str">
        <f t="shared" si="82"/>
        <v/>
      </c>
      <c r="J169" s="74" t="str">
        <f t="shared" si="48"/>
        <v/>
      </c>
      <c r="K169" s="62"/>
    </row>
    <row r="170" spans="1:18" x14ac:dyDescent="0.25">
      <c r="A170" s="3"/>
      <c r="B170" s="40"/>
      <c r="C170" s="37"/>
      <c r="D170" s="71"/>
      <c r="E170" s="71"/>
      <c r="F170" s="71"/>
      <c r="G170" s="69" t="str">
        <f t="shared" si="80"/>
        <v/>
      </c>
      <c r="H170" s="69" t="str">
        <f t="shared" si="81"/>
        <v/>
      </c>
      <c r="I170" s="69" t="str">
        <f t="shared" si="82"/>
        <v/>
      </c>
      <c r="J170" s="75" t="str">
        <f t="shared" si="48"/>
        <v/>
      </c>
      <c r="K170" s="63"/>
    </row>
    <row r="171" spans="1:18" x14ac:dyDescent="0.25">
      <c r="A171" s="4" t="s">
        <v>7</v>
      </c>
      <c r="B171" s="33" t="s">
        <v>107</v>
      </c>
      <c r="C171" s="33"/>
      <c r="D171" s="70">
        <v>1</v>
      </c>
      <c r="E171" s="70">
        <v>1</v>
      </c>
      <c r="F171" s="70">
        <v>0</v>
      </c>
      <c r="G171" s="67">
        <f t="shared" si="80"/>
        <v>1</v>
      </c>
      <c r="H171" s="67">
        <f t="shared" si="81"/>
        <v>0</v>
      </c>
      <c r="I171" s="67">
        <f t="shared" si="82"/>
        <v>0</v>
      </c>
      <c r="J171" s="73">
        <f t="shared" si="48"/>
        <v>2</v>
      </c>
      <c r="K171" s="61"/>
    </row>
    <row r="172" spans="1:18" x14ac:dyDescent="0.25">
      <c r="A172" s="2"/>
      <c r="B172" s="37"/>
      <c r="C172" s="37"/>
      <c r="D172" s="71"/>
      <c r="E172" s="71"/>
      <c r="F172" s="71"/>
      <c r="G172" s="68" t="str">
        <f t="shared" si="80"/>
        <v/>
      </c>
      <c r="H172" s="68" t="str">
        <f t="shared" si="81"/>
        <v/>
      </c>
      <c r="I172" s="68" t="str">
        <f t="shared" si="82"/>
        <v/>
      </c>
      <c r="J172" s="74" t="str">
        <f t="shared" si="48"/>
        <v/>
      </c>
      <c r="K172" s="62"/>
    </row>
    <row r="173" spans="1:18" x14ac:dyDescent="0.25">
      <c r="A173" s="3"/>
      <c r="B173" s="40"/>
      <c r="C173" s="40"/>
      <c r="D173" s="72"/>
      <c r="E173" s="72"/>
      <c r="F173" s="72"/>
      <c r="G173" s="69" t="str">
        <f t="shared" si="80"/>
        <v/>
      </c>
      <c r="H173" s="69" t="str">
        <f t="shared" si="81"/>
        <v/>
      </c>
      <c r="I173" s="69" t="str">
        <f t="shared" si="82"/>
        <v/>
      </c>
      <c r="J173" s="75" t="str">
        <f t="shared" si="48"/>
        <v/>
      </c>
      <c r="K173" s="63"/>
    </row>
    <row r="174" spans="1:18" x14ac:dyDescent="0.25">
      <c r="A174" s="4" t="s">
        <v>8</v>
      </c>
      <c r="B174" s="37" t="s">
        <v>53</v>
      </c>
      <c r="C174" s="37"/>
      <c r="D174" s="70">
        <v>1</v>
      </c>
      <c r="E174" s="70">
        <v>1</v>
      </c>
      <c r="F174" s="70">
        <v>1</v>
      </c>
      <c r="G174" s="67">
        <f t="shared" si="80"/>
        <v>1</v>
      </c>
      <c r="H174" s="67">
        <f t="shared" si="81"/>
        <v>1</v>
      </c>
      <c r="I174" s="67">
        <f t="shared" si="82"/>
        <v>1</v>
      </c>
      <c r="J174" s="73">
        <f t="shared" ref="J174:J249" si="89">IF(B174="","",SUM(D174:F174))</f>
        <v>3</v>
      </c>
      <c r="K174" s="61"/>
    </row>
    <row r="175" spans="1:18" x14ac:dyDescent="0.25">
      <c r="A175" s="2"/>
      <c r="B175" s="37"/>
      <c r="C175" s="37"/>
      <c r="D175" s="71"/>
      <c r="E175" s="71"/>
      <c r="F175" s="71"/>
      <c r="G175" s="68" t="str">
        <f t="shared" si="80"/>
        <v/>
      </c>
      <c r="H175" s="68" t="str">
        <f t="shared" si="81"/>
        <v/>
      </c>
      <c r="I175" s="68" t="str">
        <f t="shared" si="82"/>
        <v/>
      </c>
      <c r="J175" s="74" t="str">
        <f t="shared" si="89"/>
        <v/>
      </c>
      <c r="K175" s="62"/>
    </row>
    <row r="176" spans="1:18" x14ac:dyDescent="0.25">
      <c r="A176" s="3"/>
      <c r="B176" s="40"/>
      <c r="C176" s="40"/>
      <c r="D176" s="72"/>
      <c r="E176" s="72"/>
      <c r="F176" s="72"/>
      <c r="G176" s="69" t="str">
        <f t="shared" si="80"/>
        <v/>
      </c>
      <c r="H176" s="69" t="str">
        <f t="shared" si="81"/>
        <v/>
      </c>
      <c r="I176" s="69" t="str">
        <f t="shared" si="82"/>
        <v/>
      </c>
      <c r="J176" s="75" t="str">
        <f t="shared" si="89"/>
        <v/>
      </c>
      <c r="K176" s="63"/>
    </row>
    <row r="177" spans="1:18" x14ac:dyDescent="0.25">
      <c r="A177" s="2" t="s">
        <v>9</v>
      </c>
      <c r="B177" s="37" t="s">
        <v>109</v>
      </c>
      <c r="C177" s="37"/>
      <c r="D177" s="71">
        <v>0</v>
      </c>
      <c r="E177" s="71">
        <v>1</v>
      </c>
      <c r="F177" s="71">
        <v>1</v>
      </c>
      <c r="G177" s="68">
        <f t="shared" si="80"/>
        <v>0</v>
      </c>
      <c r="H177" s="68">
        <f t="shared" si="81"/>
        <v>0</v>
      </c>
      <c r="I177" s="68">
        <f t="shared" si="82"/>
        <v>1</v>
      </c>
      <c r="J177" s="74">
        <f t="shared" si="89"/>
        <v>2</v>
      </c>
      <c r="K177" s="62"/>
    </row>
    <row r="178" spans="1:18" x14ac:dyDescent="0.25">
      <c r="A178" s="2"/>
      <c r="B178" s="37" t="s">
        <v>58</v>
      </c>
      <c r="C178" s="37"/>
      <c r="D178" s="71">
        <v>1</v>
      </c>
      <c r="E178" s="71">
        <v>0</v>
      </c>
      <c r="F178" s="71">
        <v>1</v>
      </c>
      <c r="G178" s="68">
        <f t="shared" si="80"/>
        <v>0</v>
      </c>
      <c r="H178" s="68">
        <f t="shared" si="81"/>
        <v>1</v>
      </c>
      <c r="I178" s="68">
        <f t="shared" si="82"/>
        <v>0</v>
      </c>
      <c r="J178" s="74">
        <f t="shared" si="89"/>
        <v>2</v>
      </c>
      <c r="K178" s="62"/>
    </row>
    <row r="179" spans="1:18" x14ac:dyDescent="0.25">
      <c r="A179" s="3"/>
      <c r="B179" s="40"/>
      <c r="C179" s="40"/>
      <c r="D179" s="72"/>
      <c r="E179" s="72"/>
      <c r="F179" s="72"/>
      <c r="G179" s="69" t="str">
        <f t="shared" si="80"/>
        <v/>
      </c>
      <c r="H179" s="69" t="str">
        <f t="shared" si="81"/>
        <v/>
      </c>
      <c r="I179" s="69" t="str">
        <f t="shared" si="82"/>
        <v/>
      </c>
      <c r="J179" s="75" t="str">
        <f t="shared" si="89"/>
        <v/>
      </c>
      <c r="K179" s="63"/>
    </row>
    <row r="180" spans="1:18" x14ac:dyDescent="0.25">
      <c r="A180" s="2" t="s">
        <v>1224</v>
      </c>
      <c r="B180" s="37" t="s">
        <v>1243</v>
      </c>
      <c r="C180" s="37"/>
      <c r="D180" s="71">
        <v>1</v>
      </c>
      <c r="E180" s="71">
        <v>1</v>
      </c>
      <c r="F180" s="71">
        <v>1</v>
      </c>
      <c r="G180" s="68">
        <f t="shared" si="80"/>
        <v>1</v>
      </c>
      <c r="H180" s="68">
        <f t="shared" si="81"/>
        <v>1</v>
      </c>
      <c r="I180" s="68">
        <f t="shared" si="82"/>
        <v>1</v>
      </c>
      <c r="J180" s="74">
        <f t="shared" ref="J180:J182" si="90">IF(B180="","",SUM(D180:F180))</f>
        <v>3</v>
      </c>
      <c r="K180" s="62"/>
    </row>
    <row r="181" spans="1:18" x14ac:dyDescent="0.25">
      <c r="A181" s="2"/>
      <c r="B181" s="37"/>
      <c r="C181" s="37"/>
      <c r="D181" s="71"/>
      <c r="E181" s="71"/>
      <c r="F181" s="71"/>
      <c r="G181" s="68" t="str">
        <f t="shared" si="80"/>
        <v/>
      </c>
      <c r="H181" s="68" t="str">
        <f t="shared" si="81"/>
        <v/>
      </c>
      <c r="I181" s="68" t="str">
        <f t="shared" si="82"/>
        <v/>
      </c>
      <c r="J181" s="74" t="str">
        <f t="shared" si="90"/>
        <v/>
      </c>
      <c r="K181" s="62"/>
    </row>
    <row r="182" spans="1:18" x14ac:dyDescent="0.25">
      <c r="A182" s="3"/>
      <c r="B182" s="40"/>
      <c r="C182" s="40"/>
      <c r="D182" s="72"/>
      <c r="E182" s="72"/>
      <c r="F182" s="72"/>
      <c r="G182" s="69" t="str">
        <f t="shared" si="80"/>
        <v/>
      </c>
      <c r="H182" s="69" t="str">
        <f t="shared" si="81"/>
        <v/>
      </c>
      <c r="I182" s="69" t="str">
        <f t="shared" si="82"/>
        <v/>
      </c>
      <c r="J182" s="75" t="str">
        <f t="shared" si="90"/>
        <v/>
      </c>
      <c r="K182" s="63"/>
    </row>
    <row r="184" spans="1:18" x14ac:dyDescent="0.25">
      <c r="A184" s="81">
        <v>10</v>
      </c>
      <c r="B184" s="49" t="s">
        <v>1127</v>
      </c>
      <c r="C184" s="31" t="s">
        <v>1407</v>
      </c>
      <c r="D184" s="76"/>
      <c r="E184" s="66"/>
      <c r="F184" s="66"/>
      <c r="G184" s="66"/>
      <c r="H184" s="66"/>
      <c r="I184" s="66"/>
      <c r="J184" s="60"/>
      <c r="K184" s="60"/>
    </row>
    <row r="185" spans="1:18" x14ac:dyDescent="0.25">
      <c r="A185" s="4" t="s">
        <v>6</v>
      </c>
      <c r="B185" s="37" t="s">
        <v>110</v>
      </c>
      <c r="C185" s="37"/>
      <c r="D185" s="70">
        <v>1</v>
      </c>
      <c r="E185" s="70">
        <v>1</v>
      </c>
      <c r="F185" s="70">
        <v>1</v>
      </c>
      <c r="G185" s="67">
        <f t="shared" ref="G185:G202" si="91">IF(B185="","",IF( AND(D185=1, E185=1),1,0))</f>
        <v>1</v>
      </c>
      <c r="H185" s="67">
        <f t="shared" ref="H185:H202" si="92">IF(B185="","",IF(AND(D185=1,F185=1),1,0))</f>
        <v>1</v>
      </c>
      <c r="I185" s="67">
        <f t="shared" ref="I185:I202" si="93">IF(B185="","",IF(AND(E185=1,F185=1),1,0))</f>
        <v>1</v>
      </c>
      <c r="J185" s="73">
        <f t="shared" ref="J185" si="94">IF(B185="","",SUM(D185:F185))</f>
        <v>3</v>
      </c>
      <c r="K185" s="61"/>
      <c r="M185" s="7">
        <f t="shared" ref="M185" si="95">SUM(G185:I185)/3</f>
        <v>1</v>
      </c>
      <c r="N185" s="6">
        <f t="shared" ref="N185" si="96">SUM(G188:I188)/3</f>
        <v>0.33333333333333331</v>
      </c>
      <c r="O185" s="7">
        <f t="shared" ref="O185" si="97">SUM(G191:I191)/3</f>
        <v>1</v>
      </c>
      <c r="P185" s="6">
        <f t="shared" ref="P185" si="98">SUM(G194:I194)/3</f>
        <v>1</v>
      </c>
      <c r="Q185" s="7">
        <f t="shared" ref="Q185" si="99">SUM(G197:I197)/3</f>
        <v>1</v>
      </c>
      <c r="R185" s="7">
        <f>SUM(G200:I200)/3</f>
        <v>1</v>
      </c>
    </row>
    <row r="186" spans="1:18" x14ac:dyDescent="0.25">
      <c r="A186" s="2"/>
      <c r="B186" s="37"/>
      <c r="C186" s="37"/>
      <c r="D186" s="71"/>
      <c r="E186" s="71"/>
      <c r="F186" s="71"/>
      <c r="G186" s="68" t="str">
        <f t="shared" si="91"/>
        <v/>
      </c>
      <c r="H186" s="68" t="str">
        <f t="shared" si="92"/>
        <v/>
      </c>
      <c r="I186" s="68" t="str">
        <f t="shared" si="93"/>
        <v/>
      </c>
      <c r="J186" s="74" t="str">
        <f t="shared" si="89"/>
        <v/>
      </c>
      <c r="K186" s="62"/>
    </row>
    <row r="187" spans="1:18" x14ac:dyDescent="0.25">
      <c r="A187" s="3"/>
      <c r="B187" s="42"/>
      <c r="C187" s="42"/>
      <c r="D187" s="72"/>
      <c r="E187" s="72"/>
      <c r="F187" s="72"/>
      <c r="G187" s="69" t="str">
        <f t="shared" si="91"/>
        <v/>
      </c>
      <c r="H187" s="69" t="str">
        <f t="shared" si="92"/>
        <v/>
      </c>
      <c r="I187" s="69" t="str">
        <f t="shared" si="93"/>
        <v/>
      </c>
      <c r="J187" s="75" t="str">
        <f t="shared" si="89"/>
        <v/>
      </c>
      <c r="K187" s="63"/>
    </row>
    <row r="188" spans="1:18" x14ac:dyDescent="0.25">
      <c r="A188" s="4" t="s">
        <v>5</v>
      </c>
      <c r="B188" s="33" t="s">
        <v>143</v>
      </c>
      <c r="C188" s="33"/>
      <c r="D188" s="70">
        <v>1</v>
      </c>
      <c r="E188" s="70">
        <v>0</v>
      </c>
      <c r="F188" s="70">
        <v>1</v>
      </c>
      <c r="G188" s="67">
        <f t="shared" si="91"/>
        <v>0</v>
      </c>
      <c r="H188" s="67">
        <f t="shared" si="92"/>
        <v>1</v>
      </c>
      <c r="I188" s="67">
        <f t="shared" si="93"/>
        <v>0</v>
      </c>
      <c r="J188" s="73">
        <f t="shared" si="89"/>
        <v>2</v>
      </c>
      <c r="K188" s="61"/>
    </row>
    <row r="189" spans="1:18" x14ac:dyDescent="0.25">
      <c r="A189" s="2"/>
      <c r="B189" s="37"/>
      <c r="C189" s="37"/>
      <c r="D189" s="71"/>
      <c r="E189" s="71"/>
      <c r="F189" s="71"/>
      <c r="G189" s="68"/>
      <c r="H189" s="68"/>
      <c r="I189" s="68"/>
      <c r="J189" s="74"/>
      <c r="K189" s="62"/>
    </row>
    <row r="190" spans="1:18" x14ac:dyDescent="0.25">
      <c r="A190" s="3"/>
      <c r="B190" s="40"/>
      <c r="C190" s="37"/>
      <c r="D190" s="71"/>
      <c r="E190" s="71"/>
      <c r="F190" s="71"/>
      <c r="G190" s="69" t="str">
        <f t="shared" si="91"/>
        <v/>
      </c>
      <c r="H190" s="69" t="str">
        <f t="shared" si="92"/>
        <v/>
      </c>
      <c r="I190" s="69" t="str">
        <f t="shared" si="93"/>
        <v/>
      </c>
      <c r="J190" s="75" t="str">
        <f t="shared" si="89"/>
        <v/>
      </c>
      <c r="K190" s="63"/>
    </row>
    <row r="191" spans="1:18" x14ac:dyDescent="0.25">
      <c r="A191" s="4" t="s">
        <v>7</v>
      </c>
      <c r="B191" s="33" t="s">
        <v>61</v>
      </c>
      <c r="C191" s="33"/>
      <c r="D191" s="70">
        <v>1</v>
      </c>
      <c r="E191" s="70">
        <v>1</v>
      </c>
      <c r="F191" s="70">
        <v>1</v>
      </c>
      <c r="G191" s="67">
        <f t="shared" si="91"/>
        <v>1</v>
      </c>
      <c r="H191" s="67">
        <f t="shared" si="92"/>
        <v>1</v>
      </c>
      <c r="I191" s="67">
        <f t="shared" si="93"/>
        <v>1</v>
      </c>
      <c r="J191" s="73">
        <f t="shared" si="89"/>
        <v>3</v>
      </c>
      <c r="K191" s="61"/>
    </row>
    <row r="192" spans="1:18" x14ac:dyDescent="0.25">
      <c r="A192" s="2"/>
      <c r="B192" s="37" t="s">
        <v>101</v>
      </c>
      <c r="C192" s="37"/>
      <c r="D192" s="71">
        <v>0</v>
      </c>
      <c r="E192" s="71">
        <v>1</v>
      </c>
      <c r="F192" s="71">
        <v>1</v>
      </c>
      <c r="G192" s="68">
        <f t="shared" si="91"/>
        <v>0</v>
      </c>
      <c r="H192" s="68">
        <f t="shared" si="92"/>
        <v>0</v>
      </c>
      <c r="I192" s="68">
        <f t="shared" si="93"/>
        <v>1</v>
      </c>
      <c r="J192" s="74">
        <f t="shared" si="89"/>
        <v>2</v>
      </c>
      <c r="K192" s="62"/>
    </row>
    <row r="193" spans="1:18" x14ac:dyDescent="0.25">
      <c r="A193" s="3"/>
      <c r="B193" s="40"/>
      <c r="C193" s="40"/>
      <c r="D193" s="72"/>
      <c r="E193" s="72"/>
      <c r="F193" s="72"/>
      <c r="G193" s="69" t="str">
        <f t="shared" si="91"/>
        <v/>
      </c>
      <c r="H193" s="69" t="str">
        <f t="shared" si="92"/>
        <v/>
      </c>
      <c r="I193" s="69" t="str">
        <f t="shared" si="93"/>
        <v/>
      </c>
      <c r="J193" s="75" t="str">
        <f t="shared" si="89"/>
        <v/>
      </c>
      <c r="K193" s="63"/>
    </row>
    <row r="194" spans="1:18" x14ac:dyDescent="0.25">
      <c r="A194" s="4" t="s">
        <v>8</v>
      </c>
      <c r="B194" s="37" t="s">
        <v>62</v>
      </c>
      <c r="C194" s="37"/>
      <c r="D194" s="70">
        <v>1</v>
      </c>
      <c r="E194" s="70">
        <v>1</v>
      </c>
      <c r="F194" s="70">
        <v>1</v>
      </c>
      <c r="G194" s="67">
        <f t="shared" si="91"/>
        <v>1</v>
      </c>
      <c r="H194" s="67">
        <f t="shared" si="92"/>
        <v>1</v>
      </c>
      <c r="I194" s="67">
        <f t="shared" si="93"/>
        <v>1</v>
      </c>
      <c r="J194" s="73">
        <f t="shared" si="89"/>
        <v>3</v>
      </c>
      <c r="K194" s="61"/>
    </row>
    <row r="195" spans="1:18" x14ac:dyDescent="0.25">
      <c r="A195" s="2"/>
      <c r="B195" s="37" t="s">
        <v>51</v>
      </c>
      <c r="C195" s="37"/>
      <c r="D195" s="71">
        <v>1</v>
      </c>
      <c r="E195" s="71">
        <v>1</v>
      </c>
      <c r="F195" s="71">
        <v>0</v>
      </c>
      <c r="G195" s="68">
        <f t="shared" si="91"/>
        <v>1</v>
      </c>
      <c r="H195" s="68">
        <f t="shared" si="92"/>
        <v>0</v>
      </c>
      <c r="I195" s="68">
        <f t="shared" si="93"/>
        <v>0</v>
      </c>
      <c r="J195" s="74">
        <f t="shared" si="89"/>
        <v>2</v>
      </c>
      <c r="K195" s="62"/>
    </row>
    <row r="196" spans="1:18" x14ac:dyDescent="0.25">
      <c r="A196" s="3"/>
      <c r="B196" s="40"/>
      <c r="C196" s="40"/>
      <c r="D196" s="72"/>
      <c r="E196" s="72"/>
      <c r="F196" s="72"/>
      <c r="G196" s="69" t="str">
        <f t="shared" si="91"/>
        <v/>
      </c>
      <c r="H196" s="69" t="str">
        <f t="shared" si="92"/>
        <v/>
      </c>
      <c r="I196" s="69" t="str">
        <f t="shared" si="93"/>
        <v/>
      </c>
      <c r="J196" s="75" t="str">
        <f t="shared" si="89"/>
        <v/>
      </c>
      <c r="K196" s="63"/>
    </row>
    <row r="197" spans="1:18" x14ac:dyDescent="0.25">
      <c r="A197" s="2" t="s">
        <v>9</v>
      </c>
      <c r="B197" s="37" t="s">
        <v>54</v>
      </c>
      <c r="C197" s="37"/>
      <c r="D197" s="71">
        <v>1</v>
      </c>
      <c r="E197" s="71">
        <v>1</v>
      </c>
      <c r="F197" s="71">
        <v>1</v>
      </c>
      <c r="G197" s="68">
        <f t="shared" si="91"/>
        <v>1</v>
      </c>
      <c r="H197" s="68">
        <f t="shared" si="92"/>
        <v>1</v>
      </c>
      <c r="I197" s="68">
        <f t="shared" si="93"/>
        <v>1</v>
      </c>
      <c r="J197" s="74">
        <f t="shared" si="89"/>
        <v>3</v>
      </c>
      <c r="K197" s="62"/>
    </row>
    <row r="198" spans="1:18" x14ac:dyDescent="0.25">
      <c r="A198" s="2"/>
      <c r="B198" s="37"/>
      <c r="C198" s="37"/>
      <c r="D198" s="71"/>
      <c r="E198" s="71"/>
      <c r="F198" s="71"/>
      <c r="G198" s="68" t="str">
        <f t="shared" si="91"/>
        <v/>
      </c>
      <c r="H198" s="68" t="str">
        <f t="shared" si="92"/>
        <v/>
      </c>
      <c r="I198" s="68" t="str">
        <f t="shared" si="93"/>
        <v/>
      </c>
      <c r="J198" s="74" t="str">
        <f t="shared" si="89"/>
        <v/>
      </c>
      <c r="K198" s="62"/>
    </row>
    <row r="199" spans="1:18" x14ac:dyDescent="0.25">
      <c r="A199" s="3"/>
      <c r="B199" s="40"/>
      <c r="C199" s="40"/>
      <c r="D199" s="72"/>
      <c r="E199" s="72"/>
      <c r="F199" s="72"/>
      <c r="G199" s="69" t="str">
        <f t="shared" si="91"/>
        <v/>
      </c>
      <c r="H199" s="69" t="str">
        <f t="shared" si="92"/>
        <v/>
      </c>
      <c r="I199" s="69" t="str">
        <f t="shared" si="93"/>
        <v/>
      </c>
      <c r="J199" s="75" t="str">
        <f t="shared" si="89"/>
        <v/>
      </c>
      <c r="K199" s="63"/>
    </row>
    <row r="200" spans="1:18" x14ac:dyDescent="0.25">
      <c r="A200" s="2" t="s">
        <v>1224</v>
      </c>
      <c r="B200" s="37" t="s">
        <v>110</v>
      </c>
      <c r="C200" s="37"/>
      <c r="D200" s="71">
        <v>1</v>
      </c>
      <c r="E200" s="71">
        <v>1</v>
      </c>
      <c r="F200" s="71">
        <v>1</v>
      </c>
      <c r="G200" s="68">
        <f t="shared" si="91"/>
        <v>1</v>
      </c>
      <c r="H200" s="68">
        <f t="shared" si="92"/>
        <v>1</v>
      </c>
      <c r="I200" s="68">
        <f t="shared" si="93"/>
        <v>1</v>
      </c>
      <c r="J200" s="74">
        <f t="shared" ref="J200:J202" si="100">IF(B200="","",SUM(D200:F200))</f>
        <v>3</v>
      </c>
      <c r="K200" s="62"/>
    </row>
    <row r="201" spans="1:18" x14ac:dyDescent="0.25">
      <c r="A201" s="2"/>
      <c r="B201" s="37"/>
      <c r="C201" s="37"/>
      <c r="D201" s="71"/>
      <c r="E201" s="71"/>
      <c r="F201" s="71"/>
      <c r="G201" s="68" t="str">
        <f t="shared" si="91"/>
        <v/>
      </c>
      <c r="H201" s="68" t="str">
        <f t="shared" si="92"/>
        <v/>
      </c>
      <c r="I201" s="68" t="str">
        <f t="shared" si="93"/>
        <v/>
      </c>
      <c r="J201" s="74" t="str">
        <f t="shared" si="100"/>
        <v/>
      </c>
      <c r="K201" s="62"/>
    </row>
    <row r="202" spans="1:18" x14ac:dyDescent="0.25">
      <c r="A202" s="3"/>
      <c r="B202" s="40"/>
      <c r="C202" s="40"/>
      <c r="D202" s="72"/>
      <c r="E202" s="72"/>
      <c r="F202" s="72"/>
      <c r="G202" s="69" t="str">
        <f t="shared" si="91"/>
        <v/>
      </c>
      <c r="H202" s="69" t="str">
        <f t="shared" si="92"/>
        <v/>
      </c>
      <c r="I202" s="69" t="str">
        <f t="shared" si="93"/>
        <v/>
      </c>
      <c r="J202" s="75" t="str">
        <f t="shared" si="100"/>
        <v/>
      </c>
      <c r="K202" s="63"/>
    </row>
    <row r="204" spans="1:18" x14ac:dyDescent="0.25">
      <c r="A204" s="81">
        <v>11</v>
      </c>
      <c r="B204" s="49" t="s">
        <v>1128</v>
      </c>
      <c r="C204" s="31" t="s">
        <v>1408</v>
      </c>
      <c r="D204" s="76"/>
      <c r="E204" s="66"/>
      <c r="F204" s="66"/>
      <c r="G204" s="66"/>
      <c r="H204" s="66"/>
      <c r="I204" s="66"/>
      <c r="J204" s="60"/>
      <c r="K204" s="60"/>
    </row>
    <row r="205" spans="1:18" x14ac:dyDescent="0.25">
      <c r="A205" s="4" t="s">
        <v>6</v>
      </c>
      <c r="B205" s="37" t="s">
        <v>257</v>
      </c>
      <c r="C205" s="37"/>
      <c r="D205" s="70">
        <v>1</v>
      </c>
      <c r="E205" s="70">
        <v>1</v>
      </c>
      <c r="F205" s="70">
        <v>1</v>
      </c>
      <c r="G205" s="67">
        <f t="shared" ref="G205:G222" si="101">IF(B205="","",IF( AND(D205=1, E205=1),1,0))</f>
        <v>1</v>
      </c>
      <c r="H205" s="67">
        <f t="shared" ref="H205:H222" si="102">IF(B205="","",IF(AND(D205=1,F205=1),1,0))</f>
        <v>1</v>
      </c>
      <c r="I205" s="67">
        <f t="shared" ref="I205:I222" si="103">IF(B205="","",IF(AND(E205=1,F205=1),1,0))</f>
        <v>1</v>
      </c>
      <c r="J205" s="73">
        <f t="shared" ref="J205" si="104">IF(B205="","",SUM(D205:F205))</f>
        <v>3</v>
      </c>
      <c r="K205" s="61"/>
      <c r="M205" s="7">
        <f t="shared" ref="M205" si="105">SUM(G205:I205)/3</f>
        <v>1</v>
      </c>
      <c r="N205" s="6">
        <f t="shared" ref="N205" si="106">SUM(G208:I208)/3</f>
        <v>1</v>
      </c>
      <c r="O205" s="7">
        <f t="shared" ref="O205" si="107">SUM(G211:I211)/3</f>
        <v>1</v>
      </c>
      <c r="P205" s="6">
        <f t="shared" ref="P205" si="108">SUM(G214:I214)/3</f>
        <v>1</v>
      </c>
      <c r="Q205" s="7">
        <f t="shared" ref="Q205" si="109">SUM(G217:I217)/3</f>
        <v>1</v>
      </c>
      <c r="R205" s="7">
        <f>SUM(G220:I220)/3</f>
        <v>1</v>
      </c>
    </row>
    <row r="206" spans="1:18" x14ac:dyDescent="0.25">
      <c r="A206" s="2"/>
      <c r="B206" s="33" t="s">
        <v>256</v>
      </c>
      <c r="C206" s="37"/>
      <c r="D206" s="71">
        <v>0</v>
      </c>
      <c r="E206" s="71">
        <v>1</v>
      </c>
      <c r="F206" s="71">
        <v>1</v>
      </c>
      <c r="G206" s="68">
        <f t="shared" si="101"/>
        <v>0</v>
      </c>
      <c r="H206" s="68">
        <f t="shared" si="102"/>
        <v>0</v>
      </c>
      <c r="I206" s="68">
        <f t="shared" si="103"/>
        <v>1</v>
      </c>
      <c r="J206" s="74">
        <f t="shared" si="89"/>
        <v>2</v>
      </c>
      <c r="K206" s="62"/>
    </row>
    <row r="207" spans="1:18" x14ac:dyDescent="0.25">
      <c r="A207" s="3"/>
      <c r="B207" s="42"/>
      <c r="C207" s="42"/>
      <c r="D207" s="72"/>
      <c r="E207" s="72"/>
      <c r="F207" s="72"/>
      <c r="G207" s="69" t="str">
        <f t="shared" si="101"/>
        <v/>
      </c>
      <c r="H207" s="69" t="str">
        <f t="shared" si="102"/>
        <v/>
      </c>
      <c r="I207" s="69" t="str">
        <f t="shared" si="103"/>
        <v/>
      </c>
      <c r="J207" s="75" t="str">
        <f t="shared" si="89"/>
        <v/>
      </c>
      <c r="K207" s="63"/>
    </row>
    <row r="208" spans="1:18" x14ac:dyDescent="0.25">
      <c r="A208" s="4" t="s">
        <v>5</v>
      </c>
      <c r="B208" s="33">
        <v>2016</v>
      </c>
      <c r="C208" s="33"/>
      <c r="D208" s="70">
        <v>1</v>
      </c>
      <c r="E208" s="70">
        <v>1</v>
      </c>
      <c r="F208" s="70">
        <v>1</v>
      </c>
      <c r="G208" s="67">
        <f t="shared" si="101"/>
        <v>1</v>
      </c>
      <c r="H208" s="67">
        <f t="shared" si="102"/>
        <v>1</v>
      </c>
      <c r="I208" s="67">
        <f t="shared" si="103"/>
        <v>1</v>
      </c>
      <c r="J208" s="73">
        <f t="shared" si="89"/>
        <v>3</v>
      </c>
      <c r="K208" s="61"/>
    </row>
    <row r="209" spans="1:11" x14ac:dyDescent="0.25">
      <c r="A209" s="2"/>
      <c r="B209" s="37"/>
      <c r="C209" s="37"/>
      <c r="D209" s="71"/>
      <c r="E209" s="71"/>
      <c r="F209" s="71"/>
      <c r="G209" s="68" t="str">
        <f t="shared" si="101"/>
        <v/>
      </c>
      <c r="H209" s="68" t="str">
        <f t="shared" si="102"/>
        <v/>
      </c>
      <c r="I209" s="68" t="str">
        <f t="shared" si="103"/>
        <v/>
      </c>
      <c r="J209" s="74" t="str">
        <f t="shared" si="89"/>
        <v/>
      </c>
      <c r="K209" s="62"/>
    </row>
    <row r="210" spans="1:11" x14ac:dyDescent="0.25">
      <c r="A210" s="3"/>
      <c r="B210" s="40"/>
      <c r="C210" s="37"/>
      <c r="D210" s="71"/>
      <c r="E210" s="71"/>
      <c r="F210" s="71"/>
      <c r="G210" s="69" t="str">
        <f t="shared" si="101"/>
        <v/>
      </c>
      <c r="H210" s="69" t="str">
        <f t="shared" si="102"/>
        <v/>
      </c>
      <c r="I210" s="69" t="str">
        <f t="shared" si="103"/>
        <v/>
      </c>
      <c r="J210" s="75" t="str">
        <f t="shared" si="89"/>
        <v/>
      </c>
      <c r="K210" s="63"/>
    </row>
    <row r="211" spans="1:11" x14ac:dyDescent="0.25">
      <c r="A211" s="4" t="s">
        <v>7</v>
      </c>
      <c r="B211" s="33" t="s">
        <v>1105</v>
      </c>
      <c r="C211" s="33"/>
      <c r="D211" s="70">
        <v>1</v>
      </c>
      <c r="E211" s="70">
        <v>1</v>
      </c>
      <c r="F211" s="70">
        <v>1</v>
      </c>
      <c r="G211" s="67">
        <f t="shared" si="101"/>
        <v>1</v>
      </c>
      <c r="H211" s="67">
        <f t="shared" si="102"/>
        <v>1</v>
      </c>
      <c r="I211" s="67">
        <f t="shared" si="103"/>
        <v>1</v>
      </c>
      <c r="J211" s="73">
        <f t="shared" si="89"/>
        <v>3</v>
      </c>
      <c r="K211" s="61"/>
    </row>
    <row r="212" spans="1:11" x14ac:dyDescent="0.25">
      <c r="A212" s="2"/>
      <c r="B212" s="37"/>
      <c r="C212" s="37"/>
      <c r="D212" s="71"/>
      <c r="E212" s="71"/>
      <c r="F212" s="71"/>
      <c r="G212" s="68" t="str">
        <f t="shared" si="101"/>
        <v/>
      </c>
      <c r="H212" s="68" t="str">
        <f t="shared" si="102"/>
        <v/>
      </c>
      <c r="I212" s="68" t="str">
        <f t="shared" si="103"/>
        <v/>
      </c>
      <c r="J212" s="74" t="str">
        <f t="shared" si="89"/>
        <v/>
      </c>
      <c r="K212" s="62"/>
    </row>
    <row r="213" spans="1:11" x14ac:dyDescent="0.25">
      <c r="A213" s="3"/>
      <c r="B213" s="40"/>
      <c r="C213" s="40"/>
      <c r="D213" s="72"/>
      <c r="E213" s="72"/>
      <c r="F213" s="72"/>
      <c r="G213" s="69" t="str">
        <f t="shared" si="101"/>
        <v/>
      </c>
      <c r="H213" s="69" t="str">
        <f t="shared" si="102"/>
        <v/>
      </c>
      <c r="I213" s="69" t="str">
        <f t="shared" si="103"/>
        <v/>
      </c>
      <c r="J213" s="75" t="str">
        <f t="shared" si="89"/>
        <v/>
      </c>
      <c r="K213" s="63"/>
    </row>
    <row r="214" spans="1:11" x14ac:dyDescent="0.25">
      <c r="A214" s="4" t="s">
        <v>8</v>
      </c>
      <c r="B214" s="37" t="s">
        <v>152</v>
      </c>
      <c r="C214" s="37"/>
      <c r="D214" s="70">
        <v>1</v>
      </c>
      <c r="E214" s="70">
        <v>1</v>
      </c>
      <c r="F214" s="70">
        <v>1</v>
      </c>
      <c r="G214" s="67">
        <f t="shared" si="101"/>
        <v>1</v>
      </c>
      <c r="H214" s="67">
        <f t="shared" si="102"/>
        <v>1</v>
      </c>
      <c r="I214" s="67">
        <f t="shared" si="103"/>
        <v>1</v>
      </c>
      <c r="J214" s="73">
        <f t="shared" si="89"/>
        <v>3</v>
      </c>
      <c r="K214" s="61"/>
    </row>
    <row r="215" spans="1:11" x14ac:dyDescent="0.25">
      <c r="A215" s="2"/>
      <c r="B215" s="37"/>
      <c r="C215" s="37"/>
      <c r="D215" s="71"/>
      <c r="E215" s="71"/>
      <c r="F215" s="71"/>
      <c r="G215" s="68" t="str">
        <f t="shared" si="101"/>
        <v/>
      </c>
      <c r="H215" s="68" t="str">
        <f t="shared" si="102"/>
        <v/>
      </c>
      <c r="I215" s="68" t="str">
        <f t="shared" si="103"/>
        <v/>
      </c>
      <c r="J215" s="74" t="str">
        <f t="shared" si="89"/>
        <v/>
      </c>
      <c r="K215" s="62"/>
    </row>
    <row r="216" spans="1:11" x14ac:dyDescent="0.25">
      <c r="A216" s="3"/>
      <c r="B216" s="40"/>
      <c r="C216" s="40"/>
      <c r="D216" s="72"/>
      <c r="E216" s="72"/>
      <c r="F216" s="72"/>
      <c r="G216" s="69" t="str">
        <f t="shared" si="101"/>
        <v/>
      </c>
      <c r="H216" s="69" t="str">
        <f t="shared" si="102"/>
        <v/>
      </c>
      <c r="I216" s="69" t="str">
        <f t="shared" si="103"/>
        <v/>
      </c>
      <c r="J216" s="75" t="str">
        <f t="shared" si="89"/>
        <v/>
      </c>
      <c r="K216" s="63"/>
    </row>
    <row r="217" spans="1:11" x14ac:dyDescent="0.25">
      <c r="A217" s="2" t="s">
        <v>9</v>
      </c>
      <c r="B217" s="37" t="s">
        <v>1105</v>
      </c>
      <c r="C217" s="37"/>
      <c r="D217" s="71">
        <v>1</v>
      </c>
      <c r="E217" s="71">
        <v>1</v>
      </c>
      <c r="F217" s="71">
        <v>1</v>
      </c>
      <c r="G217" s="68">
        <f t="shared" si="101"/>
        <v>1</v>
      </c>
      <c r="H217" s="68">
        <f t="shared" si="102"/>
        <v>1</v>
      </c>
      <c r="I217" s="68">
        <f t="shared" si="103"/>
        <v>1</v>
      </c>
      <c r="J217" s="74">
        <f t="shared" si="89"/>
        <v>3</v>
      </c>
      <c r="K217" s="62"/>
    </row>
    <row r="218" spans="1:11" x14ac:dyDescent="0.25">
      <c r="A218" s="2"/>
      <c r="B218" s="37"/>
      <c r="C218" s="37"/>
      <c r="D218" s="71"/>
      <c r="E218" s="71"/>
      <c r="F218" s="71"/>
      <c r="G218" s="68" t="str">
        <f t="shared" si="101"/>
        <v/>
      </c>
      <c r="H218" s="68" t="str">
        <f t="shared" si="102"/>
        <v/>
      </c>
      <c r="I218" s="68" t="str">
        <f t="shared" si="103"/>
        <v/>
      </c>
      <c r="J218" s="74" t="str">
        <f t="shared" si="89"/>
        <v/>
      </c>
      <c r="K218" s="62"/>
    </row>
    <row r="219" spans="1:11" x14ac:dyDescent="0.25">
      <c r="A219" s="3"/>
      <c r="B219" s="40"/>
      <c r="C219" s="40"/>
      <c r="D219" s="72"/>
      <c r="E219" s="72"/>
      <c r="F219" s="72"/>
      <c r="G219" s="69" t="str">
        <f t="shared" si="101"/>
        <v/>
      </c>
      <c r="H219" s="69" t="str">
        <f t="shared" si="102"/>
        <v/>
      </c>
      <c r="I219" s="69" t="str">
        <f t="shared" si="103"/>
        <v/>
      </c>
      <c r="J219" s="75" t="str">
        <f t="shared" si="89"/>
        <v/>
      </c>
      <c r="K219" s="63"/>
    </row>
    <row r="220" spans="1:11" x14ac:dyDescent="0.25">
      <c r="A220" s="2" t="s">
        <v>1224</v>
      </c>
      <c r="B220" s="37" t="s">
        <v>1245</v>
      </c>
      <c r="C220" s="37"/>
      <c r="D220" s="71">
        <v>1</v>
      </c>
      <c r="E220" s="71">
        <v>1</v>
      </c>
      <c r="F220" s="71">
        <v>1</v>
      </c>
      <c r="G220" s="68">
        <f t="shared" si="101"/>
        <v>1</v>
      </c>
      <c r="H220" s="68">
        <f t="shared" si="102"/>
        <v>1</v>
      </c>
      <c r="I220" s="68">
        <f t="shared" si="103"/>
        <v>1</v>
      </c>
      <c r="J220" s="74">
        <f t="shared" ref="J220:J222" si="110">IF(B220="","",SUM(D220:F220))</f>
        <v>3</v>
      </c>
      <c r="K220" s="62"/>
    </row>
    <row r="221" spans="1:11" x14ac:dyDescent="0.25">
      <c r="A221" s="2"/>
      <c r="B221" s="37"/>
      <c r="C221" s="37"/>
      <c r="D221" s="71"/>
      <c r="E221" s="71"/>
      <c r="F221" s="71"/>
      <c r="G221" s="68" t="str">
        <f t="shared" si="101"/>
        <v/>
      </c>
      <c r="H221" s="68" t="str">
        <f t="shared" si="102"/>
        <v/>
      </c>
      <c r="I221" s="68" t="str">
        <f t="shared" si="103"/>
        <v/>
      </c>
      <c r="J221" s="74" t="str">
        <f t="shared" si="110"/>
        <v/>
      </c>
      <c r="K221" s="62"/>
    </row>
    <row r="222" spans="1:11" x14ac:dyDescent="0.25">
      <c r="A222" s="3"/>
      <c r="B222" s="40"/>
      <c r="C222" s="40"/>
      <c r="D222" s="72"/>
      <c r="E222" s="72"/>
      <c r="F222" s="72"/>
      <c r="G222" s="69" t="str">
        <f t="shared" si="101"/>
        <v/>
      </c>
      <c r="H222" s="69" t="str">
        <f t="shared" si="102"/>
        <v/>
      </c>
      <c r="I222" s="69" t="str">
        <f t="shared" si="103"/>
        <v/>
      </c>
      <c r="J222" s="75" t="str">
        <f t="shared" si="110"/>
        <v/>
      </c>
      <c r="K222" s="63"/>
    </row>
    <row r="224" spans="1:11" x14ac:dyDescent="0.25">
      <c r="A224" s="81">
        <v>12</v>
      </c>
      <c r="B224" s="49" t="s">
        <v>1129</v>
      </c>
      <c r="C224" s="31" t="s">
        <v>1409</v>
      </c>
      <c r="D224" s="76"/>
      <c r="E224" s="66"/>
      <c r="F224" s="66"/>
      <c r="G224" s="66"/>
      <c r="H224" s="66"/>
      <c r="I224" s="66"/>
      <c r="J224" s="60"/>
      <c r="K224" s="60"/>
    </row>
    <row r="225" spans="1:18" x14ac:dyDescent="0.25">
      <c r="A225" s="4" t="s">
        <v>6</v>
      </c>
      <c r="B225" s="37" t="s">
        <v>153</v>
      </c>
      <c r="C225" s="37"/>
      <c r="D225" s="70">
        <v>1</v>
      </c>
      <c r="E225" s="70">
        <v>0</v>
      </c>
      <c r="F225" s="70">
        <v>0</v>
      </c>
      <c r="G225" s="67">
        <f t="shared" ref="G225:G242" si="111">IF(B225="","",IF( AND(D225=1, E225=1),1,0))</f>
        <v>0</v>
      </c>
      <c r="H225" s="67">
        <f t="shared" ref="H225:H242" si="112">IF(B225="","",IF(AND(D225=1,F225=1),1,0))</f>
        <v>0</v>
      </c>
      <c r="I225" s="67">
        <f t="shared" ref="I225:I242" si="113">IF(B225="","",IF(AND(E225=1,F225=1),1,0))</f>
        <v>0</v>
      </c>
      <c r="J225" s="73">
        <f t="shared" ref="J225" si="114">IF(B225="","",SUM(D225:F225))</f>
        <v>1</v>
      </c>
      <c r="K225" s="61"/>
      <c r="M225" s="7">
        <f t="shared" ref="M225" si="115">SUM(G225:I225)/3</f>
        <v>0</v>
      </c>
      <c r="N225" s="6">
        <f t="shared" ref="N225" si="116">SUM(G228:I228)/3</f>
        <v>1</v>
      </c>
      <c r="O225" s="7">
        <f t="shared" ref="O225" si="117">SUM(G231:I231)/3</f>
        <v>0.33333333333333331</v>
      </c>
      <c r="P225" s="6">
        <f t="shared" ref="P225" si="118">SUM(G234:I234)/3</f>
        <v>0.33333333333333331</v>
      </c>
      <c r="Q225" s="7">
        <f t="shared" ref="Q225:R225" si="119">SUM(G237:I237)/3</f>
        <v>0.33333333333333331</v>
      </c>
      <c r="R225" s="7">
        <f t="shared" si="119"/>
        <v>1</v>
      </c>
    </row>
    <row r="226" spans="1:18" x14ac:dyDescent="0.25">
      <c r="A226" s="2"/>
      <c r="B226" s="37" t="s">
        <v>246</v>
      </c>
      <c r="C226" s="37"/>
      <c r="D226" s="71">
        <v>0</v>
      </c>
      <c r="E226" s="71">
        <v>1</v>
      </c>
      <c r="F226" s="71">
        <v>0</v>
      </c>
      <c r="G226" s="68">
        <f t="shared" si="111"/>
        <v>0</v>
      </c>
      <c r="H226" s="68">
        <f t="shared" si="112"/>
        <v>0</v>
      </c>
      <c r="I226" s="68">
        <f t="shared" si="113"/>
        <v>0</v>
      </c>
      <c r="J226" s="74">
        <f t="shared" si="89"/>
        <v>1</v>
      </c>
      <c r="K226" s="62"/>
    </row>
    <row r="227" spans="1:18" x14ac:dyDescent="0.25">
      <c r="A227" s="3"/>
      <c r="B227" s="42" t="s">
        <v>307</v>
      </c>
      <c r="C227" s="42"/>
      <c r="D227" s="72">
        <v>0</v>
      </c>
      <c r="E227" s="72">
        <v>0</v>
      </c>
      <c r="F227" s="72">
        <v>1</v>
      </c>
      <c r="G227" s="69">
        <f t="shared" si="111"/>
        <v>0</v>
      </c>
      <c r="H227" s="69">
        <f t="shared" si="112"/>
        <v>0</v>
      </c>
      <c r="I227" s="69">
        <f t="shared" si="113"/>
        <v>0</v>
      </c>
      <c r="J227" s="75">
        <f t="shared" si="89"/>
        <v>1</v>
      </c>
      <c r="K227" s="63"/>
    </row>
    <row r="228" spans="1:18" x14ac:dyDescent="0.25">
      <c r="A228" s="4" t="s">
        <v>5</v>
      </c>
      <c r="B228" s="33" t="s">
        <v>37</v>
      </c>
      <c r="C228" s="33"/>
      <c r="D228" s="70">
        <v>1</v>
      </c>
      <c r="E228" s="70">
        <v>1</v>
      </c>
      <c r="F228" s="70">
        <v>1</v>
      </c>
      <c r="G228" s="67">
        <f t="shared" si="111"/>
        <v>1</v>
      </c>
      <c r="H228" s="67">
        <f t="shared" si="112"/>
        <v>1</v>
      </c>
      <c r="I228" s="67">
        <f t="shared" si="113"/>
        <v>1</v>
      </c>
      <c r="J228" s="73">
        <f t="shared" si="89"/>
        <v>3</v>
      </c>
      <c r="K228" s="61"/>
    </row>
    <row r="229" spans="1:18" x14ac:dyDescent="0.25">
      <c r="A229" s="2"/>
      <c r="B229" s="37"/>
      <c r="C229" s="37"/>
      <c r="D229" s="71"/>
      <c r="E229" s="71"/>
      <c r="F229" s="71"/>
      <c r="G229" s="68" t="str">
        <f t="shared" si="111"/>
        <v/>
      </c>
      <c r="H229" s="68" t="str">
        <f t="shared" si="112"/>
        <v/>
      </c>
      <c r="I229" s="68" t="str">
        <f t="shared" si="113"/>
        <v/>
      </c>
      <c r="J229" s="74" t="str">
        <f t="shared" si="89"/>
        <v/>
      </c>
      <c r="K229" s="62"/>
    </row>
    <row r="230" spans="1:18" x14ac:dyDescent="0.25">
      <c r="A230" s="3"/>
      <c r="B230" s="40"/>
      <c r="C230" s="37"/>
      <c r="D230" s="71"/>
      <c r="E230" s="71"/>
      <c r="F230" s="71"/>
      <c r="G230" s="69" t="str">
        <f t="shared" si="111"/>
        <v/>
      </c>
      <c r="H230" s="69" t="str">
        <f t="shared" si="112"/>
        <v/>
      </c>
      <c r="I230" s="69" t="str">
        <f t="shared" si="113"/>
        <v/>
      </c>
      <c r="J230" s="75" t="str">
        <f t="shared" si="89"/>
        <v/>
      </c>
      <c r="K230" s="63"/>
    </row>
    <row r="231" spans="1:18" x14ac:dyDescent="0.25">
      <c r="A231" s="4" t="s">
        <v>7</v>
      </c>
      <c r="B231" s="33" t="s">
        <v>154</v>
      </c>
      <c r="C231" s="33"/>
      <c r="D231" s="70">
        <v>1</v>
      </c>
      <c r="E231" s="70">
        <v>0</v>
      </c>
      <c r="F231" s="70">
        <v>1</v>
      </c>
      <c r="G231" s="67">
        <f t="shared" si="111"/>
        <v>0</v>
      </c>
      <c r="H231" s="67">
        <f t="shared" si="112"/>
        <v>1</v>
      </c>
      <c r="I231" s="67">
        <f t="shared" si="113"/>
        <v>0</v>
      </c>
      <c r="J231" s="73">
        <f t="shared" si="89"/>
        <v>2</v>
      </c>
      <c r="K231" s="61"/>
    </row>
    <row r="232" spans="1:18" x14ac:dyDescent="0.25">
      <c r="A232" s="2"/>
      <c r="B232" s="37"/>
      <c r="C232" s="37"/>
      <c r="D232" s="71"/>
      <c r="E232" s="71"/>
      <c r="F232" s="71"/>
      <c r="G232" s="68"/>
      <c r="H232" s="68"/>
      <c r="I232" s="68"/>
      <c r="J232" s="74"/>
      <c r="K232" s="62"/>
    </row>
    <row r="233" spans="1:18" x14ac:dyDescent="0.25">
      <c r="A233" s="3"/>
      <c r="B233" s="40"/>
      <c r="C233" s="40"/>
      <c r="D233" s="72"/>
      <c r="E233" s="72"/>
      <c r="F233" s="72"/>
      <c r="G233" s="69" t="str">
        <f t="shared" si="111"/>
        <v/>
      </c>
      <c r="H233" s="69" t="str">
        <f t="shared" si="112"/>
        <v/>
      </c>
      <c r="I233" s="69" t="str">
        <f t="shared" si="113"/>
        <v/>
      </c>
      <c r="J233" s="75" t="str">
        <f t="shared" si="89"/>
        <v/>
      </c>
      <c r="K233" s="63"/>
    </row>
    <row r="234" spans="1:18" x14ac:dyDescent="0.25">
      <c r="A234" s="4" t="s">
        <v>8</v>
      </c>
      <c r="B234" s="37" t="s">
        <v>250</v>
      </c>
      <c r="C234" s="37"/>
      <c r="D234" s="70">
        <v>0</v>
      </c>
      <c r="E234" s="70">
        <v>1</v>
      </c>
      <c r="F234" s="70">
        <v>1</v>
      </c>
      <c r="G234" s="67">
        <f t="shared" si="111"/>
        <v>0</v>
      </c>
      <c r="H234" s="67">
        <f t="shared" si="112"/>
        <v>0</v>
      </c>
      <c r="I234" s="67">
        <f t="shared" si="113"/>
        <v>1</v>
      </c>
      <c r="J234" s="73">
        <f t="shared" si="89"/>
        <v>2</v>
      </c>
      <c r="K234" s="61"/>
    </row>
    <row r="235" spans="1:18" x14ac:dyDescent="0.25">
      <c r="A235" s="2"/>
      <c r="B235" s="37" t="s">
        <v>152</v>
      </c>
      <c r="C235" s="37"/>
      <c r="D235" s="71">
        <v>1</v>
      </c>
      <c r="E235" s="71">
        <v>1</v>
      </c>
      <c r="F235" s="71">
        <v>0</v>
      </c>
      <c r="G235" s="68">
        <f t="shared" si="111"/>
        <v>1</v>
      </c>
      <c r="H235" s="68">
        <f t="shared" si="112"/>
        <v>0</v>
      </c>
      <c r="I235" s="68">
        <f t="shared" si="113"/>
        <v>0</v>
      </c>
      <c r="J235" s="74">
        <f t="shared" si="89"/>
        <v>2</v>
      </c>
      <c r="K235" s="62"/>
    </row>
    <row r="236" spans="1:18" x14ac:dyDescent="0.25">
      <c r="A236" s="3"/>
      <c r="B236" s="40"/>
      <c r="C236" s="40"/>
      <c r="D236" s="72"/>
      <c r="E236" s="72"/>
      <c r="F236" s="72"/>
      <c r="G236" s="69" t="str">
        <f t="shared" si="111"/>
        <v/>
      </c>
      <c r="H236" s="69" t="str">
        <f t="shared" si="112"/>
        <v/>
      </c>
      <c r="I236" s="69" t="str">
        <f t="shared" si="113"/>
        <v/>
      </c>
      <c r="J236" s="75" t="str">
        <f t="shared" si="89"/>
        <v/>
      </c>
      <c r="K236" s="63"/>
    </row>
    <row r="237" spans="1:18" x14ac:dyDescent="0.25">
      <c r="A237" s="2" t="s">
        <v>9</v>
      </c>
      <c r="B237" s="37" t="s">
        <v>153</v>
      </c>
      <c r="C237" s="37"/>
      <c r="D237" s="71">
        <v>0</v>
      </c>
      <c r="E237" s="71">
        <v>1</v>
      </c>
      <c r="F237" s="71">
        <v>1</v>
      </c>
      <c r="G237" s="68">
        <f t="shared" si="111"/>
        <v>0</v>
      </c>
      <c r="H237" s="68">
        <f t="shared" si="112"/>
        <v>0</v>
      </c>
      <c r="I237" s="68">
        <f t="shared" si="113"/>
        <v>1</v>
      </c>
      <c r="J237" s="74">
        <f t="shared" si="89"/>
        <v>2</v>
      </c>
      <c r="K237" s="62"/>
    </row>
    <row r="238" spans="1:18" x14ac:dyDescent="0.25">
      <c r="A238" s="2"/>
      <c r="B238" s="37"/>
      <c r="C238" s="37"/>
      <c r="D238" s="71"/>
      <c r="E238" s="71"/>
      <c r="F238" s="71"/>
      <c r="G238" s="68" t="str">
        <f t="shared" si="111"/>
        <v/>
      </c>
      <c r="H238" s="68" t="str">
        <f t="shared" si="112"/>
        <v/>
      </c>
      <c r="I238" s="68" t="str">
        <f t="shared" si="113"/>
        <v/>
      </c>
      <c r="J238" s="74" t="str">
        <f t="shared" si="89"/>
        <v/>
      </c>
      <c r="K238" s="62"/>
    </row>
    <row r="239" spans="1:18" x14ac:dyDescent="0.25">
      <c r="A239" s="3"/>
      <c r="B239" s="40"/>
      <c r="C239" s="40"/>
      <c r="D239" s="72"/>
      <c r="E239" s="72"/>
      <c r="F239" s="72"/>
      <c r="G239" s="69" t="str">
        <f t="shared" si="111"/>
        <v/>
      </c>
      <c r="H239" s="69" t="str">
        <f t="shared" si="112"/>
        <v/>
      </c>
      <c r="I239" s="69" t="str">
        <f t="shared" si="113"/>
        <v/>
      </c>
      <c r="J239" s="75" t="str">
        <f t="shared" si="89"/>
        <v/>
      </c>
      <c r="K239" s="63"/>
    </row>
    <row r="240" spans="1:18" x14ac:dyDescent="0.25">
      <c r="A240" s="2" t="s">
        <v>1224</v>
      </c>
      <c r="B240" s="37" t="s">
        <v>1246</v>
      </c>
      <c r="C240" s="37"/>
      <c r="D240" s="71">
        <v>1</v>
      </c>
      <c r="E240" s="71">
        <v>1</v>
      </c>
      <c r="F240" s="71">
        <v>0</v>
      </c>
      <c r="G240" s="68">
        <f t="shared" si="111"/>
        <v>1</v>
      </c>
      <c r="H240" s="68">
        <f t="shared" si="112"/>
        <v>0</v>
      </c>
      <c r="I240" s="68">
        <f t="shared" si="113"/>
        <v>0</v>
      </c>
      <c r="J240" s="74">
        <f t="shared" ref="J240:J242" si="120">IF(B240="","",SUM(D240:F240))</f>
        <v>2</v>
      </c>
      <c r="K240" s="62"/>
    </row>
    <row r="241" spans="1:18" x14ac:dyDescent="0.25">
      <c r="A241" s="2"/>
      <c r="B241" s="37"/>
      <c r="C241" s="37"/>
      <c r="D241" s="71"/>
      <c r="E241" s="71"/>
      <c r="F241" s="71"/>
      <c r="G241" s="68" t="str">
        <f t="shared" si="111"/>
        <v/>
      </c>
      <c r="H241" s="68" t="str">
        <f t="shared" si="112"/>
        <v/>
      </c>
      <c r="I241" s="68" t="str">
        <f t="shared" si="113"/>
        <v/>
      </c>
      <c r="J241" s="74" t="str">
        <f t="shared" si="120"/>
        <v/>
      </c>
      <c r="K241" s="62"/>
    </row>
    <row r="242" spans="1:18" x14ac:dyDescent="0.25">
      <c r="A242" s="3"/>
      <c r="B242" s="40"/>
      <c r="C242" s="40"/>
      <c r="D242" s="72"/>
      <c r="E242" s="72"/>
      <c r="F242" s="72"/>
      <c r="G242" s="69" t="str">
        <f t="shared" si="111"/>
        <v/>
      </c>
      <c r="H242" s="69" t="str">
        <f t="shared" si="112"/>
        <v/>
      </c>
      <c r="I242" s="69" t="str">
        <f t="shared" si="113"/>
        <v/>
      </c>
      <c r="J242" s="75" t="str">
        <f t="shared" si="120"/>
        <v/>
      </c>
      <c r="K242" s="63"/>
    </row>
    <row r="244" spans="1:18" x14ac:dyDescent="0.25">
      <c r="A244" s="81">
        <v>13</v>
      </c>
      <c r="B244" s="49" t="s">
        <v>1130</v>
      </c>
      <c r="C244" s="31"/>
      <c r="D244" s="76"/>
      <c r="E244" s="66"/>
      <c r="F244" s="66"/>
      <c r="G244" s="66"/>
      <c r="H244" s="66"/>
      <c r="I244" s="66"/>
      <c r="J244" s="60"/>
      <c r="K244" s="60"/>
    </row>
    <row r="245" spans="1:18" x14ac:dyDescent="0.25">
      <c r="A245" s="4" t="s">
        <v>6</v>
      </c>
      <c r="B245" s="37" t="s">
        <v>155</v>
      </c>
      <c r="C245" s="37"/>
      <c r="D245" s="70">
        <v>1</v>
      </c>
      <c r="E245" s="70">
        <v>1</v>
      </c>
      <c r="F245" s="70">
        <v>0</v>
      </c>
      <c r="G245" s="67">
        <f t="shared" ref="G245:G262" si="121">IF(B245="","",IF( AND(D245=1, E245=1),1,0))</f>
        <v>1</v>
      </c>
      <c r="H245" s="67">
        <f t="shared" ref="H245:H262" si="122">IF(B245="","",IF(AND(D245=1,F245=1),1,0))</f>
        <v>0</v>
      </c>
      <c r="I245" s="67">
        <f t="shared" ref="I245:I262" si="123">IF(B245="","",IF(AND(E245=1,F245=1),1,0))</f>
        <v>0</v>
      </c>
      <c r="J245" s="73">
        <f t="shared" ref="J245" si="124">IF(B245="","",SUM(D245:F245))</f>
        <v>2</v>
      </c>
      <c r="K245" s="61"/>
      <c r="M245" s="7">
        <f t="shared" ref="M245" si="125">SUM(G245:I245)/3</f>
        <v>0.33333333333333331</v>
      </c>
      <c r="N245" s="6">
        <f t="shared" ref="N245" si="126">SUM(G248:I248)/3</f>
        <v>1</v>
      </c>
      <c r="O245" s="7">
        <f t="shared" ref="O245" si="127">SUM(G251:I251)/3</f>
        <v>1</v>
      </c>
      <c r="P245" s="6">
        <f t="shared" ref="P245" si="128">SUM(G254:I254)/3</f>
        <v>1</v>
      </c>
      <c r="Q245" s="7">
        <f t="shared" ref="Q245" si="129">SUM(G257:I257)/3</f>
        <v>0</v>
      </c>
      <c r="R245" s="7">
        <f>SUM(G260:I260)/3</f>
        <v>1</v>
      </c>
    </row>
    <row r="246" spans="1:18" x14ac:dyDescent="0.25">
      <c r="A246" s="2"/>
      <c r="B246" s="37"/>
      <c r="C246" s="37"/>
      <c r="D246" s="71"/>
      <c r="E246" s="71"/>
      <c r="F246" s="71"/>
      <c r="G246" s="68" t="str">
        <f t="shared" si="121"/>
        <v/>
      </c>
      <c r="H246" s="68" t="str">
        <f t="shared" si="122"/>
        <v/>
      </c>
      <c r="I246" s="68" t="str">
        <f t="shared" si="123"/>
        <v/>
      </c>
      <c r="J246" s="74" t="str">
        <f t="shared" si="89"/>
        <v/>
      </c>
      <c r="K246" s="62"/>
    </row>
    <row r="247" spans="1:18" x14ac:dyDescent="0.25">
      <c r="A247" s="3"/>
      <c r="B247" s="42"/>
      <c r="C247" s="42"/>
      <c r="D247" s="72"/>
      <c r="E247" s="72"/>
      <c r="F247" s="72"/>
      <c r="G247" s="69" t="str">
        <f t="shared" si="121"/>
        <v/>
      </c>
      <c r="H247" s="69" t="str">
        <f t="shared" si="122"/>
        <v/>
      </c>
      <c r="I247" s="69" t="str">
        <f t="shared" si="123"/>
        <v/>
      </c>
      <c r="J247" s="75" t="str">
        <f t="shared" si="89"/>
        <v/>
      </c>
      <c r="K247" s="63"/>
    </row>
    <row r="248" spans="1:18" x14ac:dyDescent="0.25">
      <c r="A248" s="4" t="s">
        <v>5</v>
      </c>
      <c r="B248" s="33" t="s">
        <v>255</v>
      </c>
      <c r="C248" s="33"/>
      <c r="D248" s="70">
        <v>1</v>
      </c>
      <c r="E248" s="70">
        <v>1</v>
      </c>
      <c r="F248" s="70">
        <v>1</v>
      </c>
      <c r="G248" s="67">
        <f t="shared" si="121"/>
        <v>1</v>
      </c>
      <c r="H248" s="67">
        <f t="shared" si="122"/>
        <v>1</v>
      </c>
      <c r="I248" s="67">
        <f t="shared" si="123"/>
        <v>1</v>
      </c>
      <c r="J248" s="73">
        <f t="shared" si="89"/>
        <v>3</v>
      </c>
      <c r="K248" s="61"/>
    </row>
    <row r="249" spans="1:18" x14ac:dyDescent="0.25">
      <c r="A249" s="2"/>
      <c r="B249" s="37" t="s">
        <v>1106</v>
      </c>
      <c r="C249" s="37"/>
      <c r="D249" s="71">
        <v>0</v>
      </c>
      <c r="E249" s="71">
        <v>1</v>
      </c>
      <c r="F249" s="71">
        <v>1</v>
      </c>
      <c r="G249" s="68">
        <f t="shared" si="121"/>
        <v>0</v>
      </c>
      <c r="H249" s="68">
        <f t="shared" si="122"/>
        <v>0</v>
      </c>
      <c r="I249" s="68">
        <f t="shared" si="123"/>
        <v>1</v>
      </c>
      <c r="J249" s="74">
        <f t="shared" si="89"/>
        <v>2</v>
      </c>
      <c r="K249" s="62"/>
    </row>
    <row r="250" spans="1:18" x14ac:dyDescent="0.25">
      <c r="A250" s="3"/>
      <c r="B250" s="40"/>
      <c r="C250" s="37"/>
      <c r="D250" s="71"/>
      <c r="E250" s="71"/>
      <c r="F250" s="71"/>
      <c r="G250" s="69" t="str">
        <f t="shared" si="121"/>
        <v/>
      </c>
      <c r="H250" s="69" t="str">
        <f t="shared" si="122"/>
        <v/>
      </c>
      <c r="I250" s="69" t="str">
        <f t="shared" si="123"/>
        <v/>
      </c>
      <c r="J250" s="75" t="str">
        <f t="shared" ref="J250:J319" si="130">IF(B250="","",SUM(D250:F250))</f>
        <v/>
      </c>
      <c r="K250" s="63"/>
    </row>
    <row r="251" spans="1:18" x14ac:dyDescent="0.25">
      <c r="A251" s="4" t="s">
        <v>7</v>
      </c>
      <c r="B251" s="33" t="s">
        <v>1105</v>
      </c>
      <c r="C251" s="33"/>
      <c r="D251" s="70">
        <v>1</v>
      </c>
      <c r="E251" s="70">
        <v>1</v>
      </c>
      <c r="F251" s="70">
        <v>1</v>
      </c>
      <c r="G251" s="67">
        <f t="shared" si="121"/>
        <v>1</v>
      </c>
      <c r="H251" s="67">
        <f t="shared" si="122"/>
        <v>1</v>
      </c>
      <c r="I251" s="67">
        <f t="shared" si="123"/>
        <v>1</v>
      </c>
      <c r="J251" s="73">
        <f t="shared" si="130"/>
        <v>3</v>
      </c>
      <c r="K251" s="61"/>
    </row>
    <row r="252" spans="1:18" x14ac:dyDescent="0.25">
      <c r="A252" s="2"/>
      <c r="B252" s="37"/>
      <c r="C252" s="37"/>
      <c r="D252" s="71"/>
      <c r="E252" s="71"/>
      <c r="F252" s="71"/>
      <c r="G252" s="68" t="str">
        <f t="shared" si="121"/>
        <v/>
      </c>
      <c r="H252" s="68" t="str">
        <f t="shared" si="122"/>
        <v/>
      </c>
      <c r="I252" s="68" t="str">
        <f t="shared" si="123"/>
        <v/>
      </c>
      <c r="J252" s="74" t="str">
        <f t="shared" si="130"/>
        <v/>
      </c>
      <c r="K252" s="62"/>
    </row>
    <row r="253" spans="1:18" x14ac:dyDescent="0.25">
      <c r="A253" s="3"/>
      <c r="B253" s="40"/>
      <c r="C253" s="40"/>
      <c r="D253" s="72"/>
      <c r="E253" s="72"/>
      <c r="F253" s="72"/>
      <c r="G253" s="69" t="str">
        <f t="shared" si="121"/>
        <v/>
      </c>
      <c r="H253" s="69" t="str">
        <f t="shared" si="122"/>
        <v/>
      </c>
      <c r="I253" s="69" t="str">
        <f t="shared" si="123"/>
        <v/>
      </c>
      <c r="J253" s="75" t="str">
        <f t="shared" si="130"/>
        <v/>
      </c>
      <c r="K253" s="63"/>
    </row>
    <row r="254" spans="1:18" x14ac:dyDescent="0.25">
      <c r="A254" s="4" t="s">
        <v>8</v>
      </c>
      <c r="B254" s="37" t="s">
        <v>152</v>
      </c>
      <c r="C254" s="37"/>
      <c r="D254" s="70">
        <v>1</v>
      </c>
      <c r="E254" s="70">
        <v>1</v>
      </c>
      <c r="F254" s="70">
        <v>1</v>
      </c>
      <c r="G254" s="67">
        <f t="shared" si="121"/>
        <v>1</v>
      </c>
      <c r="H254" s="67">
        <f t="shared" si="122"/>
        <v>1</v>
      </c>
      <c r="I254" s="67">
        <f t="shared" si="123"/>
        <v>1</v>
      </c>
      <c r="J254" s="73">
        <f t="shared" si="130"/>
        <v>3</v>
      </c>
      <c r="K254" s="61"/>
    </row>
    <row r="255" spans="1:18" x14ac:dyDescent="0.25">
      <c r="A255" s="2"/>
      <c r="B255" s="37"/>
      <c r="C255" s="37"/>
      <c r="D255" s="71"/>
      <c r="E255" s="71"/>
      <c r="F255" s="71"/>
      <c r="G255" s="68" t="str">
        <f t="shared" si="121"/>
        <v/>
      </c>
      <c r="H255" s="68" t="str">
        <f t="shared" si="122"/>
        <v/>
      </c>
      <c r="I255" s="68" t="str">
        <f t="shared" si="123"/>
        <v/>
      </c>
      <c r="J255" s="74" t="str">
        <f t="shared" si="130"/>
        <v/>
      </c>
      <c r="K255" s="62"/>
    </row>
    <row r="256" spans="1:18" x14ac:dyDescent="0.25">
      <c r="A256" s="3"/>
      <c r="B256" s="40"/>
      <c r="C256" s="40"/>
      <c r="D256" s="72"/>
      <c r="E256" s="72"/>
      <c r="F256" s="72"/>
      <c r="G256" s="69" t="str">
        <f t="shared" si="121"/>
        <v/>
      </c>
      <c r="H256" s="69" t="str">
        <f t="shared" si="122"/>
        <v/>
      </c>
      <c r="I256" s="69" t="str">
        <f t="shared" si="123"/>
        <v/>
      </c>
      <c r="J256" s="75" t="str">
        <f t="shared" si="130"/>
        <v/>
      </c>
      <c r="K256" s="63"/>
    </row>
    <row r="257" spans="1:18" x14ac:dyDescent="0.25">
      <c r="A257" s="2" t="s">
        <v>9</v>
      </c>
      <c r="B257" s="37" t="s">
        <v>157</v>
      </c>
      <c r="C257" s="37"/>
      <c r="D257" s="71">
        <v>1</v>
      </c>
      <c r="E257" s="71">
        <v>0</v>
      </c>
      <c r="F257" s="71">
        <v>0</v>
      </c>
      <c r="G257" s="68">
        <f t="shared" si="121"/>
        <v>0</v>
      </c>
      <c r="H257" s="68">
        <f t="shared" si="122"/>
        <v>0</v>
      </c>
      <c r="I257" s="68">
        <f t="shared" si="123"/>
        <v>0</v>
      </c>
      <c r="J257" s="74">
        <f t="shared" si="130"/>
        <v>1</v>
      </c>
      <c r="K257" s="62"/>
    </row>
    <row r="258" spans="1:18" x14ac:dyDescent="0.25">
      <c r="A258" s="2"/>
      <c r="B258" s="37" t="s">
        <v>263</v>
      </c>
      <c r="C258" s="37"/>
      <c r="D258" s="71">
        <v>0</v>
      </c>
      <c r="E258" s="71">
        <v>0</v>
      </c>
      <c r="F258" s="71">
        <v>1</v>
      </c>
      <c r="G258" s="68">
        <f t="shared" si="121"/>
        <v>0</v>
      </c>
      <c r="H258" s="68">
        <f t="shared" si="122"/>
        <v>0</v>
      </c>
      <c r="I258" s="68">
        <f t="shared" si="123"/>
        <v>0</v>
      </c>
      <c r="J258" s="74">
        <f t="shared" si="130"/>
        <v>1</v>
      </c>
      <c r="K258" s="62"/>
    </row>
    <row r="259" spans="1:18" x14ac:dyDescent="0.25">
      <c r="A259" s="3"/>
      <c r="B259" s="40" t="s">
        <v>1105</v>
      </c>
      <c r="C259" s="40"/>
      <c r="D259" s="72">
        <v>0</v>
      </c>
      <c r="E259" s="72">
        <v>1</v>
      </c>
      <c r="F259" s="72">
        <v>0</v>
      </c>
      <c r="G259" s="69">
        <f t="shared" si="121"/>
        <v>0</v>
      </c>
      <c r="H259" s="69">
        <f t="shared" si="122"/>
        <v>0</v>
      </c>
      <c r="I259" s="69">
        <f t="shared" si="123"/>
        <v>0</v>
      </c>
      <c r="J259" s="75">
        <f t="shared" si="130"/>
        <v>1</v>
      </c>
      <c r="K259" s="63"/>
    </row>
    <row r="260" spans="1:18" x14ac:dyDescent="0.25">
      <c r="A260" s="2" t="s">
        <v>1224</v>
      </c>
      <c r="B260" s="37" t="s">
        <v>1247</v>
      </c>
      <c r="C260" s="37"/>
      <c r="D260" s="71">
        <v>1</v>
      </c>
      <c r="E260" s="71">
        <v>1</v>
      </c>
      <c r="F260" s="71">
        <v>1</v>
      </c>
      <c r="G260" s="68">
        <f t="shared" si="121"/>
        <v>1</v>
      </c>
      <c r="H260" s="68">
        <f t="shared" si="122"/>
        <v>1</v>
      </c>
      <c r="I260" s="68">
        <f t="shared" si="123"/>
        <v>1</v>
      </c>
      <c r="J260" s="74">
        <f t="shared" ref="J260:J262" si="131">IF(B260="","",SUM(D260:F260))</f>
        <v>3</v>
      </c>
      <c r="K260" s="62"/>
    </row>
    <row r="261" spans="1:18" x14ac:dyDescent="0.25">
      <c r="A261" s="2"/>
      <c r="B261" s="37" t="s">
        <v>1297</v>
      </c>
      <c r="C261" s="37"/>
      <c r="D261" s="71">
        <v>0</v>
      </c>
      <c r="E261" s="71">
        <v>1</v>
      </c>
      <c r="F261" s="71">
        <v>0</v>
      </c>
      <c r="G261" s="68">
        <f t="shared" si="121"/>
        <v>0</v>
      </c>
      <c r="H261" s="68">
        <f t="shared" si="122"/>
        <v>0</v>
      </c>
      <c r="I261" s="68">
        <f t="shared" si="123"/>
        <v>0</v>
      </c>
      <c r="J261" s="74">
        <f t="shared" si="131"/>
        <v>1</v>
      </c>
      <c r="K261" s="62"/>
    </row>
    <row r="262" spans="1:18" x14ac:dyDescent="0.25">
      <c r="A262" s="3"/>
      <c r="B262" s="40"/>
      <c r="C262" s="40"/>
      <c r="D262" s="72"/>
      <c r="E262" s="72"/>
      <c r="F262" s="72"/>
      <c r="G262" s="69" t="str">
        <f t="shared" si="121"/>
        <v/>
      </c>
      <c r="H262" s="69" t="str">
        <f t="shared" si="122"/>
        <v/>
      </c>
      <c r="I262" s="69" t="str">
        <f t="shared" si="123"/>
        <v/>
      </c>
      <c r="J262" s="75" t="str">
        <f t="shared" si="131"/>
        <v/>
      </c>
      <c r="K262" s="63"/>
    </row>
    <row r="264" spans="1:18" x14ac:dyDescent="0.25">
      <c r="A264" s="81">
        <v>14</v>
      </c>
      <c r="B264" s="49" t="s">
        <v>1131</v>
      </c>
      <c r="C264" s="31" t="s">
        <v>1410</v>
      </c>
      <c r="D264" s="76"/>
      <c r="E264" s="66"/>
      <c r="F264" s="66"/>
      <c r="G264" s="66"/>
      <c r="H264" s="66"/>
      <c r="I264" s="66"/>
      <c r="J264" s="60"/>
      <c r="K264" s="60"/>
    </row>
    <row r="265" spans="1:18" x14ac:dyDescent="0.25">
      <c r="A265" s="4" t="s">
        <v>6</v>
      </c>
      <c r="B265" s="37" t="s">
        <v>241</v>
      </c>
      <c r="C265" s="37"/>
      <c r="D265" s="70">
        <v>0</v>
      </c>
      <c r="E265" s="70">
        <v>1</v>
      </c>
      <c r="F265" s="70">
        <v>1</v>
      </c>
      <c r="G265" s="67">
        <f t="shared" ref="G265:G282" si="132">IF(B265="","",IF( AND(D265=1, E265=1),1,0))</f>
        <v>0</v>
      </c>
      <c r="H265" s="67">
        <f t="shared" ref="H265:H282" si="133">IF(B265="","",IF(AND(D265=1,F265=1),1,0))</f>
        <v>0</v>
      </c>
      <c r="I265" s="67">
        <f t="shared" ref="I265:I282" si="134">IF(B265="","",IF(AND(E265=1,F265=1),1,0))</f>
        <v>1</v>
      </c>
      <c r="J265" s="73">
        <f t="shared" ref="J265" si="135">IF(B265="","",SUM(D265:F265))</f>
        <v>2</v>
      </c>
      <c r="K265" s="61"/>
      <c r="M265" s="7">
        <f t="shared" ref="M265" si="136">SUM(G265:I265)/3</f>
        <v>0.33333333333333331</v>
      </c>
      <c r="N265" s="6">
        <f t="shared" ref="N265" si="137">SUM(G268:I268)/3</f>
        <v>1</v>
      </c>
      <c r="O265" s="7">
        <f t="shared" ref="O265" si="138">SUM(G271:I271)/3</f>
        <v>1</v>
      </c>
      <c r="P265" s="6">
        <f t="shared" ref="P265" si="139">SUM(G274:I274)/3</f>
        <v>1</v>
      </c>
      <c r="Q265" s="7">
        <f t="shared" ref="Q265" si="140">SUM(G277:I277)/3</f>
        <v>0.33333333333333331</v>
      </c>
      <c r="R265" s="7">
        <f>SUM(G280:I280)/3</f>
        <v>1</v>
      </c>
    </row>
    <row r="266" spans="1:18" x14ac:dyDescent="0.25">
      <c r="A266" s="2"/>
      <c r="B266" s="33" t="s">
        <v>158</v>
      </c>
      <c r="C266" s="37"/>
      <c r="D266" s="71">
        <v>1</v>
      </c>
      <c r="E266" s="71">
        <v>0</v>
      </c>
      <c r="F266" s="71">
        <v>1</v>
      </c>
      <c r="G266" s="68">
        <f t="shared" si="132"/>
        <v>0</v>
      </c>
      <c r="H266" s="68">
        <f t="shared" si="133"/>
        <v>1</v>
      </c>
      <c r="I266" s="68">
        <f t="shared" si="134"/>
        <v>0</v>
      </c>
      <c r="J266" s="74">
        <f t="shared" si="130"/>
        <v>2</v>
      </c>
      <c r="K266" s="62"/>
    </row>
    <row r="267" spans="1:18" x14ac:dyDescent="0.25">
      <c r="A267" s="3"/>
      <c r="B267" s="42"/>
      <c r="C267" s="42"/>
      <c r="D267" s="72"/>
      <c r="E267" s="72"/>
      <c r="F267" s="72"/>
      <c r="G267" s="69" t="str">
        <f t="shared" si="132"/>
        <v/>
      </c>
      <c r="H267" s="69" t="str">
        <f t="shared" si="133"/>
        <v/>
      </c>
      <c r="I267" s="69" t="str">
        <f t="shared" si="134"/>
        <v/>
      </c>
      <c r="J267" s="75" t="str">
        <f t="shared" si="130"/>
        <v/>
      </c>
      <c r="K267" s="63"/>
    </row>
    <row r="268" spans="1:18" x14ac:dyDescent="0.25">
      <c r="A268" s="4" t="s">
        <v>5</v>
      </c>
      <c r="B268" s="33" t="s">
        <v>265</v>
      </c>
      <c r="C268" s="33"/>
      <c r="D268" s="70">
        <v>1</v>
      </c>
      <c r="E268" s="70">
        <v>1</v>
      </c>
      <c r="F268" s="70">
        <v>1</v>
      </c>
      <c r="G268" s="67">
        <f t="shared" si="132"/>
        <v>1</v>
      </c>
      <c r="H268" s="67">
        <f t="shared" si="133"/>
        <v>1</v>
      </c>
      <c r="I268" s="67">
        <f t="shared" si="134"/>
        <v>1</v>
      </c>
      <c r="J268" s="73">
        <f t="shared" si="130"/>
        <v>3</v>
      </c>
      <c r="K268" s="61"/>
    </row>
    <row r="269" spans="1:18" x14ac:dyDescent="0.25">
      <c r="A269" s="2"/>
      <c r="B269" s="37"/>
      <c r="C269" s="37"/>
      <c r="D269" s="71"/>
      <c r="E269" s="71"/>
      <c r="F269" s="71"/>
      <c r="G269" s="68" t="str">
        <f t="shared" si="132"/>
        <v/>
      </c>
      <c r="H269" s="68" t="str">
        <f t="shared" si="133"/>
        <v/>
      </c>
      <c r="I269" s="68" t="str">
        <f t="shared" si="134"/>
        <v/>
      </c>
      <c r="J269" s="74" t="str">
        <f t="shared" si="130"/>
        <v/>
      </c>
      <c r="K269" s="62"/>
    </row>
    <row r="270" spans="1:18" x14ac:dyDescent="0.25">
      <c r="A270" s="3"/>
      <c r="B270" s="40"/>
      <c r="C270" s="37"/>
      <c r="D270" s="71"/>
      <c r="E270" s="71"/>
      <c r="F270" s="71"/>
      <c r="G270" s="69" t="str">
        <f t="shared" si="132"/>
        <v/>
      </c>
      <c r="H270" s="69" t="str">
        <f t="shared" si="133"/>
        <v/>
      </c>
      <c r="I270" s="69" t="str">
        <f t="shared" si="134"/>
        <v/>
      </c>
      <c r="J270" s="75" t="str">
        <f t="shared" si="130"/>
        <v/>
      </c>
      <c r="K270" s="63"/>
    </row>
    <row r="271" spans="1:18" x14ac:dyDescent="0.25">
      <c r="A271" s="4" t="s">
        <v>7</v>
      </c>
      <c r="B271" s="33" t="s">
        <v>223</v>
      </c>
      <c r="C271" s="33"/>
      <c r="D271" s="70">
        <v>1</v>
      </c>
      <c r="E271" s="70">
        <v>1</v>
      </c>
      <c r="F271" s="70">
        <v>1</v>
      </c>
      <c r="G271" s="67">
        <f t="shared" si="132"/>
        <v>1</v>
      </c>
      <c r="H271" s="67">
        <f t="shared" si="133"/>
        <v>1</v>
      </c>
      <c r="I271" s="67">
        <f t="shared" si="134"/>
        <v>1</v>
      </c>
      <c r="J271" s="73">
        <f t="shared" si="130"/>
        <v>3</v>
      </c>
      <c r="K271" s="61"/>
    </row>
    <row r="272" spans="1:18" x14ac:dyDescent="0.25">
      <c r="A272" s="2"/>
      <c r="B272" s="37"/>
      <c r="C272" s="37"/>
      <c r="D272" s="71"/>
      <c r="E272" s="71"/>
      <c r="F272" s="71"/>
      <c r="G272" s="68" t="str">
        <f t="shared" si="132"/>
        <v/>
      </c>
      <c r="H272" s="68" t="str">
        <f t="shared" si="133"/>
        <v/>
      </c>
      <c r="I272" s="68" t="str">
        <f t="shared" si="134"/>
        <v/>
      </c>
      <c r="J272" s="74" t="str">
        <f t="shared" si="130"/>
        <v/>
      </c>
      <c r="K272" s="62"/>
    </row>
    <row r="273" spans="1:18" x14ac:dyDescent="0.25">
      <c r="A273" s="3"/>
      <c r="B273" s="40"/>
      <c r="C273" s="40"/>
      <c r="D273" s="72"/>
      <c r="E273" s="72"/>
      <c r="F273" s="72"/>
      <c r="G273" s="69" t="str">
        <f t="shared" si="132"/>
        <v/>
      </c>
      <c r="H273" s="69" t="str">
        <f t="shared" si="133"/>
        <v/>
      </c>
      <c r="I273" s="69" t="str">
        <f t="shared" si="134"/>
        <v/>
      </c>
      <c r="J273" s="75" t="str">
        <f t="shared" si="130"/>
        <v/>
      </c>
      <c r="K273" s="63"/>
    </row>
    <row r="274" spans="1:18" x14ac:dyDescent="0.25">
      <c r="A274" s="4" t="s">
        <v>8</v>
      </c>
      <c r="B274" s="37" t="s">
        <v>159</v>
      </c>
      <c r="C274" s="37"/>
      <c r="D274" s="70">
        <v>1</v>
      </c>
      <c r="E274" s="70">
        <v>1</v>
      </c>
      <c r="F274" s="70">
        <v>1</v>
      </c>
      <c r="G274" s="67">
        <f t="shared" si="132"/>
        <v>1</v>
      </c>
      <c r="H274" s="67">
        <f t="shared" si="133"/>
        <v>1</v>
      </c>
      <c r="I274" s="67">
        <f t="shared" si="134"/>
        <v>1</v>
      </c>
      <c r="J274" s="73">
        <f t="shared" si="130"/>
        <v>3</v>
      </c>
      <c r="K274" s="61"/>
    </row>
    <row r="275" spans="1:18" x14ac:dyDescent="0.25">
      <c r="A275" s="2"/>
      <c r="B275" s="39" t="s">
        <v>225</v>
      </c>
      <c r="C275" s="39"/>
      <c r="D275" s="71">
        <v>0</v>
      </c>
      <c r="E275" s="71">
        <v>1</v>
      </c>
      <c r="F275" s="71">
        <v>1</v>
      </c>
      <c r="G275" s="68">
        <f t="shared" si="132"/>
        <v>0</v>
      </c>
      <c r="H275" s="68">
        <f t="shared" si="133"/>
        <v>0</v>
      </c>
      <c r="I275" s="68">
        <f t="shared" si="134"/>
        <v>1</v>
      </c>
      <c r="J275" s="74">
        <f t="shared" si="130"/>
        <v>2</v>
      </c>
      <c r="K275" s="62"/>
    </row>
    <row r="276" spans="1:18" x14ac:dyDescent="0.25">
      <c r="A276" s="3"/>
      <c r="B276" s="40"/>
      <c r="C276" s="40"/>
      <c r="D276" s="72"/>
      <c r="E276" s="72"/>
      <c r="F276" s="72"/>
      <c r="G276" s="69" t="str">
        <f t="shared" si="132"/>
        <v/>
      </c>
      <c r="H276" s="69" t="str">
        <f t="shared" si="133"/>
        <v/>
      </c>
      <c r="I276" s="69" t="str">
        <f t="shared" si="134"/>
        <v/>
      </c>
      <c r="J276" s="75" t="str">
        <f t="shared" si="130"/>
        <v/>
      </c>
      <c r="K276" s="63"/>
    </row>
    <row r="277" spans="1:18" x14ac:dyDescent="0.25">
      <c r="A277" s="2" t="s">
        <v>9</v>
      </c>
      <c r="B277" s="37" t="s">
        <v>244</v>
      </c>
      <c r="C277" s="37"/>
      <c r="D277" s="71">
        <v>0</v>
      </c>
      <c r="E277" s="71">
        <v>1</v>
      </c>
      <c r="F277" s="71">
        <v>1</v>
      </c>
      <c r="G277" s="68">
        <f t="shared" si="132"/>
        <v>0</v>
      </c>
      <c r="H277" s="68">
        <f t="shared" si="133"/>
        <v>0</v>
      </c>
      <c r="I277" s="68">
        <f t="shared" si="134"/>
        <v>1</v>
      </c>
      <c r="J277" s="74">
        <f t="shared" si="130"/>
        <v>2</v>
      </c>
      <c r="K277" s="62"/>
    </row>
    <row r="278" spans="1:18" x14ac:dyDescent="0.25">
      <c r="A278" s="2"/>
      <c r="B278" s="37" t="s">
        <v>160</v>
      </c>
      <c r="C278" s="37"/>
      <c r="D278" s="71">
        <v>1</v>
      </c>
      <c r="E278" s="71">
        <v>0</v>
      </c>
      <c r="F278" s="71">
        <v>1</v>
      </c>
      <c r="G278" s="68">
        <f t="shared" si="132"/>
        <v>0</v>
      </c>
      <c r="H278" s="68">
        <f t="shared" si="133"/>
        <v>1</v>
      </c>
      <c r="I278" s="68">
        <f t="shared" si="134"/>
        <v>0</v>
      </c>
      <c r="J278" s="74">
        <f t="shared" si="130"/>
        <v>2</v>
      </c>
      <c r="K278" s="62"/>
    </row>
    <row r="279" spans="1:18" x14ac:dyDescent="0.25">
      <c r="A279" s="3"/>
      <c r="B279" s="42" t="s">
        <v>266</v>
      </c>
      <c r="C279" s="42"/>
      <c r="D279" s="72">
        <v>0</v>
      </c>
      <c r="E279" s="72">
        <v>1</v>
      </c>
      <c r="F279" s="72">
        <v>1</v>
      </c>
      <c r="G279" s="69">
        <f t="shared" si="132"/>
        <v>0</v>
      </c>
      <c r="H279" s="69">
        <f t="shared" si="133"/>
        <v>0</v>
      </c>
      <c r="I279" s="69">
        <f t="shared" si="134"/>
        <v>1</v>
      </c>
      <c r="J279" s="75">
        <f t="shared" si="130"/>
        <v>2</v>
      </c>
      <c r="K279" s="63"/>
    </row>
    <row r="280" spans="1:18" x14ac:dyDescent="0.25">
      <c r="A280" s="2" t="s">
        <v>1224</v>
      </c>
      <c r="B280" s="37" t="s">
        <v>1299</v>
      </c>
      <c r="C280" s="37"/>
      <c r="D280" s="71">
        <v>1</v>
      </c>
      <c r="E280" s="71">
        <v>1</v>
      </c>
      <c r="F280" s="71">
        <v>1</v>
      </c>
      <c r="G280" s="68">
        <f t="shared" si="132"/>
        <v>1</v>
      </c>
      <c r="H280" s="68">
        <f t="shared" si="133"/>
        <v>1</v>
      </c>
      <c r="I280" s="68">
        <f t="shared" si="134"/>
        <v>1</v>
      </c>
      <c r="J280" s="74">
        <f t="shared" ref="J280:J282" si="141">IF(B280="","",SUM(D280:F280))</f>
        <v>3</v>
      </c>
      <c r="K280" s="62"/>
    </row>
    <row r="281" spans="1:18" x14ac:dyDescent="0.25">
      <c r="A281" s="2"/>
      <c r="B281" s="37"/>
      <c r="C281" s="37"/>
      <c r="D281" s="71"/>
      <c r="E281" s="71"/>
      <c r="F281" s="71"/>
      <c r="G281" s="68" t="str">
        <f t="shared" si="132"/>
        <v/>
      </c>
      <c r="H281" s="68" t="str">
        <f t="shared" si="133"/>
        <v/>
      </c>
      <c r="I281" s="68" t="str">
        <f t="shared" si="134"/>
        <v/>
      </c>
      <c r="J281" s="74" t="str">
        <f t="shared" si="141"/>
        <v/>
      </c>
      <c r="K281" s="62"/>
    </row>
    <row r="282" spans="1:18" x14ac:dyDescent="0.25">
      <c r="A282" s="3"/>
      <c r="B282" s="40"/>
      <c r="C282" s="40"/>
      <c r="D282" s="72"/>
      <c r="E282" s="72"/>
      <c r="F282" s="72"/>
      <c r="G282" s="69" t="str">
        <f t="shared" si="132"/>
        <v/>
      </c>
      <c r="H282" s="69" t="str">
        <f t="shared" si="133"/>
        <v/>
      </c>
      <c r="I282" s="69" t="str">
        <f t="shared" si="134"/>
        <v/>
      </c>
      <c r="J282" s="75" t="str">
        <f t="shared" si="141"/>
        <v/>
      </c>
      <c r="K282" s="63"/>
    </row>
    <row r="284" spans="1:18" x14ac:dyDescent="0.25">
      <c r="A284" s="81">
        <v>15</v>
      </c>
      <c r="B284" s="49" t="s">
        <v>1132</v>
      </c>
      <c r="C284" s="31" t="s">
        <v>1411</v>
      </c>
      <c r="D284" s="76"/>
      <c r="E284" s="66"/>
      <c r="F284" s="66"/>
      <c r="G284" s="66"/>
      <c r="H284" s="66"/>
      <c r="I284" s="66"/>
      <c r="J284" s="60"/>
      <c r="K284" s="60"/>
    </row>
    <row r="285" spans="1:18" x14ac:dyDescent="0.25">
      <c r="A285" s="4" t="s">
        <v>6</v>
      </c>
      <c r="B285" s="37" t="s">
        <v>161</v>
      </c>
      <c r="C285" s="37"/>
      <c r="D285" s="70">
        <v>1</v>
      </c>
      <c r="E285" s="70">
        <v>1</v>
      </c>
      <c r="F285" s="70">
        <v>1</v>
      </c>
      <c r="G285" s="67">
        <f t="shared" ref="G285:G302" si="142">IF(B285="","",IF( AND(D285=1, E285=1),1,0))</f>
        <v>1</v>
      </c>
      <c r="H285" s="67">
        <f t="shared" ref="H285:H302" si="143">IF(B285="","",IF(AND(D285=1,F285=1),1,0))</f>
        <v>1</v>
      </c>
      <c r="I285" s="67">
        <f t="shared" ref="I285:I302" si="144">IF(B285="","",IF(AND(E285=1,F285=1),1,0))</f>
        <v>1</v>
      </c>
      <c r="J285" s="73">
        <f t="shared" ref="J285" si="145">IF(B285="","",SUM(D285:F285))</f>
        <v>3</v>
      </c>
      <c r="K285" s="61"/>
      <c r="M285" s="7">
        <f t="shared" ref="M285" si="146">SUM(G285:I285)/3</f>
        <v>1</v>
      </c>
      <c r="N285" s="6">
        <f t="shared" ref="N285" si="147">SUM(G288:I288)/3</f>
        <v>1</v>
      </c>
      <c r="O285" s="7">
        <f t="shared" ref="O285" si="148">SUM(G291:I291)/3</f>
        <v>1</v>
      </c>
      <c r="P285" s="6">
        <f t="shared" ref="P285" si="149">SUM(G294:I294)/3</f>
        <v>0.33333333333333331</v>
      </c>
      <c r="Q285" s="7">
        <f t="shared" ref="Q285" si="150">SUM(G297:I297)/3</f>
        <v>0.33333333333333331</v>
      </c>
      <c r="R285" s="7">
        <f>SUM(G300:I300)/3</f>
        <v>1</v>
      </c>
    </row>
    <row r="286" spans="1:18" x14ac:dyDescent="0.25">
      <c r="A286" s="2"/>
      <c r="B286" s="37"/>
      <c r="C286" s="37"/>
      <c r="D286" s="71"/>
      <c r="E286" s="71"/>
      <c r="F286" s="71"/>
      <c r="G286" s="68" t="str">
        <f t="shared" si="142"/>
        <v/>
      </c>
      <c r="H286" s="68" t="str">
        <f t="shared" si="143"/>
        <v/>
      </c>
      <c r="I286" s="68" t="str">
        <f t="shared" si="144"/>
        <v/>
      </c>
      <c r="J286" s="74" t="str">
        <f t="shared" si="130"/>
        <v/>
      </c>
      <c r="K286" s="62"/>
    </row>
    <row r="287" spans="1:18" x14ac:dyDescent="0.25">
      <c r="A287" s="3"/>
      <c r="B287" s="42"/>
      <c r="C287" s="42"/>
      <c r="D287" s="72"/>
      <c r="E287" s="72"/>
      <c r="F287" s="72"/>
      <c r="G287" s="69" t="str">
        <f t="shared" si="142"/>
        <v/>
      </c>
      <c r="H287" s="69" t="str">
        <f t="shared" si="143"/>
        <v/>
      </c>
      <c r="I287" s="69" t="str">
        <f t="shared" si="144"/>
        <v/>
      </c>
      <c r="J287" s="75" t="str">
        <f t="shared" si="130"/>
        <v/>
      </c>
      <c r="K287" s="63"/>
    </row>
    <row r="288" spans="1:18" x14ac:dyDescent="0.25">
      <c r="A288" s="4" t="s">
        <v>5</v>
      </c>
      <c r="B288" s="33" t="s">
        <v>270</v>
      </c>
      <c r="C288" s="33"/>
      <c r="D288" s="70">
        <v>1</v>
      </c>
      <c r="E288" s="70">
        <v>1</v>
      </c>
      <c r="F288" s="70">
        <v>1</v>
      </c>
      <c r="G288" s="67">
        <f t="shared" si="142"/>
        <v>1</v>
      </c>
      <c r="H288" s="67">
        <f t="shared" si="143"/>
        <v>1</v>
      </c>
      <c r="I288" s="67">
        <f t="shared" si="144"/>
        <v>1</v>
      </c>
      <c r="J288" s="73">
        <f t="shared" si="130"/>
        <v>3</v>
      </c>
      <c r="K288" s="61"/>
    </row>
    <row r="289" spans="1:11" x14ac:dyDescent="0.25">
      <c r="A289" s="2"/>
      <c r="B289" s="37" t="s">
        <v>265</v>
      </c>
      <c r="C289" s="37"/>
      <c r="D289" s="71">
        <v>0</v>
      </c>
      <c r="E289" s="71">
        <v>1</v>
      </c>
      <c r="F289" s="71">
        <v>1</v>
      </c>
      <c r="G289" s="68">
        <f t="shared" si="142"/>
        <v>0</v>
      </c>
      <c r="H289" s="68">
        <f t="shared" si="143"/>
        <v>0</v>
      </c>
      <c r="I289" s="68">
        <f t="shared" si="144"/>
        <v>1</v>
      </c>
      <c r="J289" s="74">
        <f t="shared" si="130"/>
        <v>2</v>
      </c>
      <c r="K289" s="62"/>
    </row>
    <row r="290" spans="1:11" x14ac:dyDescent="0.25">
      <c r="A290" s="3"/>
      <c r="B290" s="40"/>
      <c r="C290" s="37"/>
      <c r="D290" s="71"/>
      <c r="E290" s="71"/>
      <c r="F290" s="71"/>
      <c r="G290" s="69" t="str">
        <f t="shared" si="142"/>
        <v/>
      </c>
      <c r="H290" s="69" t="str">
        <f t="shared" si="143"/>
        <v/>
      </c>
      <c r="I290" s="69" t="str">
        <f t="shared" si="144"/>
        <v/>
      </c>
      <c r="J290" s="75" t="str">
        <f t="shared" si="130"/>
        <v/>
      </c>
      <c r="K290" s="63"/>
    </row>
    <row r="291" spans="1:11" x14ac:dyDescent="0.25">
      <c r="A291" s="4" t="s">
        <v>7</v>
      </c>
      <c r="B291" s="33" t="s">
        <v>223</v>
      </c>
      <c r="C291" s="33"/>
      <c r="D291" s="70">
        <v>1</v>
      </c>
      <c r="E291" s="70">
        <v>1</v>
      </c>
      <c r="F291" s="70">
        <v>1</v>
      </c>
      <c r="G291" s="67">
        <f t="shared" si="142"/>
        <v>1</v>
      </c>
      <c r="H291" s="67">
        <f t="shared" si="143"/>
        <v>1</v>
      </c>
      <c r="I291" s="67">
        <f t="shared" si="144"/>
        <v>1</v>
      </c>
      <c r="J291" s="73">
        <f t="shared" si="130"/>
        <v>3</v>
      </c>
      <c r="K291" s="61"/>
    </row>
    <row r="292" spans="1:11" x14ac:dyDescent="0.25">
      <c r="A292" s="2"/>
      <c r="B292" s="37"/>
      <c r="C292" s="37"/>
      <c r="D292" s="71"/>
      <c r="E292" s="71"/>
      <c r="F292" s="71"/>
      <c r="G292" s="68" t="str">
        <f t="shared" si="142"/>
        <v/>
      </c>
      <c r="H292" s="68" t="str">
        <f t="shared" si="143"/>
        <v/>
      </c>
      <c r="I292" s="68" t="str">
        <f t="shared" si="144"/>
        <v/>
      </c>
      <c r="J292" s="74" t="str">
        <f t="shared" si="130"/>
        <v/>
      </c>
      <c r="K292" s="62"/>
    </row>
    <row r="293" spans="1:11" x14ac:dyDescent="0.25">
      <c r="A293" s="3"/>
      <c r="B293" s="40"/>
      <c r="C293" s="40"/>
      <c r="D293" s="72"/>
      <c r="E293" s="72"/>
      <c r="F293" s="72"/>
      <c r="G293" s="69" t="str">
        <f t="shared" si="142"/>
        <v/>
      </c>
      <c r="H293" s="69" t="str">
        <f t="shared" si="143"/>
        <v/>
      </c>
      <c r="I293" s="69" t="str">
        <f t="shared" si="144"/>
        <v/>
      </c>
      <c r="J293" s="75" t="str">
        <f t="shared" si="130"/>
        <v/>
      </c>
      <c r="K293" s="63"/>
    </row>
    <row r="294" spans="1:11" x14ac:dyDescent="0.25">
      <c r="A294" s="4" t="s">
        <v>8</v>
      </c>
      <c r="B294" s="37" t="s">
        <v>159</v>
      </c>
      <c r="C294" s="37"/>
      <c r="D294" s="70">
        <v>1</v>
      </c>
      <c r="E294" s="70">
        <v>1</v>
      </c>
      <c r="F294" s="70">
        <v>0</v>
      </c>
      <c r="G294" s="67">
        <f t="shared" si="142"/>
        <v>1</v>
      </c>
      <c r="H294" s="67">
        <f t="shared" si="143"/>
        <v>0</v>
      </c>
      <c r="I294" s="67">
        <f t="shared" si="144"/>
        <v>0</v>
      </c>
      <c r="J294" s="73">
        <f t="shared" si="130"/>
        <v>2</v>
      </c>
      <c r="K294" s="61"/>
    </row>
    <row r="295" spans="1:11" x14ac:dyDescent="0.25">
      <c r="A295" s="2"/>
      <c r="B295" s="37" t="s">
        <v>271</v>
      </c>
      <c r="C295" s="37"/>
      <c r="D295" s="71">
        <v>0</v>
      </c>
      <c r="E295" s="71">
        <v>1</v>
      </c>
      <c r="F295" s="71">
        <v>1</v>
      </c>
      <c r="G295" s="68">
        <f t="shared" si="142"/>
        <v>0</v>
      </c>
      <c r="H295" s="68">
        <f t="shared" si="143"/>
        <v>0</v>
      </c>
      <c r="I295" s="68">
        <f t="shared" si="144"/>
        <v>1</v>
      </c>
      <c r="J295" s="74">
        <f t="shared" si="130"/>
        <v>2</v>
      </c>
      <c r="K295" s="62"/>
    </row>
    <row r="296" spans="1:11" x14ac:dyDescent="0.25">
      <c r="A296" s="3"/>
      <c r="B296" s="40" t="s">
        <v>225</v>
      </c>
      <c r="C296" s="40"/>
      <c r="D296" s="72">
        <v>0</v>
      </c>
      <c r="E296" s="72">
        <v>1</v>
      </c>
      <c r="F296" s="72">
        <v>1</v>
      </c>
      <c r="G296" s="69">
        <f t="shared" si="142"/>
        <v>0</v>
      </c>
      <c r="H296" s="69">
        <f t="shared" si="143"/>
        <v>0</v>
      </c>
      <c r="I296" s="69">
        <f t="shared" si="144"/>
        <v>1</v>
      </c>
      <c r="J296" s="75">
        <f t="shared" si="130"/>
        <v>2</v>
      </c>
      <c r="K296" s="63"/>
    </row>
    <row r="297" spans="1:11" x14ac:dyDescent="0.25">
      <c r="A297" s="2" t="s">
        <v>9</v>
      </c>
      <c r="B297" s="37" t="s">
        <v>162</v>
      </c>
      <c r="C297" s="37"/>
      <c r="D297" s="71">
        <v>1</v>
      </c>
      <c r="E297" s="71">
        <v>0</v>
      </c>
      <c r="F297" s="71">
        <v>1</v>
      </c>
      <c r="G297" s="68">
        <f t="shared" si="142"/>
        <v>0</v>
      </c>
      <c r="H297" s="68">
        <f t="shared" si="143"/>
        <v>1</v>
      </c>
      <c r="I297" s="68">
        <f t="shared" si="144"/>
        <v>0</v>
      </c>
      <c r="J297" s="74">
        <f t="shared" si="130"/>
        <v>2</v>
      </c>
      <c r="K297" s="62"/>
    </row>
    <row r="298" spans="1:11" x14ac:dyDescent="0.25">
      <c r="A298" s="2"/>
      <c r="B298" s="37" t="s">
        <v>240</v>
      </c>
      <c r="C298" s="37"/>
      <c r="D298" s="71">
        <v>0</v>
      </c>
      <c r="E298" s="71">
        <v>1</v>
      </c>
      <c r="F298" s="71">
        <v>1</v>
      </c>
      <c r="G298" s="68">
        <f t="shared" si="142"/>
        <v>0</v>
      </c>
      <c r="H298" s="68">
        <f t="shared" si="143"/>
        <v>0</v>
      </c>
      <c r="I298" s="68">
        <f t="shared" si="144"/>
        <v>1</v>
      </c>
      <c r="J298" s="74">
        <f t="shared" si="130"/>
        <v>2</v>
      </c>
      <c r="K298" s="62"/>
    </row>
    <row r="299" spans="1:11" x14ac:dyDescent="0.25">
      <c r="A299" s="3"/>
      <c r="B299" s="40"/>
      <c r="C299" s="40"/>
      <c r="D299" s="72"/>
      <c r="E299" s="72"/>
      <c r="F299" s="72"/>
      <c r="G299" s="69" t="str">
        <f t="shared" si="142"/>
        <v/>
      </c>
      <c r="H299" s="69" t="str">
        <f t="shared" si="143"/>
        <v/>
      </c>
      <c r="I299" s="69" t="str">
        <f t="shared" si="144"/>
        <v/>
      </c>
      <c r="J299" s="75" t="str">
        <f t="shared" si="130"/>
        <v/>
      </c>
      <c r="K299" s="63"/>
    </row>
    <row r="300" spans="1:11" x14ac:dyDescent="0.25">
      <c r="A300" s="2" t="s">
        <v>1224</v>
      </c>
      <c r="B300" s="37" t="s">
        <v>1300</v>
      </c>
      <c r="C300" s="37"/>
      <c r="D300" s="71">
        <v>1</v>
      </c>
      <c r="E300" s="71">
        <v>1</v>
      </c>
      <c r="F300" s="71">
        <v>1</v>
      </c>
      <c r="G300" s="68">
        <f t="shared" si="142"/>
        <v>1</v>
      </c>
      <c r="H300" s="68">
        <f t="shared" si="143"/>
        <v>1</v>
      </c>
      <c r="I300" s="68">
        <f t="shared" si="144"/>
        <v>1</v>
      </c>
      <c r="J300" s="74">
        <f t="shared" ref="J300:J302" si="151">IF(B300="","",SUM(D300:F300))</f>
        <v>3</v>
      </c>
      <c r="K300" s="62"/>
    </row>
    <row r="301" spans="1:11" x14ac:dyDescent="0.25">
      <c r="A301" s="2"/>
      <c r="B301" s="37"/>
      <c r="C301" s="37"/>
      <c r="D301" s="71"/>
      <c r="E301" s="71"/>
      <c r="F301" s="71"/>
      <c r="G301" s="68" t="str">
        <f t="shared" si="142"/>
        <v/>
      </c>
      <c r="H301" s="68" t="str">
        <f t="shared" si="143"/>
        <v/>
      </c>
      <c r="I301" s="68" t="str">
        <f t="shared" si="144"/>
        <v/>
      </c>
      <c r="J301" s="74" t="str">
        <f t="shared" si="151"/>
        <v/>
      </c>
      <c r="K301" s="62"/>
    </row>
    <row r="302" spans="1:11" x14ac:dyDescent="0.25">
      <c r="A302" s="3"/>
      <c r="B302" s="40"/>
      <c r="C302" s="40"/>
      <c r="D302" s="72"/>
      <c r="E302" s="72"/>
      <c r="F302" s="72"/>
      <c r="G302" s="69" t="str">
        <f t="shared" si="142"/>
        <v/>
      </c>
      <c r="H302" s="69" t="str">
        <f t="shared" si="143"/>
        <v/>
      </c>
      <c r="I302" s="69" t="str">
        <f t="shared" si="144"/>
        <v/>
      </c>
      <c r="J302" s="75" t="str">
        <f t="shared" si="151"/>
        <v/>
      </c>
      <c r="K302" s="63"/>
    </row>
    <row r="304" spans="1:11" x14ac:dyDescent="0.25">
      <c r="A304" s="81">
        <v>16</v>
      </c>
      <c r="B304" s="49" t="s">
        <v>1133</v>
      </c>
      <c r="C304" s="31" t="s">
        <v>1412</v>
      </c>
      <c r="D304" s="76"/>
      <c r="E304" s="66"/>
      <c r="F304" s="66"/>
      <c r="G304" s="66"/>
      <c r="H304" s="66"/>
      <c r="I304" s="66"/>
      <c r="J304" s="60"/>
      <c r="K304" s="60"/>
    </row>
    <row r="305" spans="1:18" x14ac:dyDescent="0.25">
      <c r="A305" s="4" t="s">
        <v>6</v>
      </c>
      <c r="B305" s="37" t="s">
        <v>273</v>
      </c>
      <c r="C305" s="37"/>
      <c r="D305" s="70">
        <v>0</v>
      </c>
      <c r="E305" s="70">
        <v>1</v>
      </c>
      <c r="F305" s="70">
        <v>1</v>
      </c>
      <c r="G305" s="67">
        <f t="shared" ref="G305:G322" si="152">IF(B305="","",IF( AND(D305=1, E305=1),1,0))</f>
        <v>0</v>
      </c>
      <c r="H305" s="67">
        <f t="shared" ref="H305:H322" si="153">IF(B305="","",IF(AND(D305=1,F305=1),1,0))</f>
        <v>0</v>
      </c>
      <c r="I305" s="67">
        <f t="shared" ref="I305:I322" si="154">IF(B305="","",IF(AND(E305=1,F305=1),1,0))</f>
        <v>1</v>
      </c>
      <c r="J305" s="73">
        <f t="shared" ref="J305" si="155">IF(B305="","",SUM(D305:F305))</f>
        <v>2</v>
      </c>
      <c r="K305" s="61"/>
      <c r="M305" s="7">
        <f t="shared" ref="M305" si="156">SUM(G305:I305)/3</f>
        <v>0.33333333333333331</v>
      </c>
      <c r="N305" s="6">
        <f t="shared" ref="N305" si="157">SUM(G308:I308)/3</f>
        <v>1</v>
      </c>
      <c r="O305" s="7">
        <f t="shared" ref="O305" si="158">SUM(G311:I311)/3</f>
        <v>1</v>
      </c>
      <c r="P305" s="6">
        <f t="shared" ref="P305" si="159">SUM(G314:I314)/3</f>
        <v>1</v>
      </c>
      <c r="Q305" s="7">
        <f t="shared" ref="Q305" si="160">SUM(G317:I317)/3</f>
        <v>0.33333333333333331</v>
      </c>
      <c r="R305" s="7">
        <f>SUM(G320:I320)/3</f>
        <v>0.33333333333333331</v>
      </c>
    </row>
    <row r="306" spans="1:18" x14ac:dyDescent="0.25">
      <c r="A306" s="2"/>
      <c r="B306" s="37"/>
      <c r="C306" s="37"/>
      <c r="D306" s="71"/>
      <c r="E306" s="71"/>
      <c r="F306" s="71"/>
      <c r="G306" s="68" t="str">
        <f t="shared" si="152"/>
        <v/>
      </c>
      <c r="H306" s="68" t="str">
        <f t="shared" si="153"/>
        <v/>
      </c>
      <c r="I306" s="68" t="str">
        <f t="shared" si="154"/>
        <v/>
      </c>
      <c r="J306" s="74" t="str">
        <f t="shared" si="130"/>
        <v/>
      </c>
      <c r="K306" s="62"/>
    </row>
    <row r="307" spans="1:18" x14ac:dyDescent="0.25">
      <c r="A307" s="3"/>
      <c r="B307" s="42"/>
      <c r="C307" s="42"/>
      <c r="D307" s="72">
        <v>1</v>
      </c>
      <c r="E307" s="72">
        <v>1</v>
      </c>
      <c r="F307" s="72">
        <v>1</v>
      </c>
      <c r="G307" s="69" t="str">
        <f t="shared" si="152"/>
        <v/>
      </c>
      <c r="H307" s="69" t="str">
        <f t="shared" si="153"/>
        <v/>
      </c>
      <c r="I307" s="69" t="str">
        <f t="shared" si="154"/>
        <v/>
      </c>
      <c r="J307" s="75" t="str">
        <f t="shared" si="130"/>
        <v/>
      </c>
      <c r="K307" s="63"/>
    </row>
    <row r="308" spans="1:18" x14ac:dyDescent="0.25">
      <c r="A308" s="4" t="s">
        <v>5</v>
      </c>
      <c r="B308" s="33" t="s">
        <v>1105</v>
      </c>
      <c r="C308" s="33"/>
      <c r="D308" s="70">
        <v>1</v>
      </c>
      <c r="E308" s="70">
        <v>1</v>
      </c>
      <c r="F308" s="70">
        <v>1</v>
      </c>
      <c r="G308" s="67">
        <f t="shared" ref="G308:G310" si="161">IF(B308="","",IF( AND(D308=1, E308=1),1,0))</f>
        <v>1</v>
      </c>
      <c r="H308" s="67">
        <f t="shared" ref="H308:H310" si="162">IF(B308="","",IF(AND(D308=1,F308=1),1,0))</f>
        <v>1</v>
      </c>
      <c r="I308" s="67">
        <f t="shared" ref="I308:I310" si="163">IF(B308="","",IF(AND(E308=1,F308=1),1,0))</f>
        <v>1</v>
      </c>
      <c r="J308" s="73">
        <f t="shared" ref="J308" si="164">IF(B308="","",SUM(D308:F308))</f>
        <v>3</v>
      </c>
      <c r="K308" s="61"/>
    </row>
    <row r="309" spans="1:18" x14ac:dyDescent="0.25">
      <c r="A309" s="2"/>
      <c r="B309" s="37"/>
      <c r="C309" s="37"/>
      <c r="D309" s="71"/>
      <c r="E309" s="71"/>
      <c r="F309" s="71"/>
      <c r="G309" s="68" t="str">
        <f t="shared" si="161"/>
        <v/>
      </c>
      <c r="H309" s="68" t="str">
        <f t="shared" si="162"/>
        <v/>
      </c>
      <c r="I309" s="68" t="str">
        <f t="shared" si="163"/>
        <v/>
      </c>
      <c r="J309" s="74" t="str">
        <f t="shared" si="130"/>
        <v/>
      </c>
      <c r="K309" s="62"/>
    </row>
    <row r="310" spans="1:18" x14ac:dyDescent="0.25">
      <c r="A310" s="3"/>
      <c r="B310" s="40"/>
      <c r="C310" s="37"/>
      <c r="D310" s="71"/>
      <c r="E310" s="71"/>
      <c r="F310" s="71"/>
      <c r="G310" s="69" t="str">
        <f t="shared" si="161"/>
        <v/>
      </c>
      <c r="H310" s="69" t="str">
        <f t="shared" si="162"/>
        <v/>
      </c>
      <c r="I310" s="69" t="str">
        <f t="shared" si="163"/>
        <v/>
      </c>
      <c r="J310" s="75" t="str">
        <f t="shared" si="130"/>
        <v/>
      </c>
      <c r="K310" s="63"/>
    </row>
    <row r="311" spans="1:18" x14ac:dyDescent="0.25">
      <c r="A311" s="4" t="s">
        <v>7</v>
      </c>
      <c r="B311" s="33" t="s">
        <v>223</v>
      </c>
      <c r="C311" s="33"/>
      <c r="D311" s="70">
        <v>1</v>
      </c>
      <c r="E311" s="70">
        <v>1</v>
      </c>
      <c r="F311" s="70">
        <v>1</v>
      </c>
      <c r="G311" s="67">
        <f>IF(B308="","",IF( AND(D311=1, E311=1),1,0))</f>
        <v>1</v>
      </c>
      <c r="H311" s="67">
        <f>IF(B308="","",IF(AND(D311=1,F311=1),1,0))</f>
        <v>1</v>
      </c>
      <c r="I311" s="67">
        <f>IF(B308="","",IF(AND(E311=1,F311=1),1,0))</f>
        <v>1</v>
      </c>
      <c r="J311" s="73">
        <f>IF(B308="","",SUM(D311:F311))</f>
        <v>3</v>
      </c>
      <c r="K311" s="61"/>
    </row>
    <row r="312" spans="1:18" x14ac:dyDescent="0.25">
      <c r="A312" s="2"/>
      <c r="B312" s="37"/>
      <c r="C312" s="37"/>
      <c r="D312" s="71"/>
      <c r="E312" s="71"/>
      <c r="F312" s="71"/>
      <c r="G312" s="68" t="str">
        <f t="shared" si="152"/>
        <v/>
      </c>
      <c r="H312" s="68" t="str">
        <f t="shared" si="153"/>
        <v/>
      </c>
      <c r="I312" s="68" t="str">
        <f t="shared" si="154"/>
        <v/>
      </c>
      <c r="J312" s="74" t="str">
        <f t="shared" si="130"/>
        <v/>
      </c>
      <c r="K312" s="62"/>
    </row>
    <row r="313" spans="1:18" x14ac:dyDescent="0.25">
      <c r="A313" s="3"/>
      <c r="B313" s="40"/>
      <c r="C313" s="40"/>
      <c r="D313" s="72"/>
      <c r="E313" s="72"/>
      <c r="F313" s="72"/>
      <c r="G313" s="69" t="str">
        <f t="shared" si="152"/>
        <v/>
      </c>
      <c r="H313" s="69" t="str">
        <f t="shared" si="153"/>
        <v/>
      </c>
      <c r="I313" s="69" t="str">
        <f t="shared" si="154"/>
        <v/>
      </c>
      <c r="J313" s="75" t="str">
        <f t="shared" si="130"/>
        <v/>
      </c>
      <c r="K313" s="63"/>
    </row>
    <row r="314" spans="1:18" x14ac:dyDescent="0.25">
      <c r="A314" s="4" t="s">
        <v>8</v>
      </c>
      <c r="B314" s="37" t="s">
        <v>159</v>
      </c>
      <c r="C314" s="37"/>
      <c r="D314" s="70">
        <v>1</v>
      </c>
      <c r="E314" s="70">
        <v>1</v>
      </c>
      <c r="F314" s="70">
        <v>1</v>
      </c>
      <c r="G314" s="67">
        <f t="shared" si="152"/>
        <v>1</v>
      </c>
      <c r="H314" s="67">
        <f t="shared" si="153"/>
        <v>1</v>
      </c>
      <c r="I314" s="67">
        <f t="shared" si="154"/>
        <v>1</v>
      </c>
      <c r="J314" s="73">
        <f t="shared" si="130"/>
        <v>3</v>
      </c>
      <c r="K314" s="61"/>
    </row>
    <row r="315" spans="1:18" x14ac:dyDescent="0.25">
      <c r="A315" s="2"/>
      <c r="B315" s="37" t="s">
        <v>236</v>
      </c>
      <c r="C315" s="37"/>
      <c r="D315" s="71">
        <v>0</v>
      </c>
      <c r="E315" s="71">
        <v>1</v>
      </c>
      <c r="F315" s="71">
        <v>1</v>
      </c>
      <c r="G315" s="68">
        <f t="shared" si="152"/>
        <v>0</v>
      </c>
      <c r="H315" s="68">
        <f t="shared" si="153"/>
        <v>0</v>
      </c>
      <c r="I315" s="68">
        <f t="shared" si="154"/>
        <v>1</v>
      </c>
      <c r="J315" s="74">
        <f t="shared" si="130"/>
        <v>2</v>
      </c>
      <c r="K315" s="62"/>
    </row>
    <row r="316" spans="1:18" x14ac:dyDescent="0.25">
      <c r="A316" s="3"/>
      <c r="B316" s="40"/>
      <c r="C316" s="40"/>
      <c r="D316" s="72"/>
      <c r="E316" s="72"/>
      <c r="F316" s="72"/>
      <c r="G316" s="69" t="str">
        <f t="shared" si="152"/>
        <v/>
      </c>
      <c r="H316" s="69" t="str">
        <f t="shared" si="153"/>
        <v/>
      </c>
      <c r="I316" s="69" t="str">
        <f t="shared" si="154"/>
        <v/>
      </c>
      <c r="J316" s="75" t="str">
        <f t="shared" si="130"/>
        <v/>
      </c>
      <c r="K316" s="63"/>
    </row>
    <row r="317" spans="1:18" x14ac:dyDescent="0.25">
      <c r="A317" s="2" t="s">
        <v>9</v>
      </c>
      <c r="B317" s="37" t="s">
        <v>237</v>
      </c>
      <c r="C317" s="37"/>
      <c r="D317" s="71">
        <v>1</v>
      </c>
      <c r="E317" s="71">
        <v>1</v>
      </c>
      <c r="F317" s="71">
        <v>0</v>
      </c>
      <c r="G317" s="68">
        <f t="shared" si="152"/>
        <v>1</v>
      </c>
      <c r="H317" s="68">
        <f t="shared" si="153"/>
        <v>0</v>
      </c>
      <c r="I317" s="68">
        <f t="shared" si="154"/>
        <v>0</v>
      </c>
      <c r="J317" s="74">
        <f t="shared" si="130"/>
        <v>2</v>
      </c>
      <c r="K317" s="62"/>
    </row>
    <row r="318" spans="1:18" x14ac:dyDescent="0.25">
      <c r="A318" s="2"/>
      <c r="B318" s="37" t="s">
        <v>163</v>
      </c>
      <c r="C318" s="37"/>
      <c r="D318" s="71">
        <v>0</v>
      </c>
      <c r="E318" s="71">
        <v>1</v>
      </c>
      <c r="F318" s="71">
        <v>1</v>
      </c>
      <c r="G318" s="68">
        <f t="shared" si="152"/>
        <v>0</v>
      </c>
      <c r="H318" s="68">
        <f t="shared" si="153"/>
        <v>0</v>
      </c>
      <c r="I318" s="68">
        <f t="shared" si="154"/>
        <v>1</v>
      </c>
      <c r="J318" s="74">
        <f t="shared" si="130"/>
        <v>2</v>
      </c>
      <c r="K318" s="62"/>
    </row>
    <row r="319" spans="1:18" x14ac:dyDescent="0.25">
      <c r="A319" s="3"/>
      <c r="B319" s="40"/>
      <c r="C319" s="40"/>
      <c r="D319" s="72"/>
      <c r="E319" s="72"/>
      <c r="F319" s="72"/>
      <c r="G319" s="69" t="str">
        <f t="shared" si="152"/>
        <v/>
      </c>
      <c r="H319" s="69" t="str">
        <f t="shared" si="153"/>
        <v/>
      </c>
      <c r="I319" s="69" t="str">
        <f t="shared" si="154"/>
        <v/>
      </c>
      <c r="J319" s="75" t="str">
        <f t="shared" si="130"/>
        <v/>
      </c>
      <c r="K319" s="63"/>
    </row>
    <row r="320" spans="1:18" x14ac:dyDescent="0.25">
      <c r="A320" s="2" t="s">
        <v>1224</v>
      </c>
      <c r="B320" s="39" t="s">
        <v>1369</v>
      </c>
      <c r="C320" s="39"/>
      <c r="D320" s="71">
        <v>0</v>
      </c>
      <c r="E320" s="71">
        <v>1</v>
      </c>
      <c r="F320" s="71">
        <v>1</v>
      </c>
      <c r="G320" s="68">
        <f t="shared" si="152"/>
        <v>0</v>
      </c>
      <c r="H320" s="68">
        <f t="shared" si="153"/>
        <v>0</v>
      </c>
      <c r="I320" s="68">
        <f t="shared" si="154"/>
        <v>1</v>
      </c>
      <c r="J320" s="74">
        <f t="shared" ref="J320:J322" si="165">IF(B320="","",SUM(D320:F320))</f>
        <v>2</v>
      </c>
      <c r="K320" s="62"/>
    </row>
    <row r="321" spans="1:18" x14ac:dyDescent="0.25">
      <c r="A321" s="2"/>
      <c r="B321" s="37" t="s">
        <v>1303</v>
      </c>
      <c r="C321" s="37"/>
      <c r="D321" s="71">
        <v>1</v>
      </c>
      <c r="E321" s="71">
        <v>0</v>
      </c>
      <c r="F321" s="71">
        <v>0</v>
      </c>
      <c r="G321" s="68">
        <f t="shared" si="152"/>
        <v>0</v>
      </c>
      <c r="H321" s="68">
        <f t="shared" si="153"/>
        <v>0</v>
      </c>
      <c r="I321" s="68">
        <f t="shared" si="154"/>
        <v>0</v>
      </c>
      <c r="J321" s="74">
        <f t="shared" si="165"/>
        <v>1</v>
      </c>
      <c r="K321" s="62"/>
    </row>
    <row r="322" spans="1:18" x14ac:dyDescent="0.25">
      <c r="A322" s="3"/>
      <c r="B322" s="40"/>
      <c r="C322" s="40"/>
      <c r="D322" s="72"/>
      <c r="E322" s="72"/>
      <c r="F322" s="72"/>
      <c r="G322" s="69" t="str">
        <f t="shared" si="152"/>
        <v/>
      </c>
      <c r="H322" s="69" t="str">
        <f t="shared" si="153"/>
        <v/>
      </c>
      <c r="I322" s="69" t="str">
        <f t="shared" si="154"/>
        <v/>
      </c>
      <c r="J322" s="75" t="str">
        <f t="shared" si="165"/>
        <v/>
      </c>
      <c r="K322" s="63"/>
    </row>
    <row r="324" spans="1:18" x14ac:dyDescent="0.25">
      <c r="A324" s="81">
        <v>17</v>
      </c>
      <c r="B324" s="49" t="s">
        <v>1134</v>
      </c>
      <c r="C324" s="31" t="s">
        <v>1413</v>
      </c>
      <c r="D324" s="76"/>
      <c r="E324" s="66"/>
      <c r="F324" s="66"/>
      <c r="G324" s="66"/>
      <c r="H324" s="66"/>
      <c r="I324" s="66"/>
      <c r="J324" s="60"/>
      <c r="K324" s="60"/>
    </row>
    <row r="325" spans="1:18" x14ac:dyDescent="0.25">
      <c r="A325" s="4" t="s">
        <v>6</v>
      </c>
      <c r="B325" s="37" t="s">
        <v>165</v>
      </c>
      <c r="C325" s="37"/>
      <c r="D325" s="70">
        <v>1</v>
      </c>
      <c r="E325" s="70">
        <v>1</v>
      </c>
      <c r="F325" s="70">
        <v>1</v>
      </c>
      <c r="G325" s="67">
        <f t="shared" ref="G325:G342" si="166">IF(B325="","",IF( AND(D325=1, E325=1),1,0))</f>
        <v>1</v>
      </c>
      <c r="H325" s="67">
        <f t="shared" ref="H325:H342" si="167">IF(B325="","",IF(AND(D325=1,F325=1),1,0))</f>
        <v>1</v>
      </c>
      <c r="I325" s="67">
        <f t="shared" ref="I325:I342" si="168">IF(B325="","",IF(AND(E325=1,F325=1),1,0))</f>
        <v>1</v>
      </c>
      <c r="J325" s="73">
        <f t="shared" ref="J325:J397" si="169">IF(B325="","",SUM(D325:F325))</f>
        <v>3</v>
      </c>
      <c r="K325" s="61"/>
      <c r="M325" s="7">
        <f t="shared" ref="M325" si="170">SUM(G325:I325)/3</f>
        <v>1</v>
      </c>
      <c r="N325" s="6">
        <f t="shared" ref="N325" si="171">SUM(G328:I328)/3</f>
        <v>1</v>
      </c>
      <c r="O325" s="7">
        <f t="shared" ref="O325" si="172">SUM(G331:I331)/3</f>
        <v>0.33333333333333331</v>
      </c>
      <c r="P325" s="6">
        <f t="shared" ref="P325" si="173">SUM(G334:I334)/3</f>
        <v>1</v>
      </c>
      <c r="Q325" s="7">
        <f t="shared" ref="Q325" si="174">SUM(G337:I337)/3</f>
        <v>1</v>
      </c>
      <c r="R325" s="7">
        <f>SUM(G340:I340)/3</f>
        <v>1</v>
      </c>
    </row>
    <row r="326" spans="1:18" x14ac:dyDescent="0.25">
      <c r="A326" s="2"/>
      <c r="B326" s="37" t="s">
        <v>221</v>
      </c>
      <c r="C326" s="37"/>
      <c r="D326" s="71">
        <v>0</v>
      </c>
      <c r="E326" s="71">
        <v>1</v>
      </c>
      <c r="F326" s="71">
        <v>1</v>
      </c>
      <c r="G326" s="68">
        <f t="shared" si="166"/>
        <v>0</v>
      </c>
      <c r="H326" s="68">
        <f t="shared" si="167"/>
        <v>0</v>
      </c>
      <c r="I326" s="68">
        <f t="shared" si="168"/>
        <v>1</v>
      </c>
      <c r="J326" s="74">
        <f t="shared" si="169"/>
        <v>2</v>
      </c>
      <c r="K326" s="62"/>
    </row>
    <row r="327" spans="1:18" x14ac:dyDescent="0.25">
      <c r="A327" s="3"/>
      <c r="B327" s="42"/>
      <c r="C327" s="42"/>
      <c r="D327" s="72"/>
      <c r="E327" s="72"/>
      <c r="F327" s="72"/>
      <c r="G327" s="69" t="str">
        <f t="shared" si="166"/>
        <v/>
      </c>
      <c r="H327" s="69" t="str">
        <f t="shared" si="167"/>
        <v/>
      </c>
      <c r="I327" s="69" t="str">
        <f t="shared" si="168"/>
        <v/>
      </c>
      <c r="J327" s="75" t="str">
        <f t="shared" si="169"/>
        <v/>
      </c>
      <c r="K327" s="63"/>
    </row>
    <row r="328" spans="1:18" x14ac:dyDescent="0.25">
      <c r="A328" s="4" t="s">
        <v>5</v>
      </c>
      <c r="B328" s="33" t="s">
        <v>1105</v>
      </c>
      <c r="C328" s="33"/>
      <c r="D328" s="70">
        <v>1</v>
      </c>
      <c r="E328" s="70">
        <v>1</v>
      </c>
      <c r="F328" s="70">
        <v>1</v>
      </c>
      <c r="G328" s="67">
        <f t="shared" si="166"/>
        <v>1</v>
      </c>
      <c r="H328" s="67">
        <f t="shared" si="167"/>
        <v>1</v>
      </c>
      <c r="I328" s="67">
        <f t="shared" si="168"/>
        <v>1</v>
      </c>
      <c r="J328" s="73">
        <f t="shared" si="169"/>
        <v>3</v>
      </c>
      <c r="K328" s="61"/>
    </row>
    <row r="329" spans="1:18" x14ac:dyDescent="0.25">
      <c r="A329" s="2"/>
      <c r="B329" s="33"/>
      <c r="C329" s="33"/>
      <c r="D329" s="70"/>
      <c r="E329" s="70"/>
      <c r="F329" s="70"/>
      <c r="G329" s="67" t="str">
        <f t="shared" ref="G329" si="175">IF(B329="","",IF( AND(D329=1, E329=1),1,0))</f>
        <v/>
      </c>
      <c r="H329" s="67" t="str">
        <f t="shared" ref="H329" si="176">IF(B329="","",IF(AND(D329=1,F329=1),1,0))</f>
        <v/>
      </c>
      <c r="I329" s="67" t="str">
        <f t="shared" ref="I329" si="177">IF(B329="","",IF(AND(E329=1,F329=1),1,0))</f>
        <v/>
      </c>
      <c r="J329" s="74" t="str">
        <f>IF(B332="","",SUM(D329:F329))</f>
        <v/>
      </c>
      <c r="K329" s="62"/>
    </row>
    <row r="330" spans="1:18" x14ac:dyDescent="0.25">
      <c r="A330" s="3"/>
      <c r="B330" s="40"/>
      <c r="C330" s="37"/>
      <c r="D330" s="71"/>
      <c r="E330" s="71"/>
      <c r="F330" s="71"/>
      <c r="G330" s="69" t="str">
        <f t="shared" si="166"/>
        <v/>
      </c>
      <c r="H330" s="69" t="str">
        <f t="shared" si="167"/>
        <v/>
      </c>
      <c r="I330" s="69" t="str">
        <f t="shared" si="168"/>
        <v/>
      </c>
      <c r="J330" s="75" t="str">
        <f t="shared" si="169"/>
        <v/>
      </c>
      <c r="K330" s="63"/>
    </row>
    <row r="331" spans="1:18" x14ac:dyDescent="0.25">
      <c r="A331" s="4" t="s">
        <v>7</v>
      </c>
      <c r="B331" s="33" t="s">
        <v>1105</v>
      </c>
      <c r="C331" s="33"/>
      <c r="D331" s="70">
        <v>1</v>
      </c>
      <c r="E331" s="70">
        <v>0</v>
      </c>
      <c r="F331" s="70">
        <v>1</v>
      </c>
      <c r="G331" s="67">
        <f t="shared" ref="G331" si="178">IF(B331="","",IF( AND(D331=1, E331=1),1,0))</f>
        <v>0</v>
      </c>
      <c r="H331" s="67">
        <f t="shared" ref="H331" si="179">IF(B331="","",IF(AND(D331=1,F331=1),1,0))</f>
        <v>1</v>
      </c>
      <c r="I331" s="67">
        <f t="shared" ref="I331" si="180">IF(B331="","",IF(AND(E331=1,F331=1),1,0))</f>
        <v>0</v>
      </c>
      <c r="J331" s="73">
        <f t="shared" ref="J331" si="181">IF(B331="","",SUM(D331:F331))</f>
        <v>2</v>
      </c>
      <c r="K331" s="61"/>
    </row>
    <row r="332" spans="1:18" x14ac:dyDescent="0.25">
      <c r="A332" s="2"/>
      <c r="B332" s="33"/>
      <c r="C332" s="33"/>
      <c r="D332" s="70"/>
      <c r="E332" s="70"/>
      <c r="F332" s="70"/>
      <c r="G332" s="67" t="str">
        <f t="shared" ref="G332" si="182">IF(B332="","",IF( AND(D332=1, E332=1),1,0))</f>
        <v/>
      </c>
      <c r="H332" s="67" t="str">
        <f t="shared" ref="H332" si="183">IF(B332="","",IF(AND(D332=1,F332=1),1,0))</f>
        <v/>
      </c>
      <c r="I332" s="67" t="str">
        <f t="shared" ref="I332" si="184">IF(B332="","",IF(AND(E332=1,F332=1),1,0))</f>
        <v/>
      </c>
      <c r="J332" s="74"/>
      <c r="K332" s="62"/>
    </row>
    <row r="333" spans="1:18" x14ac:dyDescent="0.25">
      <c r="A333" s="3"/>
      <c r="B333" s="40"/>
      <c r="C333" s="40"/>
      <c r="D333" s="72"/>
      <c r="E333" s="72"/>
      <c r="F333" s="72"/>
      <c r="G333" s="69" t="str">
        <f t="shared" ref="G333" si="185">IF(B333="","",IF( AND(D333=1, E333=1),1,0))</f>
        <v/>
      </c>
      <c r="H333" s="69" t="str">
        <f t="shared" ref="H333" si="186">IF(B333="","",IF(AND(D333=1,F333=1),1,0))</f>
        <v/>
      </c>
      <c r="I333" s="69" t="str">
        <f t="shared" ref="I333" si="187">IF(B333="","",IF(AND(E333=1,F333=1),1,0))</f>
        <v/>
      </c>
      <c r="J333" s="75" t="str">
        <f t="shared" ref="J333" si="188">IF(B333="","",SUM(D333:F333))</f>
        <v/>
      </c>
      <c r="K333" s="63"/>
    </row>
    <row r="334" spans="1:18" x14ac:dyDescent="0.25">
      <c r="A334" s="4" t="s">
        <v>8</v>
      </c>
      <c r="B334" s="37" t="s">
        <v>159</v>
      </c>
      <c r="C334" s="37"/>
      <c r="D334" s="70">
        <v>1</v>
      </c>
      <c r="E334" s="70">
        <v>1</v>
      </c>
      <c r="F334" s="70">
        <v>1</v>
      </c>
      <c r="G334" s="67">
        <f t="shared" si="166"/>
        <v>1</v>
      </c>
      <c r="H334" s="67">
        <f t="shared" si="167"/>
        <v>1</v>
      </c>
      <c r="I334" s="67">
        <f t="shared" si="168"/>
        <v>1</v>
      </c>
      <c r="J334" s="73">
        <f t="shared" si="169"/>
        <v>3</v>
      </c>
      <c r="K334" s="61"/>
    </row>
    <row r="335" spans="1:18" x14ac:dyDescent="0.25">
      <c r="A335" s="2"/>
      <c r="B335" s="37" t="s">
        <v>224</v>
      </c>
      <c r="C335" s="37"/>
      <c r="D335" s="71">
        <v>0</v>
      </c>
      <c r="E335" s="71">
        <v>1</v>
      </c>
      <c r="F335" s="71">
        <v>1</v>
      </c>
      <c r="G335" s="68">
        <f t="shared" si="166"/>
        <v>0</v>
      </c>
      <c r="H335" s="68">
        <f t="shared" si="167"/>
        <v>0</v>
      </c>
      <c r="I335" s="68">
        <f t="shared" si="168"/>
        <v>1</v>
      </c>
      <c r="J335" s="74">
        <f t="shared" si="169"/>
        <v>2</v>
      </c>
      <c r="K335" s="62"/>
    </row>
    <row r="336" spans="1:18" x14ac:dyDescent="0.25">
      <c r="A336" s="3"/>
      <c r="B336" s="40"/>
      <c r="C336" s="40"/>
      <c r="D336" s="72"/>
      <c r="E336" s="72"/>
      <c r="F336" s="72"/>
      <c r="G336" s="69" t="str">
        <f t="shared" si="166"/>
        <v/>
      </c>
      <c r="H336" s="69" t="str">
        <f t="shared" si="167"/>
        <v/>
      </c>
      <c r="I336" s="69" t="str">
        <f t="shared" si="168"/>
        <v/>
      </c>
      <c r="J336" s="75" t="str">
        <f t="shared" si="169"/>
        <v/>
      </c>
      <c r="K336" s="63"/>
    </row>
    <row r="337" spans="1:18" x14ac:dyDescent="0.25">
      <c r="A337" s="2" t="s">
        <v>9</v>
      </c>
      <c r="B337" s="37" t="s">
        <v>226</v>
      </c>
      <c r="C337" s="37"/>
      <c r="D337" s="71">
        <v>1</v>
      </c>
      <c r="E337" s="71">
        <v>1</v>
      </c>
      <c r="F337" s="71">
        <v>1</v>
      </c>
      <c r="G337" s="68">
        <f t="shared" si="166"/>
        <v>1</v>
      </c>
      <c r="H337" s="68">
        <f t="shared" si="167"/>
        <v>1</v>
      </c>
      <c r="I337" s="68">
        <f t="shared" si="168"/>
        <v>1</v>
      </c>
      <c r="J337" s="74">
        <f t="shared" si="169"/>
        <v>3</v>
      </c>
      <c r="K337" s="62"/>
    </row>
    <row r="338" spans="1:18" x14ac:dyDescent="0.25">
      <c r="A338" s="2"/>
      <c r="B338" s="37"/>
      <c r="C338" s="37"/>
      <c r="D338" s="71">
        <v>1</v>
      </c>
      <c r="E338" s="71">
        <v>1</v>
      </c>
      <c r="F338" s="71">
        <v>1</v>
      </c>
      <c r="G338" s="68" t="str">
        <f t="shared" si="166"/>
        <v/>
      </c>
      <c r="H338" s="68" t="str">
        <f t="shared" si="167"/>
        <v/>
      </c>
      <c r="I338" s="68" t="str">
        <f t="shared" si="168"/>
        <v/>
      </c>
      <c r="J338" s="74" t="str">
        <f t="shared" si="169"/>
        <v/>
      </c>
      <c r="K338" s="62"/>
    </row>
    <row r="339" spans="1:18" x14ac:dyDescent="0.25">
      <c r="A339" s="3"/>
      <c r="B339" s="40"/>
      <c r="C339" s="40"/>
      <c r="D339" s="72">
        <v>1</v>
      </c>
      <c r="E339" s="72">
        <v>1</v>
      </c>
      <c r="F339" s="72">
        <v>1</v>
      </c>
      <c r="G339" s="69" t="str">
        <f t="shared" si="166"/>
        <v/>
      </c>
      <c r="H339" s="69" t="str">
        <f t="shared" si="167"/>
        <v/>
      </c>
      <c r="I339" s="69" t="str">
        <f t="shared" si="168"/>
        <v/>
      </c>
      <c r="J339" s="75" t="str">
        <f t="shared" si="169"/>
        <v/>
      </c>
      <c r="K339" s="63"/>
    </row>
    <row r="340" spans="1:18" x14ac:dyDescent="0.25">
      <c r="A340" s="2" t="s">
        <v>1224</v>
      </c>
      <c r="B340" s="37" t="s">
        <v>165</v>
      </c>
      <c r="C340" s="37"/>
      <c r="D340" s="71">
        <v>1</v>
      </c>
      <c r="E340" s="71">
        <v>1</v>
      </c>
      <c r="F340" s="71">
        <v>1</v>
      </c>
      <c r="G340" s="68">
        <f t="shared" si="166"/>
        <v>1</v>
      </c>
      <c r="H340" s="68">
        <f t="shared" si="167"/>
        <v>1</v>
      </c>
      <c r="I340" s="68">
        <f t="shared" si="168"/>
        <v>1</v>
      </c>
      <c r="J340" s="74">
        <f t="shared" si="169"/>
        <v>3</v>
      </c>
      <c r="K340" s="62"/>
    </row>
    <row r="341" spans="1:18" x14ac:dyDescent="0.25">
      <c r="A341" s="2"/>
      <c r="B341" s="37" t="s">
        <v>1301</v>
      </c>
      <c r="C341" s="37"/>
      <c r="D341" s="71">
        <v>0</v>
      </c>
      <c r="E341" s="71">
        <v>1</v>
      </c>
      <c r="F341" s="71">
        <v>0</v>
      </c>
      <c r="G341" s="68">
        <f t="shared" si="166"/>
        <v>0</v>
      </c>
      <c r="H341" s="68">
        <f t="shared" si="167"/>
        <v>0</v>
      </c>
      <c r="I341" s="68">
        <f t="shared" si="168"/>
        <v>0</v>
      </c>
      <c r="J341" s="74">
        <f t="shared" si="169"/>
        <v>1</v>
      </c>
      <c r="K341" s="62"/>
    </row>
    <row r="342" spans="1:18" x14ac:dyDescent="0.25">
      <c r="A342" s="3"/>
      <c r="B342" s="40"/>
      <c r="C342" s="40"/>
      <c r="D342" s="72"/>
      <c r="E342" s="72"/>
      <c r="F342" s="72"/>
      <c r="G342" s="69" t="str">
        <f t="shared" si="166"/>
        <v/>
      </c>
      <c r="H342" s="69" t="str">
        <f t="shared" si="167"/>
        <v/>
      </c>
      <c r="I342" s="69" t="str">
        <f t="shared" si="168"/>
        <v/>
      </c>
      <c r="J342" s="75" t="str">
        <f t="shared" si="169"/>
        <v/>
      </c>
      <c r="K342" s="63"/>
    </row>
    <row r="344" spans="1:18" x14ac:dyDescent="0.25">
      <c r="A344" s="81">
        <v>18</v>
      </c>
      <c r="B344" s="49" t="s">
        <v>1135</v>
      </c>
      <c r="C344" s="31" t="s">
        <v>1414</v>
      </c>
      <c r="D344" s="76"/>
      <c r="E344" s="66"/>
      <c r="F344" s="66"/>
      <c r="G344" s="66"/>
      <c r="H344" s="66"/>
      <c r="I344" s="66"/>
      <c r="J344" s="60"/>
      <c r="K344" s="60"/>
    </row>
    <row r="345" spans="1:18" x14ac:dyDescent="0.25">
      <c r="A345" s="4" t="s">
        <v>6</v>
      </c>
      <c r="B345" s="37" t="s">
        <v>228</v>
      </c>
      <c r="C345" s="37"/>
      <c r="D345" s="70">
        <v>1</v>
      </c>
      <c r="E345" s="70">
        <v>1</v>
      </c>
      <c r="F345" s="70">
        <v>0</v>
      </c>
      <c r="G345" s="67">
        <f t="shared" ref="G345:G362" si="189">IF(B345="","",IF( AND(D345=1, E345=1),1,0))</f>
        <v>1</v>
      </c>
      <c r="H345" s="67">
        <f t="shared" ref="H345:H362" si="190">IF(B345="","",IF(AND(D345=1,F345=1),1,0))</f>
        <v>0</v>
      </c>
      <c r="I345" s="67">
        <f t="shared" ref="I345:I362" si="191">IF(B345="","",IF(AND(E345=1,F345=1),1,0))</f>
        <v>0</v>
      </c>
      <c r="J345" s="73">
        <f t="shared" ref="J345" si="192">IF(B345="","",SUM(D345:F345))</f>
        <v>2</v>
      </c>
      <c r="K345" s="61"/>
      <c r="M345" s="7">
        <f t="shared" ref="M345" si="193">SUM(G345:I345)/3</f>
        <v>0.33333333333333331</v>
      </c>
      <c r="N345" s="6">
        <f t="shared" ref="N345" si="194">SUM(G348:I348)/3</f>
        <v>1</v>
      </c>
      <c r="O345" s="7">
        <f t="shared" ref="O345" si="195">SUM(G351:I351)/3</f>
        <v>1</v>
      </c>
      <c r="P345" s="6">
        <f t="shared" ref="P345" si="196">SUM(G354:I354)/3</f>
        <v>0.33333333333333331</v>
      </c>
      <c r="Q345" s="7">
        <f t="shared" ref="Q345" si="197">SUM(G357:I357)/3</f>
        <v>0.33333333333333331</v>
      </c>
      <c r="R345" s="7">
        <f>SUM(G360:I360)/3</f>
        <v>0</v>
      </c>
    </row>
    <row r="346" spans="1:18" x14ac:dyDescent="0.25">
      <c r="A346" s="2"/>
      <c r="B346" s="37"/>
      <c r="C346" s="37"/>
      <c r="D346" s="71"/>
      <c r="E346" s="71"/>
      <c r="F346" s="71"/>
      <c r="G346" s="68" t="str">
        <f t="shared" si="189"/>
        <v/>
      </c>
      <c r="H346" s="68" t="str">
        <f t="shared" si="190"/>
        <v/>
      </c>
      <c r="I346" s="68" t="str">
        <f t="shared" si="191"/>
        <v/>
      </c>
      <c r="J346" s="74" t="str">
        <f t="shared" si="169"/>
        <v/>
      </c>
      <c r="K346" s="62"/>
    </row>
    <row r="347" spans="1:18" x14ac:dyDescent="0.25">
      <c r="A347" s="3"/>
      <c r="B347" s="42"/>
      <c r="C347" s="42"/>
      <c r="D347" s="72"/>
      <c r="E347" s="72"/>
      <c r="F347" s="72"/>
      <c r="G347" s="69" t="str">
        <f t="shared" si="189"/>
        <v/>
      </c>
      <c r="H347" s="69" t="str">
        <f t="shared" si="190"/>
        <v/>
      </c>
      <c r="I347" s="69" t="str">
        <f t="shared" si="191"/>
        <v/>
      </c>
      <c r="J347" s="75" t="str">
        <f t="shared" si="169"/>
        <v/>
      </c>
      <c r="K347" s="63"/>
    </row>
    <row r="348" spans="1:18" x14ac:dyDescent="0.25">
      <c r="A348" s="4" t="s">
        <v>5</v>
      </c>
      <c r="B348" s="33" t="s">
        <v>23</v>
      </c>
      <c r="C348" s="33"/>
      <c r="D348" s="70">
        <v>1</v>
      </c>
      <c r="E348" s="70">
        <v>1</v>
      </c>
      <c r="F348" s="70">
        <v>1</v>
      </c>
      <c r="G348" s="67">
        <f t="shared" si="189"/>
        <v>1</v>
      </c>
      <c r="H348" s="67">
        <f t="shared" si="190"/>
        <v>1</v>
      </c>
      <c r="I348" s="67">
        <f t="shared" si="191"/>
        <v>1</v>
      </c>
      <c r="J348" s="73">
        <f t="shared" si="169"/>
        <v>3</v>
      </c>
      <c r="K348" s="61"/>
    </row>
    <row r="349" spans="1:18" x14ac:dyDescent="0.25">
      <c r="A349" s="2"/>
      <c r="B349" s="37"/>
      <c r="C349" s="37"/>
      <c r="D349" s="71"/>
      <c r="E349" s="71"/>
      <c r="F349" s="71"/>
      <c r="G349" s="68" t="str">
        <f t="shared" si="189"/>
        <v/>
      </c>
      <c r="H349" s="68" t="str">
        <f t="shared" si="190"/>
        <v/>
      </c>
      <c r="I349" s="68" t="str">
        <f t="shared" si="191"/>
        <v/>
      </c>
      <c r="J349" s="74" t="str">
        <f t="shared" si="169"/>
        <v/>
      </c>
      <c r="K349" s="62"/>
    </row>
    <row r="350" spans="1:18" x14ac:dyDescent="0.25">
      <c r="A350" s="3"/>
      <c r="B350" s="40"/>
      <c r="C350" s="37"/>
      <c r="D350" s="71"/>
      <c r="E350" s="71"/>
      <c r="F350" s="71"/>
      <c r="G350" s="69" t="str">
        <f t="shared" si="189"/>
        <v/>
      </c>
      <c r="H350" s="69" t="str">
        <f t="shared" si="190"/>
        <v/>
      </c>
      <c r="I350" s="69" t="str">
        <f t="shared" si="191"/>
        <v/>
      </c>
      <c r="J350" s="75" t="str">
        <f t="shared" si="169"/>
        <v/>
      </c>
      <c r="K350" s="63"/>
    </row>
    <row r="351" spans="1:18" x14ac:dyDescent="0.25">
      <c r="A351" s="4" t="s">
        <v>7</v>
      </c>
      <c r="B351" s="33" t="s">
        <v>1105</v>
      </c>
      <c r="C351" s="33"/>
      <c r="D351" s="70">
        <v>1</v>
      </c>
      <c r="E351" s="70">
        <v>1</v>
      </c>
      <c r="F351" s="70">
        <v>1</v>
      </c>
      <c r="G351" s="67">
        <f t="shared" si="189"/>
        <v>1</v>
      </c>
      <c r="H351" s="67">
        <f t="shared" si="190"/>
        <v>1</v>
      </c>
      <c r="I351" s="67">
        <f t="shared" si="191"/>
        <v>1</v>
      </c>
      <c r="J351" s="73">
        <f t="shared" si="169"/>
        <v>3</v>
      </c>
      <c r="K351" s="61"/>
    </row>
    <row r="352" spans="1:18" x14ac:dyDescent="0.25">
      <c r="A352" s="2"/>
      <c r="B352" s="37"/>
      <c r="C352" s="37"/>
      <c r="D352" s="71"/>
      <c r="E352" s="71"/>
      <c r="F352" s="71"/>
      <c r="G352" s="68" t="str">
        <f t="shared" si="189"/>
        <v/>
      </c>
      <c r="H352" s="68" t="str">
        <f t="shared" si="190"/>
        <v/>
      </c>
      <c r="I352" s="68" t="str">
        <f t="shared" si="191"/>
        <v/>
      </c>
      <c r="J352" s="74" t="str">
        <f t="shared" si="169"/>
        <v/>
      </c>
      <c r="K352" s="62"/>
    </row>
    <row r="353" spans="1:18" x14ac:dyDescent="0.25">
      <c r="A353" s="3"/>
      <c r="B353" s="40"/>
      <c r="C353" s="40"/>
      <c r="D353" s="72"/>
      <c r="E353" s="72"/>
      <c r="F353" s="72"/>
      <c r="G353" s="69" t="str">
        <f t="shared" si="189"/>
        <v/>
      </c>
      <c r="H353" s="69" t="str">
        <f t="shared" si="190"/>
        <v/>
      </c>
      <c r="I353" s="69" t="str">
        <f t="shared" si="191"/>
        <v/>
      </c>
      <c r="J353" s="75" t="str">
        <f t="shared" si="169"/>
        <v/>
      </c>
      <c r="K353" s="63"/>
    </row>
    <row r="354" spans="1:18" x14ac:dyDescent="0.25">
      <c r="A354" s="4" t="s">
        <v>8</v>
      </c>
      <c r="B354" s="35" t="s">
        <v>281</v>
      </c>
      <c r="C354" s="35"/>
      <c r="D354" s="70">
        <v>0</v>
      </c>
      <c r="E354" s="70">
        <v>1</v>
      </c>
      <c r="F354" s="70">
        <v>1</v>
      </c>
      <c r="G354" s="67">
        <f t="shared" si="189"/>
        <v>0</v>
      </c>
      <c r="H354" s="67">
        <f t="shared" si="190"/>
        <v>0</v>
      </c>
      <c r="I354" s="67">
        <f t="shared" si="191"/>
        <v>1</v>
      </c>
      <c r="J354" s="73">
        <f t="shared" si="169"/>
        <v>2</v>
      </c>
      <c r="K354" s="61"/>
    </row>
    <row r="355" spans="1:18" x14ac:dyDescent="0.25">
      <c r="A355" s="2"/>
      <c r="B355" s="33" t="s">
        <v>167</v>
      </c>
      <c r="C355" s="37"/>
      <c r="D355" s="71">
        <v>1</v>
      </c>
      <c r="E355" s="71">
        <v>1</v>
      </c>
      <c r="F355" s="71">
        <v>0</v>
      </c>
      <c r="G355" s="68">
        <f t="shared" si="189"/>
        <v>1</v>
      </c>
      <c r="H355" s="68">
        <f t="shared" si="190"/>
        <v>0</v>
      </c>
      <c r="I355" s="68">
        <f t="shared" si="191"/>
        <v>0</v>
      </c>
      <c r="J355" s="74">
        <f t="shared" si="169"/>
        <v>2</v>
      </c>
      <c r="K355" s="62"/>
    </row>
    <row r="356" spans="1:18" x14ac:dyDescent="0.25">
      <c r="A356" s="3"/>
      <c r="B356" s="40"/>
      <c r="C356" s="40"/>
      <c r="D356" s="72"/>
      <c r="E356" s="72"/>
      <c r="F356" s="72"/>
      <c r="G356" s="69" t="str">
        <f t="shared" si="189"/>
        <v/>
      </c>
      <c r="H356" s="69" t="str">
        <f t="shared" si="190"/>
        <v/>
      </c>
      <c r="I356" s="69" t="str">
        <f t="shared" si="191"/>
        <v/>
      </c>
      <c r="J356" s="75" t="str">
        <f t="shared" si="169"/>
        <v/>
      </c>
      <c r="K356" s="63"/>
    </row>
    <row r="357" spans="1:18" x14ac:dyDescent="0.25">
      <c r="A357" s="2" t="s">
        <v>9</v>
      </c>
      <c r="B357" s="37" t="s">
        <v>282</v>
      </c>
      <c r="C357" s="37"/>
      <c r="D357" s="71">
        <v>0</v>
      </c>
      <c r="E357" s="71">
        <v>1</v>
      </c>
      <c r="F357" s="71">
        <v>1</v>
      </c>
      <c r="G357" s="68">
        <f t="shared" si="189"/>
        <v>0</v>
      </c>
      <c r="H357" s="68">
        <f t="shared" si="190"/>
        <v>0</v>
      </c>
      <c r="I357" s="68">
        <f t="shared" si="191"/>
        <v>1</v>
      </c>
      <c r="J357" s="74">
        <f t="shared" si="169"/>
        <v>2</v>
      </c>
      <c r="K357" s="62"/>
    </row>
    <row r="358" spans="1:18" x14ac:dyDescent="0.25">
      <c r="A358" s="2"/>
      <c r="B358" s="37"/>
      <c r="C358" s="37"/>
      <c r="D358" s="71"/>
      <c r="E358" s="71"/>
      <c r="F358" s="71"/>
      <c r="G358" s="68"/>
      <c r="H358" s="68"/>
      <c r="I358" s="68"/>
      <c r="J358" s="74"/>
      <c r="K358" s="62"/>
    </row>
    <row r="359" spans="1:18" x14ac:dyDescent="0.25">
      <c r="A359" s="3"/>
      <c r="B359" s="40"/>
      <c r="C359" s="40"/>
      <c r="D359" s="72"/>
      <c r="E359" s="72"/>
      <c r="F359" s="72"/>
      <c r="G359" s="69" t="str">
        <f t="shared" si="189"/>
        <v/>
      </c>
      <c r="H359" s="69" t="str">
        <f t="shared" si="190"/>
        <v/>
      </c>
      <c r="I359" s="69" t="str">
        <f t="shared" si="191"/>
        <v/>
      </c>
      <c r="J359" s="75" t="str">
        <f t="shared" si="169"/>
        <v/>
      </c>
      <c r="K359" s="63"/>
    </row>
    <row r="360" spans="1:18" x14ac:dyDescent="0.25">
      <c r="A360" s="2" t="s">
        <v>1224</v>
      </c>
      <c r="B360" s="39" t="s">
        <v>1370</v>
      </c>
      <c r="C360" s="39"/>
      <c r="D360" s="71">
        <v>1</v>
      </c>
      <c r="E360" s="71"/>
      <c r="F360" s="71"/>
      <c r="G360" s="68">
        <f t="shared" si="189"/>
        <v>0</v>
      </c>
      <c r="H360" s="68">
        <f t="shared" si="190"/>
        <v>0</v>
      </c>
      <c r="I360" s="68">
        <f t="shared" si="191"/>
        <v>0</v>
      </c>
      <c r="J360" s="74">
        <f t="shared" ref="J360:J362" si="198">IF(B360="","",SUM(D360:F360))</f>
        <v>1</v>
      </c>
      <c r="K360" s="62"/>
    </row>
    <row r="361" spans="1:18" x14ac:dyDescent="0.25">
      <c r="A361" s="2"/>
      <c r="B361" s="37"/>
      <c r="C361" s="37"/>
      <c r="D361" s="71"/>
      <c r="E361" s="71">
        <v>1</v>
      </c>
      <c r="F361" s="71"/>
      <c r="G361" s="68" t="str">
        <f t="shared" si="189"/>
        <v/>
      </c>
      <c r="H361" s="68" t="str">
        <f t="shared" si="190"/>
        <v/>
      </c>
      <c r="I361" s="68" t="str">
        <f t="shared" si="191"/>
        <v/>
      </c>
      <c r="J361" s="74" t="str">
        <f t="shared" si="198"/>
        <v/>
      </c>
      <c r="K361" s="62"/>
    </row>
    <row r="362" spans="1:18" x14ac:dyDescent="0.25">
      <c r="A362" s="3"/>
      <c r="B362" s="39"/>
      <c r="C362" s="39"/>
      <c r="D362" s="72"/>
      <c r="E362" s="72"/>
      <c r="F362" s="72">
        <v>1</v>
      </c>
      <c r="G362" s="69" t="str">
        <f t="shared" si="189"/>
        <v/>
      </c>
      <c r="H362" s="69" t="str">
        <f t="shared" si="190"/>
        <v/>
      </c>
      <c r="I362" s="69" t="str">
        <f t="shared" si="191"/>
        <v/>
      </c>
      <c r="J362" s="75" t="str">
        <f t="shared" si="198"/>
        <v/>
      </c>
      <c r="K362" s="63"/>
    </row>
    <row r="364" spans="1:18" x14ac:dyDescent="0.25">
      <c r="A364" s="81">
        <v>19</v>
      </c>
      <c r="B364" s="49" t="s">
        <v>1136</v>
      </c>
      <c r="C364" s="31" t="s">
        <v>1415</v>
      </c>
      <c r="D364" s="76"/>
      <c r="E364" s="66"/>
      <c r="F364" s="66"/>
      <c r="G364" s="66"/>
      <c r="H364" s="66"/>
      <c r="I364" s="66"/>
      <c r="J364" s="60"/>
      <c r="K364" s="60"/>
    </row>
    <row r="365" spans="1:18" x14ac:dyDescent="0.25">
      <c r="A365" s="4" t="s">
        <v>6</v>
      </c>
      <c r="B365" s="37" t="s">
        <v>169</v>
      </c>
      <c r="C365" s="37"/>
      <c r="D365" s="70">
        <v>1</v>
      </c>
      <c r="E365" s="70">
        <v>1</v>
      </c>
      <c r="F365" s="70">
        <v>1</v>
      </c>
      <c r="G365" s="67">
        <f t="shared" ref="G365:G382" si="199">IF(B365="","",IF( AND(D365=1, E365=1),1,0))</f>
        <v>1</v>
      </c>
      <c r="H365" s="67">
        <f t="shared" ref="H365:H382" si="200">IF(B365="","",IF(AND(D365=1,F365=1),1,0))</f>
        <v>1</v>
      </c>
      <c r="I365" s="67">
        <f t="shared" ref="I365:I382" si="201">IF(B365="","",IF(AND(E365=1,F365=1),1,0))</f>
        <v>1</v>
      </c>
      <c r="J365" s="73">
        <f t="shared" ref="J365" si="202">IF(B365="","",SUM(D365:F365))</f>
        <v>3</v>
      </c>
      <c r="K365" s="61"/>
      <c r="M365" s="7">
        <f t="shared" ref="M365" si="203">SUM(G365:I365)/3</f>
        <v>1</v>
      </c>
      <c r="N365" s="6">
        <f t="shared" ref="N365" si="204">SUM(G368:I368)/3</f>
        <v>1</v>
      </c>
      <c r="O365" s="7">
        <f t="shared" ref="O365" si="205">SUM(G371:I371)/3</f>
        <v>1</v>
      </c>
      <c r="P365" s="6">
        <f t="shared" ref="P365" si="206">SUM(G374:I374)/3</f>
        <v>0.33333333333333331</v>
      </c>
      <c r="Q365" s="7">
        <f t="shared" ref="Q365:R365" si="207">SUM(G377:I377)/3</f>
        <v>0.33333333333333331</v>
      </c>
      <c r="R365" s="7">
        <f t="shared" si="207"/>
        <v>1</v>
      </c>
    </row>
    <row r="366" spans="1:18" x14ac:dyDescent="0.25">
      <c r="A366" s="2"/>
      <c r="B366" s="37"/>
      <c r="C366" s="37"/>
      <c r="D366" s="71"/>
      <c r="E366" s="71"/>
      <c r="F366" s="71"/>
      <c r="G366" s="68" t="str">
        <f t="shared" si="199"/>
        <v/>
      </c>
      <c r="H366" s="68" t="str">
        <f t="shared" si="200"/>
        <v/>
      </c>
      <c r="I366" s="68" t="str">
        <f t="shared" si="201"/>
        <v/>
      </c>
      <c r="J366" s="74" t="str">
        <f t="shared" si="169"/>
        <v/>
      </c>
      <c r="K366" s="62"/>
    </row>
    <row r="367" spans="1:18" x14ac:dyDescent="0.25">
      <c r="A367" s="3"/>
      <c r="B367" s="42"/>
      <c r="C367" s="42"/>
      <c r="D367" s="72"/>
      <c r="E367" s="72"/>
      <c r="F367" s="72"/>
      <c r="G367" s="69" t="str">
        <f t="shared" si="199"/>
        <v/>
      </c>
      <c r="H367" s="69" t="str">
        <f t="shared" si="200"/>
        <v/>
      </c>
      <c r="I367" s="69" t="str">
        <f t="shared" si="201"/>
        <v/>
      </c>
      <c r="J367" s="75" t="str">
        <f t="shared" si="169"/>
        <v/>
      </c>
      <c r="K367" s="63"/>
    </row>
    <row r="368" spans="1:18" x14ac:dyDescent="0.25">
      <c r="A368" s="4" t="s">
        <v>5</v>
      </c>
      <c r="B368" s="33" t="s">
        <v>23</v>
      </c>
      <c r="C368" s="33"/>
      <c r="D368" s="70">
        <v>1</v>
      </c>
      <c r="E368" s="70">
        <v>1</v>
      </c>
      <c r="F368" s="70">
        <v>1</v>
      </c>
      <c r="G368" s="67">
        <f t="shared" si="199"/>
        <v>1</v>
      </c>
      <c r="H368" s="67">
        <f t="shared" si="200"/>
        <v>1</v>
      </c>
      <c r="I368" s="67">
        <f t="shared" si="201"/>
        <v>1</v>
      </c>
      <c r="J368" s="73">
        <f t="shared" si="169"/>
        <v>3</v>
      </c>
      <c r="K368" s="61"/>
    </row>
    <row r="369" spans="1:11" x14ac:dyDescent="0.25">
      <c r="A369" s="2"/>
      <c r="B369" s="37"/>
      <c r="C369" s="37"/>
      <c r="D369" s="71"/>
      <c r="E369" s="71"/>
      <c r="F369" s="71"/>
      <c r="G369" s="68" t="str">
        <f t="shared" si="199"/>
        <v/>
      </c>
      <c r="H369" s="68" t="str">
        <f t="shared" si="200"/>
        <v/>
      </c>
      <c r="I369" s="68" t="str">
        <f t="shared" si="201"/>
        <v/>
      </c>
      <c r="J369" s="74" t="str">
        <f t="shared" si="169"/>
        <v/>
      </c>
      <c r="K369" s="62"/>
    </row>
    <row r="370" spans="1:11" x14ac:dyDescent="0.25">
      <c r="A370" s="3"/>
      <c r="B370" s="40"/>
      <c r="C370" s="37"/>
      <c r="D370" s="71"/>
      <c r="E370" s="71"/>
      <c r="F370" s="71"/>
      <c r="G370" s="69" t="str">
        <f t="shared" si="199"/>
        <v/>
      </c>
      <c r="H370" s="69" t="str">
        <f t="shared" si="200"/>
        <v/>
      </c>
      <c r="I370" s="69" t="str">
        <f t="shared" si="201"/>
        <v/>
      </c>
      <c r="J370" s="75" t="str">
        <f t="shared" si="169"/>
        <v/>
      </c>
      <c r="K370" s="63"/>
    </row>
    <row r="371" spans="1:11" x14ac:dyDescent="0.25">
      <c r="A371" s="4" t="s">
        <v>7</v>
      </c>
      <c r="B371" s="33" t="s">
        <v>1105</v>
      </c>
      <c r="C371" s="33"/>
      <c r="D371" s="70">
        <v>1</v>
      </c>
      <c r="E371" s="70">
        <v>1</v>
      </c>
      <c r="F371" s="70">
        <v>1</v>
      </c>
      <c r="G371" s="67">
        <f t="shared" si="199"/>
        <v>1</v>
      </c>
      <c r="H371" s="67">
        <f t="shared" si="200"/>
        <v>1</v>
      </c>
      <c r="I371" s="67">
        <f t="shared" si="201"/>
        <v>1</v>
      </c>
      <c r="J371" s="73">
        <f t="shared" si="169"/>
        <v>3</v>
      </c>
      <c r="K371" s="61"/>
    </row>
    <row r="372" spans="1:11" x14ac:dyDescent="0.25">
      <c r="A372" s="2"/>
      <c r="B372" s="37"/>
      <c r="C372" s="37"/>
      <c r="D372" s="71"/>
      <c r="E372" s="71"/>
      <c r="F372" s="71"/>
      <c r="G372" s="68" t="str">
        <f t="shared" si="199"/>
        <v/>
      </c>
      <c r="H372" s="68" t="str">
        <f t="shared" si="200"/>
        <v/>
      </c>
      <c r="I372" s="68" t="str">
        <f t="shared" si="201"/>
        <v/>
      </c>
      <c r="J372" s="74" t="str">
        <f t="shared" si="169"/>
        <v/>
      </c>
      <c r="K372" s="62"/>
    </row>
    <row r="373" spans="1:11" x14ac:dyDescent="0.25">
      <c r="A373" s="3"/>
      <c r="B373" s="40"/>
      <c r="C373" s="40"/>
      <c r="D373" s="72"/>
      <c r="E373" s="72"/>
      <c r="F373" s="72"/>
      <c r="G373" s="69" t="str">
        <f t="shared" si="199"/>
        <v/>
      </c>
      <c r="H373" s="69" t="str">
        <f t="shared" si="200"/>
        <v/>
      </c>
      <c r="I373" s="69" t="str">
        <f t="shared" si="201"/>
        <v/>
      </c>
      <c r="J373" s="75" t="str">
        <f t="shared" si="169"/>
        <v/>
      </c>
      <c r="K373" s="63"/>
    </row>
    <row r="374" spans="1:11" x14ac:dyDescent="0.25">
      <c r="A374" s="4" t="s">
        <v>8</v>
      </c>
      <c r="B374" s="37" t="s">
        <v>168</v>
      </c>
      <c r="C374" s="37"/>
      <c r="D374" s="70">
        <v>1</v>
      </c>
      <c r="E374" s="70">
        <v>0</v>
      </c>
      <c r="F374" s="70">
        <v>1</v>
      </c>
      <c r="G374" s="67">
        <f t="shared" si="199"/>
        <v>0</v>
      </c>
      <c r="H374" s="67">
        <f t="shared" si="200"/>
        <v>1</v>
      </c>
      <c r="I374" s="67">
        <f t="shared" si="201"/>
        <v>0</v>
      </c>
      <c r="J374" s="73">
        <f t="shared" si="169"/>
        <v>2</v>
      </c>
      <c r="K374" s="61"/>
    </row>
    <row r="375" spans="1:11" x14ac:dyDescent="0.25">
      <c r="A375" s="2"/>
      <c r="B375" s="37" t="s">
        <v>217</v>
      </c>
      <c r="C375" s="37"/>
      <c r="D375" s="71">
        <v>0</v>
      </c>
      <c r="E375" s="71">
        <v>1</v>
      </c>
      <c r="F375" s="71">
        <v>1</v>
      </c>
      <c r="G375" s="68">
        <f t="shared" si="199"/>
        <v>0</v>
      </c>
      <c r="H375" s="68">
        <f t="shared" si="200"/>
        <v>0</v>
      </c>
      <c r="I375" s="68">
        <f t="shared" si="201"/>
        <v>1</v>
      </c>
      <c r="J375" s="74">
        <f t="shared" si="169"/>
        <v>2</v>
      </c>
      <c r="K375" s="62"/>
    </row>
    <row r="376" spans="1:11" x14ac:dyDescent="0.25">
      <c r="A376" s="3"/>
      <c r="B376" s="40"/>
      <c r="C376" s="40"/>
      <c r="D376" s="72"/>
      <c r="E376" s="72"/>
      <c r="F376" s="72"/>
      <c r="G376" s="69" t="str">
        <f t="shared" si="199"/>
        <v/>
      </c>
      <c r="H376" s="69" t="str">
        <f t="shared" si="200"/>
        <v/>
      </c>
      <c r="I376" s="69" t="str">
        <f t="shared" si="201"/>
        <v/>
      </c>
      <c r="J376" s="75" t="str">
        <f t="shared" si="169"/>
        <v/>
      </c>
      <c r="K376" s="63"/>
    </row>
    <row r="377" spans="1:11" x14ac:dyDescent="0.25">
      <c r="A377" s="2" t="s">
        <v>9</v>
      </c>
      <c r="B377" s="37" t="s">
        <v>218</v>
      </c>
      <c r="C377" s="37"/>
      <c r="D377" s="71">
        <v>0</v>
      </c>
      <c r="E377" s="71">
        <v>1</v>
      </c>
      <c r="F377" s="71">
        <v>1</v>
      </c>
      <c r="G377" s="68">
        <f t="shared" si="199"/>
        <v>0</v>
      </c>
      <c r="H377" s="68">
        <f t="shared" si="200"/>
        <v>0</v>
      </c>
      <c r="I377" s="68">
        <f t="shared" si="201"/>
        <v>1</v>
      </c>
      <c r="J377" s="74">
        <f t="shared" si="169"/>
        <v>2</v>
      </c>
      <c r="K377" s="62"/>
    </row>
    <row r="378" spans="1:11" x14ac:dyDescent="0.25">
      <c r="A378" s="2"/>
      <c r="B378" s="37"/>
      <c r="C378" s="37"/>
      <c r="D378" s="71"/>
      <c r="E378" s="71"/>
      <c r="F378" s="71"/>
      <c r="G378" s="68" t="str">
        <f t="shared" si="199"/>
        <v/>
      </c>
      <c r="H378" s="68" t="str">
        <f t="shared" si="200"/>
        <v/>
      </c>
      <c r="I378" s="68" t="str">
        <f t="shared" si="201"/>
        <v/>
      </c>
      <c r="J378" s="74" t="str">
        <f t="shared" si="169"/>
        <v/>
      </c>
      <c r="K378" s="62"/>
    </row>
    <row r="379" spans="1:11" x14ac:dyDescent="0.25">
      <c r="A379" s="3"/>
      <c r="B379" s="40"/>
      <c r="C379" s="40"/>
      <c r="D379" s="72"/>
      <c r="E379" s="72"/>
      <c r="F379" s="72"/>
      <c r="G379" s="69" t="str">
        <f t="shared" si="199"/>
        <v/>
      </c>
      <c r="H379" s="69" t="str">
        <f t="shared" si="200"/>
        <v/>
      </c>
      <c r="I379" s="69" t="str">
        <f t="shared" si="201"/>
        <v/>
      </c>
      <c r="J379" s="75" t="str">
        <f t="shared" si="169"/>
        <v/>
      </c>
      <c r="K379" s="63"/>
    </row>
    <row r="380" spans="1:11" x14ac:dyDescent="0.25">
      <c r="A380" s="2" t="s">
        <v>1224</v>
      </c>
      <c r="B380" s="37" t="s">
        <v>287</v>
      </c>
      <c r="C380" s="37"/>
      <c r="D380" s="71">
        <v>1</v>
      </c>
      <c r="E380" s="71">
        <v>1</v>
      </c>
      <c r="F380" s="71">
        <v>1</v>
      </c>
      <c r="G380" s="68">
        <f t="shared" si="199"/>
        <v>1</v>
      </c>
      <c r="H380" s="68">
        <f t="shared" si="200"/>
        <v>1</v>
      </c>
      <c r="I380" s="68">
        <f t="shared" si="201"/>
        <v>1</v>
      </c>
      <c r="J380" s="74">
        <f t="shared" si="169"/>
        <v>3</v>
      </c>
      <c r="K380" s="62"/>
    </row>
    <row r="381" spans="1:11" x14ac:dyDescent="0.25">
      <c r="A381" s="2"/>
      <c r="B381" s="37" t="s">
        <v>655</v>
      </c>
      <c r="C381" s="37"/>
      <c r="D381" s="71"/>
      <c r="E381" s="71"/>
      <c r="F381" s="71"/>
      <c r="G381" s="68">
        <f t="shared" si="199"/>
        <v>0</v>
      </c>
      <c r="H381" s="68">
        <f t="shared" si="200"/>
        <v>0</v>
      </c>
      <c r="I381" s="68">
        <f t="shared" si="201"/>
        <v>0</v>
      </c>
      <c r="J381" s="74">
        <f t="shared" si="169"/>
        <v>0</v>
      </c>
      <c r="K381" s="62"/>
    </row>
    <row r="382" spans="1:11" x14ac:dyDescent="0.25">
      <c r="A382" s="3"/>
      <c r="B382" s="39" t="s">
        <v>1371</v>
      </c>
      <c r="C382" s="39"/>
      <c r="D382" s="72"/>
      <c r="E382" s="72"/>
      <c r="F382" s="72"/>
      <c r="G382" s="69">
        <f t="shared" si="199"/>
        <v>0</v>
      </c>
      <c r="H382" s="69">
        <f t="shared" si="200"/>
        <v>0</v>
      </c>
      <c r="I382" s="69">
        <f t="shared" si="201"/>
        <v>0</v>
      </c>
      <c r="J382" s="75">
        <f t="shared" si="169"/>
        <v>0</v>
      </c>
      <c r="K382" s="63"/>
    </row>
    <row r="384" spans="1:11" x14ac:dyDescent="0.25">
      <c r="A384" s="81">
        <v>20</v>
      </c>
      <c r="B384" s="49" t="s">
        <v>1137</v>
      </c>
      <c r="C384" s="31" t="s">
        <v>1416</v>
      </c>
      <c r="D384" s="76"/>
      <c r="E384" s="66"/>
      <c r="F384" s="66"/>
      <c r="G384" s="66"/>
      <c r="H384" s="66"/>
      <c r="I384" s="66"/>
      <c r="J384" s="60"/>
      <c r="K384" s="60"/>
    </row>
    <row r="385" spans="1:18" x14ac:dyDescent="0.25">
      <c r="A385" s="4" t="s">
        <v>6</v>
      </c>
      <c r="B385" s="37" t="s">
        <v>170</v>
      </c>
      <c r="C385" s="37"/>
      <c r="D385" s="70">
        <v>1</v>
      </c>
      <c r="E385" s="70">
        <v>1</v>
      </c>
      <c r="F385" s="70">
        <v>1</v>
      </c>
      <c r="G385" s="67">
        <f t="shared" ref="G385:G402" si="208">IF(B385="","",IF( AND(D385=1, E385=1),1,0))</f>
        <v>1</v>
      </c>
      <c r="H385" s="67">
        <f t="shared" ref="H385:H402" si="209">IF(B385="","",IF(AND(D385=1,F385=1),1,0))</f>
        <v>1</v>
      </c>
      <c r="I385" s="67">
        <f t="shared" ref="I385:I402" si="210">IF(B385="","",IF(AND(E385=1,F385=1),1,0))</f>
        <v>1</v>
      </c>
      <c r="J385" s="73">
        <f t="shared" ref="J385" si="211">IF(B385="","",SUM(D385:F385))</f>
        <v>3</v>
      </c>
      <c r="K385" s="61"/>
      <c r="M385" s="7">
        <f t="shared" ref="M385" si="212">SUM(G385:I385)/3</f>
        <v>1</v>
      </c>
      <c r="N385" s="6">
        <f t="shared" ref="N385" si="213">SUM(G388:I388)/3</f>
        <v>1</v>
      </c>
      <c r="O385" s="7">
        <f t="shared" ref="O385" si="214">SUM(G391:I391)/3</f>
        <v>1</v>
      </c>
      <c r="P385" s="6">
        <f t="shared" ref="P385" si="215">SUM(G394:I394)/3</f>
        <v>1</v>
      </c>
      <c r="Q385" s="7">
        <f t="shared" ref="Q385" si="216">SUM(G397:I397)/3</f>
        <v>0</v>
      </c>
      <c r="R385" s="7">
        <f>SUM(G400:I400)/3</f>
        <v>1</v>
      </c>
    </row>
    <row r="386" spans="1:18" x14ac:dyDescent="0.25">
      <c r="A386" s="2"/>
      <c r="B386" s="37"/>
      <c r="C386" s="37"/>
      <c r="D386" s="71"/>
      <c r="E386" s="71"/>
      <c r="F386" s="71"/>
      <c r="G386" s="68" t="str">
        <f t="shared" si="208"/>
        <v/>
      </c>
      <c r="H386" s="68" t="str">
        <f t="shared" si="209"/>
        <v/>
      </c>
      <c r="I386" s="68" t="str">
        <f t="shared" si="210"/>
        <v/>
      </c>
      <c r="J386" s="74" t="str">
        <f t="shared" si="169"/>
        <v/>
      </c>
      <c r="K386" s="62"/>
    </row>
    <row r="387" spans="1:18" x14ac:dyDescent="0.25">
      <c r="A387" s="3"/>
      <c r="B387" s="42"/>
      <c r="C387" s="42"/>
      <c r="D387" s="72"/>
      <c r="E387" s="72"/>
      <c r="F387" s="72"/>
      <c r="G387" s="69" t="str">
        <f t="shared" si="208"/>
        <v/>
      </c>
      <c r="H387" s="69" t="str">
        <f t="shared" si="209"/>
        <v/>
      </c>
      <c r="I387" s="69" t="str">
        <f t="shared" si="210"/>
        <v/>
      </c>
      <c r="J387" s="75" t="str">
        <f t="shared" si="169"/>
        <v/>
      </c>
      <c r="K387" s="63"/>
    </row>
    <row r="388" spans="1:18" x14ac:dyDescent="0.25">
      <c r="A388" s="4" t="s">
        <v>5</v>
      </c>
      <c r="B388" s="33" t="s">
        <v>288</v>
      </c>
      <c r="C388" s="33"/>
      <c r="D388" s="70">
        <v>1</v>
      </c>
      <c r="E388" s="70">
        <v>1</v>
      </c>
      <c r="F388" s="70">
        <v>1</v>
      </c>
      <c r="G388" s="67">
        <f t="shared" si="208"/>
        <v>1</v>
      </c>
      <c r="H388" s="67">
        <f t="shared" si="209"/>
        <v>1</v>
      </c>
      <c r="I388" s="67">
        <f t="shared" si="210"/>
        <v>1</v>
      </c>
      <c r="J388" s="73">
        <f t="shared" si="169"/>
        <v>3</v>
      </c>
      <c r="K388" s="61"/>
    </row>
    <row r="389" spans="1:18" x14ac:dyDescent="0.25">
      <c r="A389" s="2"/>
      <c r="B389" s="37"/>
      <c r="C389" s="37"/>
      <c r="D389" s="71"/>
      <c r="E389" s="71"/>
      <c r="F389" s="71"/>
      <c r="G389" s="68" t="str">
        <f t="shared" si="208"/>
        <v/>
      </c>
      <c r="H389" s="68" t="str">
        <f t="shared" si="209"/>
        <v/>
      </c>
      <c r="I389" s="68" t="str">
        <f t="shared" si="210"/>
        <v/>
      </c>
      <c r="J389" s="74" t="str">
        <f t="shared" si="169"/>
        <v/>
      </c>
      <c r="K389" s="62"/>
    </row>
    <row r="390" spans="1:18" x14ac:dyDescent="0.25">
      <c r="A390" s="3"/>
      <c r="B390" s="40"/>
      <c r="C390" s="37"/>
      <c r="D390" s="71"/>
      <c r="E390" s="71"/>
      <c r="F390" s="71"/>
      <c r="G390" s="69" t="str">
        <f t="shared" si="208"/>
        <v/>
      </c>
      <c r="H390" s="69" t="str">
        <f t="shared" si="209"/>
        <v/>
      </c>
      <c r="I390" s="69" t="str">
        <f t="shared" si="210"/>
        <v/>
      </c>
      <c r="J390" s="75" t="str">
        <f t="shared" si="169"/>
        <v/>
      </c>
      <c r="K390" s="63"/>
    </row>
    <row r="391" spans="1:18" x14ac:dyDescent="0.25">
      <c r="A391" s="4" t="s">
        <v>7</v>
      </c>
      <c r="B391" s="33" t="s">
        <v>1105</v>
      </c>
      <c r="C391" s="33"/>
      <c r="D391" s="70">
        <v>1</v>
      </c>
      <c r="E391" s="70">
        <v>1</v>
      </c>
      <c r="F391" s="70">
        <v>1</v>
      </c>
      <c r="G391" s="67">
        <f t="shared" si="208"/>
        <v>1</v>
      </c>
      <c r="H391" s="67">
        <f t="shared" si="209"/>
        <v>1</v>
      </c>
      <c r="I391" s="67">
        <f t="shared" si="210"/>
        <v>1</v>
      </c>
      <c r="J391" s="73">
        <f t="shared" si="169"/>
        <v>3</v>
      </c>
      <c r="K391" s="61"/>
    </row>
    <row r="392" spans="1:18" x14ac:dyDescent="0.25">
      <c r="A392" s="2"/>
      <c r="B392" s="37"/>
      <c r="C392" s="37"/>
      <c r="D392" s="71"/>
      <c r="E392" s="71"/>
      <c r="F392" s="71"/>
      <c r="G392" s="68" t="str">
        <f t="shared" si="208"/>
        <v/>
      </c>
      <c r="H392" s="68" t="str">
        <f t="shared" si="209"/>
        <v/>
      </c>
      <c r="I392" s="68" t="str">
        <f t="shared" si="210"/>
        <v/>
      </c>
      <c r="J392" s="74" t="str">
        <f t="shared" si="169"/>
        <v/>
      </c>
      <c r="K392" s="62"/>
    </row>
    <row r="393" spans="1:18" x14ac:dyDescent="0.25">
      <c r="A393" s="3"/>
      <c r="B393" s="40"/>
      <c r="C393" s="40"/>
      <c r="D393" s="72"/>
      <c r="E393" s="72"/>
      <c r="F393" s="72"/>
      <c r="G393" s="69" t="str">
        <f t="shared" si="208"/>
        <v/>
      </c>
      <c r="H393" s="69" t="str">
        <f t="shared" si="209"/>
        <v/>
      </c>
      <c r="I393" s="69" t="str">
        <f t="shared" si="210"/>
        <v/>
      </c>
      <c r="J393" s="75" t="str">
        <f t="shared" si="169"/>
        <v/>
      </c>
      <c r="K393" s="63"/>
    </row>
    <row r="394" spans="1:18" x14ac:dyDescent="0.25">
      <c r="A394" s="4" t="s">
        <v>8</v>
      </c>
      <c r="B394" s="37" t="s">
        <v>172</v>
      </c>
      <c r="C394" s="37"/>
      <c r="D394" s="70">
        <v>1</v>
      </c>
      <c r="E394" s="70">
        <v>1</v>
      </c>
      <c r="F394" s="70">
        <v>1</v>
      </c>
      <c r="G394" s="67">
        <f t="shared" si="208"/>
        <v>1</v>
      </c>
      <c r="H394" s="67">
        <f t="shared" si="209"/>
        <v>1</v>
      </c>
      <c r="I394" s="67">
        <f t="shared" si="210"/>
        <v>1</v>
      </c>
      <c r="J394" s="73">
        <f t="shared" si="169"/>
        <v>3</v>
      </c>
      <c r="K394" s="61"/>
    </row>
    <row r="395" spans="1:18" x14ac:dyDescent="0.25">
      <c r="A395" s="2"/>
      <c r="B395" s="37"/>
      <c r="C395" s="37"/>
      <c r="D395" s="71"/>
      <c r="E395" s="71"/>
      <c r="F395" s="71"/>
      <c r="G395" s="68" t="str">
        <f t="shared" si="208"/>
        <v/>
      </c>
      <c r="H395" s="68" t="str">
        <f t="shared" si="209"/>
        <v/>
      </c>
      <c r="I395" s="68" t="str">
        <f t="shared" si="210"/>
        <v/>
      </c>
      <c r="J395" s="74" t="str">
        <f t="shared" si="169"/>
        <v/>
      </c>
      <c r="K395" s="62"/>
    </row>
    <row r="396" spans="1:18" x14ac:dyDescent="0.25">
      <c r="A396" s="3"/>
      <c r="B396" s="40"/>
      <c r="C396" s="40"/>
      <c r="D396" s="72"/>
      <c r="E396" s="72"/>
      <c r="F396" s="72"/>
      <c r="G396" s="69" t="str">
        <f t="shared" si="208"/>
        <v/>
      </c>
      <c r="H396" s="69" t="str">
        <f t="shared" si="209"/>
        <v/>
      </c>
      <c r="I396" s="69" t="str">
        <f t="shared" si="210"/>
        <v/>
      </c>
      <c r="J396" s="75" t="str">
        <f t="shared" si="169"/>
        <v/>
      </c>
      <c r="K396" s="63"/>
    </row>
    <row r="397" spans="1:18" x14ac:dyDescent="0.25">
      <c r="A397" s="2" t="s">
        <v>9</v>
      </c>
      <c r="B397" s="37" t="s">
        <v>214</v>
      </c>
      <c r="C397" s="37"/>
      <c r="D397" s="71">
        <v>0</v>
      </c>
      <c r="E397" s="71">
        <v>1</v>
      </c>
      <c r="F397" s="71">
        <v>0</v>
      </c>
      <c r="G397" s="68">
        <f t="shared" si="208"/>
        <v>0</v>
      </c>
      <c r="H397" s="68">
        <f t="shared" si="209"/>
        <v>0</v>
      </c>
      <c r="I397" s="68">
        <f t="shared" si="210"/>
        <v>0</v>
      </c>
      <c r="J397" s="74">
        <f t="shared" si="169"/>
        <v>1</v>
      </c>
      <c r="K397" s="62"/>
    </row>
    <row r="398" spans="1:18" x14ac:dyDescent="0.25">
      <c r="A398" s="2"/>
      <c r="B398" s="37" t="s">
        <v>289</v>
      </c>
      <c r="C398" s="37"/>
      <c r="D398" s="71">
        <v>0</v>
      </c>
      <c r="E398" s="71">
        <v>0</v>
      </c>
      <c r="F398" s="71">
        <v>1</v>
      </c>
      <c r="G398" s="68">
        <f t="shared" si="208"/>
        <v>0</v>
      </c>
      <c r="H398" s="68">
        <f t="shared" si="209"/>
        <v>0</v>
      </c>
      <c r="I398" s="68">
        <f t="shared" si="210"/>
        <v>0</v>
      </c>
      <c r="J398" s="74">
        <f t="shared" ref="J398:J473" si="217">IF(B398="","",SUM(D398:F398))</f>
        <v>1</v>
      </c>
      <c r="K398" s="62"/>
    </row>
    <row r="399" spans="1:18" x14ac:dyDescent="0.25">
      <c r="A399" s="3"/>
      <c r="B399" s="40" t="s">
        <v>1105</v>
      </c>
      <c r="C399" s="40"/>
      <c r="D399" s="72">
        <v>1</v>
      </c>
      <c r="E399" s="72">
        <v>0</v>
      </c>
      <c r="F399" s="72">
        <v>0</v>
      </c>
      <c r="G399" s="69">
        <f t="shared" si="208"/>
        <v>0</v>
      </c>
      <c r="H399" s="69">
        <f t="shared" si="209"/>
        <v>0</v>
      </c>
      <c r="I399" s="69">
        <f t="shared" si="210"/>
        <v>0</v>
      </c>
      <c r="J399" s="75">
        <f t="shared" si="217"/>
        <v>1</v>
      </c>
      <c r="K399" s="63"/>
    </row>
    <row r="400" spans="1:18" x14ac:dyDescent="0.25">
      <c r="A400" s="2" t="s">
        <v>1224</v>
      </c>
      <c r="B400" s="37" t="s">
        <v>1283</v>
      </c>
      <c r="C400" s="37"/>
      <c r="D400" s="71">
        <v>1</v>
      </c>
      <c r="E400" s="71">
        <v>1</v>
      </c>
      <c r="F400" s="71">
        <v>1</v>
      </c>
      <c r="G400" s="68">
        <f t="shared" si="208"/>
        <v>1</v>
      </c>
      <c r="H400" s="68">
        <f t="shared" si="209"/>
        <v>1</v>
      </c>
      <c r="I400" s="68">
        <f t="shared" si="210"/>
        <v>1</v>
      </c>
      <c r="J400" s="74">
        <f t="shared" ref="J400:J402" si="218">IF(B400="","",SUM(D400:F400))</f>
        <v>3</v>
      </c>
      <c r="K400" s="62"/>
    </row>
    <row r="401" spans="1:18" x14ac:dyDescent="0.25">
      <c r="A401" s="2"/>
      <c r="B401" s="37"/>
      <c r="C401" s="37"/>
      <c r="D401" s="71"/>
      <c r="E401" s="71"/>
      <c r="F401" s="71"/>
      <c r="G401" s="68" t="str">
        <f t="shared" si="208"/>
        <v/>
      </c>
      <c r="H401" s="68" t="str">
        <f t="shared" si="209"/>
        <v/>
      </c>
      <c r="I401" s="68" t="str">
        <f t="shared" si="210"/>
        <v/>
      </c>
      <c r="J401" s="74" t="str">
        <f t="shared" si="218"/>
        <v/>
      </c>
      <c r="K401" s="62"/>
    </row>
    <row r="402" spans="1:18" x14ac:dyDescent="0.25">
      <c r="A402" s="3"/>
      <c r="B402" s="40"/>
      <c r="C402" s="40"/>
      <c r="D402" s="72"/>
      <c r="E402" s="72"/>
      <c r="F402" s="72"/>
      <c r="G402" s="69" t="str">
        <f t="shared" si="208"/>
        <v/>
      </c>
      <c r="H402" s="69" t="str">
        <f t="shared" si="209"/>
        <v/>
      </c>
      <c r="I402" s="69" t="str">
        <f t="shared" si="210"/>
        <v/>
      </c>
      <c r="J402" s="75" t="str">
        <f t="shared" si="218"/>
        <v/>
      </c>
      <c r="K402" s="63"/>
    </row>
    <row r="404" spans="1:18" x14ac:dyDescent="0.25">
      <c r="A404" s="81">
        <v>21</v>
      </c>
      <c r="B404" s="49" t="s">
        <v>1138</v>
      </c>
      <c r="C404" s="31" t="s">
        <v>1417</v>
      </c>
      <c r="D404" s="76"/>
      <c r="E404" s="66"/>
      <c r="F404" s="66"/>
      <c r="G404" s="66"/>
      <c r="H404" s="66"/>
      <c r="I404" s="66"/>
      <c r="J404" s="60"/>
      <c r="K404" s="60"/>
    </row>
    <row r="405" spans="1:18" x14ac:dyDescent="0.25">
      <c r="A405" s="4" t="s">
        <v>6</v>
      </c>
      <c r="B405" s="37" t="s">
        <v>171</v>
      </c>
      <c r="C405" s="37"/>
      <c r="D405" s="70">
        <v>1</v>
      </c>
      <c r="E405" s="70">
        <v>1</v>
      </c>
      <c r="F405" s="70">
        <v>1</v>
      </c>
      <c r="G405" s="67">
        <f t="shared" ref="G405:G422" si="219">IF(B405="","",IF( AND(D405=1, E405=1),1,0))</f>
        <v>1</v>
      </c>
      <c r="H405" s="67">
        <f t="shared" ref="H405:H422" si="220">IF(B405="","",IF(AND(D405=1,F405=1),1,0))</f>
        <v>1</v>
      </c>
      <c r="I405" s="67">
        <f t="shared" ref="I405:I422" si="221">IF(B405="","",IF(AND(E405=1,F405=1),1,0))</f>
        <v>1</v>
      </c>
      <c r="J405" s="73">
        <f t="shared" ref="J405" si="222">IF(B405="","",SUM(D405:F405))</f>
        <v>3</v>
      </c>
      <c r="K405" s="61"/>
      <c r="M405" s="7">
        <f t="shared" ref="M405" si="223">SUM(G405:I405)/3</f>
        <v>1</v>
      </c>
      <c r="N405" s="6">
        <f t="shared" ref="N405" si="224">SUM(G408:I408)/3</f>
        <v>1</v>
      </c>
      <c r="O405" s="7">
        <f t="shared" ref="O405" si="225">SUM(G411:I411)/3</f>
        <v>0.33333333333333331</v>
      </c>
      <c r="P405" s="6">
        <f t="shared" ref="P405" si="226">SUM(G414:I414)/3</f>
        <v>1</v>
      </c>
      <c r="Q405" s="7">
        <f t="shared" ref="Q405" si="227">SUM(G417:I417)/3</f>
        <v>0.33333333333333331</v>
      </c>
      <c r="R405" s="7">
        <f>SUM(G420:I420)/3</f>
        <v>0</v>
      </c>
    </row>
    <row r="406" spans="1:18" x14ac:dyDescent="0.25">
      <c r="A406" s="2"/>
      <c r="B406" s="37"/>
      <c r="C406" s="37"/>
      <c r="D406" s="71"/>
      <c r="E406" s="71"/>
      <c r="F406" s="71"/>
      <c r="G406" s="68" t="str">
        <f t="shared" si="219"/>
        <v/>
      </c>
      <c r="H406" s="68" t="str">
        <f t="shared" si="220"/>
        <v/>
      </c>
      <c r="I406" s="68" t="str">
        <f t="shared" si="221"/>
        <v/>
      </c>
      <c r="J406" s="74" t="str">
        <f t="shared" si="217"/>
        <v/>
      </c>
      <c r="K406" s="62"/>
    </row>
    <row r="407" spans="1:18" x14ac:dyDescent="0.25">
      <c r="A407" s="3"/>
      <c r="B407" s="42"/>
      <c r="C407" s="42"/>
      <c r="D407" s="72"/>
      <c r="E407" s="72"/>
      <c r="F407" s="72"/>
      <c r="G407" s="69" t="str">
        <f t="shared" si="219"/>
        <v/>
      </c>
      <c r="H407" s="69" t="str">
        <f t="shared" si="220"/>
        <v/>
      </c>
      <c r="I407" s="69" t="str">
        <f t="shared" si="221"/>
        <v/>
      </c>
      <c r="J407" s="75" t="str">
        <f t="shared" si="217"/>
        <v/>
      </c>
      <c r="K407" s="63"/>
    </row>
    <row r="408" spans="1:18" x14ac:dyDescent="0.25">
      <c r="A408" s="4" t="s">
        <v>5</v>
      </c>
      <c r="B408" s="33" t="s">
        <v>1105</v>
      </c>
      <c r="C408" s="33"/>
      <c r="D408" s="70">
        <v>1</v>
      </c>
      <c r="E408" s="70">
        <v>1</v>
      </c>
      <c r="F408" s="70">
        <v>1</v>
      </c>
      <c r="G408" s="67">
        <f t="shared" si="219"/>
        <v>1</v>
      </c>
      <c r="H408" s="67">
        <f t="shared" si="220"/>
        <v>1</v>
      </c>
      <c r="I408" s="67">
        <f t="shared" si="221"/>
        <v>1</v>
      </c>
      <c r="J408" s="73">
        <f t="shared" si="217"/>
        <v>3</v>
      </c>
      <c r="K408" s="61"/>
    </row>
    <row r="409" spans="1:18" x14ac:dyDescent="0.25">
      <c r="A409" s="2"/>
      <c r="B409" s="37"/>
      <c r="C409" s="37"/>
      <c r="D409" s="71"/>
      <c r="E409" s="71"/>
      <c r="F409" s="71"/>
      <c r="G409" s="68" t="str">
        <f t="shared" si="219"/>
        <v/>
      </c>
      <c r="H409" s="68" t="str">
        <f t="shared" si="220"/>
        <v/>
      </c>
      <c r="I409" s="68" t="str">
        <f t="shared" si="221"/>
        <v/>
      </c>
      <c r="J409" s="74" t="str">
        <f t="shared" si="217"/>
        <v/>
      </c>
      <c r="K409" s="62"/>
    </row>
    <row r="410" spans="1:18" x14ac:dyDescent="0.25">
      <c r="A410" s="3"/>
      <c r="B410" s="40"/>
      <c r="C410" s="37"/>
      <c r="D410" s="71"/>
      <c r="E410" s="71"/>
      <c r="F410" s="71"/>
      <c r="G410" s="69" t="str">
        <f t="shared" si="219"/>
        <v/>
      </c>
      <c r="H410" s="69" t="str">
        <f t="shared" si="220"/>
        <v/>
      </c>
      <c r="I410" s="69" t="str">
        <f t="shared" si="221"/>
        <v/>
      </c>
      <c r="J410" s="75" t="str">
        <f t="shared" si="217"/>
        <v/>
      </c>
      <c r="K410" s="63"/>
    </row>
    <row r="411" spans="1:18" x14ac:dyDescent="0.25">
      <c r="A411" s="4" t="s">
        <v>7</v>
      </c>
      <c r="B411" s="33" t="s">
        <v>1105</v>
      </c>
      <c r="C411" s="33"/>
      <c r="D411" s="70">
        <v>1</v>
      </c>
      <c r="E411" s="70">
        <v>0</v>
      </c>
      <c r="F411" s="70">
        <v>1</v>
      </c>
      <c r="G411" s="67">
        <f t="shared" si="219"/>
        <v>0</v>
      </c>
      <c r="H411" s="67">
        <f t="shared" si="220"/>
        <v>1</v>
      </c>
      <c r="I411" s="67">
        <f t="shared" si="221"/>
        <v>0</v>
      </c>
      <c r="J411" s="73">
        <f t="shared" si="217"/>
        <v>2</v>
      </c>
      <c r="K411" s="61"/>
    </row>
    <row r="412" spans="1:18" x14ac:dyDescent="0.25">
      <c r="A412" s="2"/>
      <c r="B412" s="37"/>
      <c r="C412" s="37"/>
      <c r="D412" s="71"/>
      <c r="E412" s="71"/>
      <c r="F412" s="71"/>
      <c r="G412" s="68" t="str">
        <f t="shared" si="219"/>
        <v/>
      </c>
      <c r="H412" s="68" t="str">
        <f t="shared" si="220"/>
        <v/>
      </c>
      <c r="I412" s="68" t="str">
        <f t="shared" si="221"/>
        <v/>
      </c>
      <c r="J412" s="74" t="str">
        <f t="shared" si="217"/>
        <v/>
      </c>
      <c r="K412" s="62"/>
    </row>
    <row r="413" spans="1:18" x14ac:dyDescent="0.25">
      <c r="A413" s="3"/>
      <c r="B413" s="40"/>
      <c r="C413" s="40"/>
      <c r="D413" s="72"/>
      <c r="E413" s="72"/>
      <c r="F413" s="72"/>
      <c r="G413" s="69" t="str">
        <f t="shared" si="219"/>
        <v/>
      </c>
      <c r="H413" s="69" t="str">
        <f t="shared" si="220"/>
        <v/>
      </c>
      <c r="I413" s="69" t="str">
        <f t="shared" si="221"/>
        <v/>
      </c>
      <c r="J413" s="75" t="str">
        <f t="shared" si="217"/>
        <v/>
      </c>
      <c r="K413" s="63"/>
    </row>
    <row r="414" spans="1:18" x14ac:dyDescent="0.25">
      <c r="A414" s="4" t="s">
        <v>8</v>
      </c>
      <c r="B414" s="37" t="s">
        <v>172</v>
      </c>
      <c r="C414" s="37"/>
      <c r="D414" s="70">
        <v>1</v>
      </c>
      <c r="E414" s="70">
        <v>1</v>
      </c>
      <c r="F414" s="70">
        <v>1</v>
      </c>
      <c r="G414" s="67">
        <f t="shared" si="219"/>
        <v>1</v>
      </c>
      <c r="H414" s="67">
        <f t="shared" si="220"/>
        <v>1</v>
      </c>
      <c r="I414" s="67">
        <f t="shared" si="221"/>
        <v>1</v>
      </c>
      <c r="J414" s="73">
        <f t="shared" si="217"/>
        <v>3</v>
      </c>
      <c r="K414" s="61"/>
    </row>
    <row r="415" spans="1:18" x14ac:dyDescent="0.25">
      <c r="A415" s="2"/>
      <c r="B415" s="37"/>
      <c r="C415" s="37"/>
      <c r="D415" s="71"/>
      <c r="E415" s="71"/>
      <c r="F415" s="71"/>
      <c r="G415" s="68" t="str">
        <f t="shared" si="219"/>
        <v/>
      </c>
      <c r="H415" s="68" t="str">
        <f t="shared" si="220"/>
        <v/>
      </c>
      <c r="I415" s="68" t="str">
        <f t="shared" si="221"/>
        <v/>
      </c>
      <c r="J415" s="74" t="str">
        <f t="shared" si="217"/>
        <v/>
      </c>
      <c r="K415" s="62"/>
    </row>
    <row r="416" spans="1:18" x14ac:dyDescent="0.25">
      <c r="A416" s="3"/>
      <c r="B416" s="40"/>
      <c r="C416" s="40"/>
      <c r="D416" s="72"/>
      <c r="E416" s="72"/>
      <c r="F416" s="72"/>
      <c r="G416" s="69" t="str">
        <f t="shared" si="219"/>
        <v/>
      </c>
      <c r="H416" s="69" t="str">
        <f t="shared" si="220"/>
        <v/>
      </c>
      <c r="I416" s="69" t="str">
        <f t="shared" si="221"/>
        <v/>
      </c>
      <c r="J416" s="75" t="str">
        <f t="shared" si="217"/>
        <v/>
      </c>
      <c r="K416" s="63"/>
    </row>
    <row r="417" spans="1:18" x14ac:dyDescent="0.25">
      <c r="A417" s="2" t="s">
        <v>9</v>
      </c>
      <c r="B417" s="37" t="s">
        <v>290</v>
      </c>
      <c r="C417" s="37"/>
      <c r="D417" s="71">
        <v>0</v>
      </c>
      <c r="E417" s="71">
        <v>1</v>
      </c>
      <c r="F417" s="71">
        <v>1</v>
      </c>
      <c r="G417" s="68">
        <f t="shared" si="219"/>
        <v>0</v>
      </c>
      <c r="H417" s="68">
        <f t="shared" si="220"/>
        <v>0</v>
      </c>
      <c r="I417" s="68">
        <f t="shared" si="221"/>
        <v>1</v>
      </c>
      <c r="J417" s="74">
        <f t="shared" si="217"/>
        <v>2</v>
      </c>
      <c r="K417" s="62"/>
    </row>
    <row r="418" spans="1:18" x14ac:dyDescent="0.25">
      <c r="A418" s="2"/>
      <c r="B418" s="37"/>
      <c r="C418" s="37"/>
      <c r="D418" s="71"/>
      <c r="E418" s="71"/>
      <c r="F418" s="71"/>
      <c r="G418" s="68" t="str">
        <f t="shared" si="219"/>
        <v/>
      </c>
      <c r="H418" s="68" t="str">
        <f t="shared" si="220"/>
        <v/>
      </c>
      <c r="I418" s="68" t="str">
        <f t="shared" si="221"/>
        <v/>
      </c>
      <c r="J418" s="74" t="str">
        <f t="shared" si="217"/>
        <v/>
      </c>
      <c r="K418" s="62"/>
    </row>
    <row r="419" spans="1:18" x14ac:dyDescent="0.25">
      <c r="A419" s="3"/>
      <c r="B419" s="40"/>
      <c r="C419" s="40"/>
      <c r="D419" s="72"/>
      <c r="E419" s="72"/>
      <c r="F419" s="72"/>
      <c r="G419" s="69" t="str">
        <f t="shared" si="219"/>
        <v/>
      </c>
      <c r="H419" s="69" t="str">
        <f t="shared" si="220"/>
        <v/>
      </c>
      <c r="I419" s="69" t="str">
        <f t="shared" si="221"/>
        <v/>
      </c>
      <c r="J419" s="75" t="str">
        <f t="shared" si="217"/>
        <v/>
      </c>
      <c r="K419" s="63"/>
    </row>
    <row r="420" spans="1:18" x14ac:dyDescent="0.25">
      <c r="A420" s="2" t="s">
        <v>1224</v>
      </c>
      <c r="B420" s="37" t="s">
        <v>1251</v>
      </c>
      <c r="C420" s="37"/>
      <c r="D420" s="71">
        <v>1</v>
      </c>
      <c r="E420" s="71">
        <v>0</v>
      </c>
      <c r="F420" s="71">
        <v>0</v>
      </c>
      <c r="G420" s="68">
        <f t="shared" si="219"/>
        <v>0</v>
      </c>
      <c r="H420" s="68">
        <f t="shared" si="220"/>
        <v>0</v>
      </c>
      <c r="I420" s="68">
        <f t="shared" si="221"/>
        <v>0</v>
      </c>
      <c r="J420" s="74">
        <f t="shared" ref="J420:J422" si="228">IF(B420="","",SUM(D420:F420))</f>
        <v>1</v>
      </c>
      <c r="K420" s="62"/>
    </row>
    <row r="421" spans="1:18" x14ac:dyDescent="0.25">
      <c r="A421" s="2"/>
      <c r="B421" s="37" t="s">
        <v>1305</v>
      </c>
      <c r="C421" s="37"/>
      <c r="D421" s="71">
        <v>0</v>
      </c>
      <c r="E421" s="71">
        <v>1</v>
      </c>
      <c r="F421" s="71">
        <v>0</v>
      </c>
      <c r="G421" s="68">
        <f t="shared" si="219"/>
        <v>0</v>
      </c>
      <c r="H421" s="68">
        <f t="shared" si="220"/>
        <v>0</v>
      </c>
      <c r="I421" s="68">
        <f t="shared" si="221"/>
        <v>0</v>
      </c>
      <c r="J421" s="74">
        <f t="shared" si="228"/>
        <v>1</v>
      </c>
      <c r="K421" s="62"/>
    </row>
    <row r="422" spans="1:18" x14ac:dyDescent="0.25">
      <c r="A422" s="3"/>
      <c r="B422" s="39" t="s">
        <v>1348</v>
      </c>
      <c r="C422" s="39"/>
      <c r="D422" s="72">
        <v>0</v>
      </c>
      <c r="E422" s="72">
        <v>0</v>
      </c>
      <c r="F422" s="72">
        <v>1</v>
      </c>
      <c r="G422" s="69">
        <f t="shared" si="219"/>
        <v>0</v>
      </c>
      <c r="H422" s="69">
        <f t="shared" si="220"/>
        <v>0</v>
      </c>
      <c r="I422" s="69">
        <f t="shared" si="221"/>
        <v>0</v>
      </c>
      <c r="J422" s="75">
        <f t="shared" si="228"/>
        <v>1</v>
      </c>
      <c r="K422" s="63"/>
    </row>
    <row r="424" spans="1:18" x14ac:dyDescent="0.25">
      <c r="A424" s="81">
        <v>22</v>
      </c>
      <c r="B424" s="49" t="s">
        <v>1139</v>
      </c>
      <c r="C424" s="31" t="s">
        <v>1418</v>
      </c>
      <c r="D424" s="76"/>
      <c r="E424" s="66"/>
      <c r="F424" s="66"/>
      <c r="G424" s="66"/>
      <c r="H424" s="66"/>
      <c r="I424" s="66"/>
      <c r="J424" s="60"/>
      <c r="K424" s="60"/>
    </row>
    <row r="425" spans="1:18" x14ac:dyDescent="0.25">
      <c r="A425" s="4" t="s">
        <v>6</v>
      </c>
      <c r="B425" s="37" t="s">
        <v>173</v>
      </c>
      <c r="C425" s="37"/>
      <c r="D425" s="70">
        <v>1</v>
      </c>
      <c r="E425" s="70">
        <v>1</v>
      </c>
      <c r="F425" s="70">
        <v>1</v>
      </c>
      <c r="G425" s="67">
        <f t="shared" ref="G425:G442" si="229">IF(B425="","",IF( AND(D425=1, E425=1),1,0))</f>
        <v>1</v>
      </c>
      <c r="H425" s="67">
        <f t="shared" ref="H425:H442" si="230">IF(B425="","",IF(AND(D425=1,F425=1),1,0))</f>
        <v>1</v>
      </c>
      <c r="I425" s="67">
        <f t="shared" ref="I425:I442" si="231">IF(B425="","",IF(AND(E425=1,F425=1),1,0))</f>
        <v>1</v>
      </c>
      <c r="J425" s="73">
        <f t="shared" ref="J425" si="232">IF(B425="","",SUM(D425:F425))</f>
        <v>3</v>
      </c>
      <c r="K425" s="61"/>
      <c r="M425" s="7">
        <f t="shared" ref="M425" si="233">SUM(G425:I425)/3</f>
        <v>1</v>
      </c>
      <c r="N425" s="6">
        <f t="shared" ref="N425" si="234">SUM(G428:I428)/3</f>
        <v>1</v>
      </c>
      <c r="O425" s="7">
        <f t="shared" ref="O425" si="235">SUM(G431:I431)/3</f>
        <v>1</v>
      </c>
      <c r="P425" s="6">
        <f t="shared" ref="P425" si="236">SUM(G434:I434)/3</f>
        <v>1</v>
      </c>
      <c r="Q425" s="7">
        <f t="shared" ref="Q425:R425" si="237">SUM(G437:I437)/3</f>
        <v>0.33333333333333331</v>
      </c>
      <c r="R425" s="7">
        <f t="shared" si="237"/>
        <v>1</v>
      </c>
    </row>
    <row r="426" spans="1:18" x14ac:dyDescent="0.25">
      <c r="A426" s="2"/>
      <c r="B426" s="37"/>
      <c r="C426" s="37"/>
      <c r="D426" s="71"/>
      <c r="E426" s="71"/>
      <c r="F426" s="71"/>
      <c r="G426" s="68" t="str">
        <f t="shared" si="229"/>
        <v/>
      </c>
      <c r="H426" s="68" t="str">
        <f t="shared" si="230"/>
        <v/>
      </c>
      <c r="I426" s="68" t="str">
        <f t="shared" si="231"/>
        <v/>
      </c>
      <c r="J426" s="74" t="str">
        <f t="shared" si="217"/>
        <v/>
      </c>
      <c r="K426" s="62"/>
    </row>
    <row r="427" spans="1:18" x14ac:dyDescent="0.25">
      <c r="A427" s="3"/>
      <c r="B427" s="42"/>
      <c r="C427" s="42"/>
      <c r="D427" s="72"/>
      <c r="E427" s="72"/>
      <c r="F427" s="72"/>
      <c r="G427" s="69" t="str">
        <f t="shared" si="229"/>
        <v/>
      </c>
      <c r="H427" s="69" t="str">
        <f t="shared" si="230"/>
        <v/>
      </c>
      <c r="I427" s="69" t="str">
        <f t="shared" si="231"/>
        <v/>
      </c>
      <c r="J427" s="75" t="str">
        <f t="shared" si="217"/>
        <v/>
      </c>
      <c r="K427" s="63"/>
    </row>
    <row r="428" spans="1:18" x14ac:dyDescent="0.25">
      <c r="A428" s="4" t="s">
        <v>5</v>
      </c>
      <c r="B428" s="33" t="s">
        <v>174</v>
      </c>
      <c r="C428" s="33"/>
      <c r="D428" s="70">
        <v>1</v>
      </c>
      <c r="E428" s="70">
        <v>1</v>
      </c>
      <c r="F428" s="70">
        <v>1</v>
      </c>
      <c r="G428" s="67">
        <f t="shared" si="229"/>
        <v>1</v>
      </c>
      <c r="H428" s="67">
        <f t="shared" si="230"/>
        <v>1</v>
      </c>
      <c r="I428" s="67">
        <f t="shared" si="231"/>
        <v>1</v>
      </c>
      <c r="J428" s="73">
        <f t="shared" si="217"/>
        <v>3</v>
      </c>
      <c r="K428" s="61"/>
    </row>
    <row r="429" spans="1:18" x14ac:dyDescent="0.25">
      <c r="A429" s="2"/>
      <c r="B429" s="37"/>
      <c r="C429" s="37"/>
      <c r="D429" s="71"/>
      <c r="E429" s="71"/>
      <c r="F429" s="71"/>
      <c r="G429" s="68" t="str">
        <f t="shared" si="229"/>
        <v/>
      </c>
      <c r="H429" s="68" t="str">
        <f t="shared" si="230"/>
        <v/>
      </c>
      <c r="I429" s="68" t="str">
        <f t="shared" si="231"/>
        <v/>
      </c>
      <c r="J429" s="74" t="str">
        <f t="shared" si="217"/>
        <v/>
      </c>
      <c r="K429" s="62"/>
    </row>
    <row r="430" spans="1:18" x14ac:dyDescent="0.25">
      <c r="A430" s="3"/>
      <c r="B430" s="40"/>
      <c r="C430" s="37"/>
      <c r="D430" s="71"/>
      <c r="E430" s="71"/>
      <c r="F430" s="71"/>
      <c r="G430" s="69" t="str">
        <f t="shared" si="229"/>
        <v/>
      </c>
      <c r="H430" s="69" t="str">
        <f t="shared" si="230"/>
        <v/>
      </c>
      <c r="I430" s="69" t="str">
        <f t="shared" si="231"/>
        <v/>
      </c>
      <c r="J430" s="75" t="str">
        <f t="shared" si="217"/>
        <v/>
      </c>
      <c r="K430" s="63"/>
    </row>
    <row r="431" spans="1:18" x14ac:dyDescent="0.25">
      <c r="A431" s="4" t="s">
        <v>7</v>
      </c>
      <c r="B431" s="33" t="s">
        <v>175</v>
      </c>
      <c r="C431" s="33"/>
      <c r="D431" s="70">
        <v>1</v>
      </c>
      <c r="E431" s="70">
        <v>1</v>
      </c>
      <c r="F431" s="70">
        <v>1</v>
      </c>
      <c r="G431" s="67">
        <f t="shared" si="229"/>
        <v>1</v>
      </c>
      <c r="H431" s="67">
        <f t="shared" si="230"/>
        <v>1</v>
      </c>
      <c r="I431" s="67">
        <f t="shared" si="231"/>
        <v>1</v>
      </c>
      <c r="J431" s="73">
        <f t="shared" si="217"/>
        <v>3</v>
      </c>
      <c r="K431" s="61"/>
    </row>
    <row r="432" spans="1:18" x14ac:dyDescent="0.25">
      <c r="A432" s="2"/>
      <c r="B432" s="37"/>
      <c r="C432" s="37"/>
      <c r="D432" s="71"/>
      <c r="E432" s="71"/>
      <c r="F432" s="71"/>
      <c r="G432" s="68" t="str">
        <f t="shared" si="229"/>
        <v/>
      </c>
      <c r="H432" s="68" t="str">
        <f t="shared" si="230"/>
        <v/>
      </c>
      <c r="I432" s="68" t="str">
        <f t="shared" si="231"/>
        <v/>
      </c>
      <c r="J432" s="74" t="str">
        <f t="shared" si="217"/>
        <v/>
      </c>
      <c r="K432" s="62"/>
    </row>
    <row r="433" spans="1:18" x14ac:dyDescent="0.25">
      <c r="A433" s="3"/>
      <c r="B433" s="40"/>
      <c r="C433" s="40"/>
      <c r="D433" s="72"/>
      <c r="E433" s="72"/>
      <c r="F433" s="72"/>
      <c r="G433" s="69" t="str">
        <f t="shared" si="229"/>
        <v/>
      </c>
      <c r="H433" s="69" t="str">
        <f t="shared" si="230"/>
        <v/>
      </c>
      <c r="I433" s="69" t="str">
        <f t="shared" si="231"/>
        <v/>
      </c>
      <c r="J433" s="75" t="str">
        <f t="shared" si="217"/>
        <v/>
      </c>
      <c r="K433" s="63"/>
    </row>
    <row r="434" spans="1:18" x14ac:dyDescent="0.25">
      <c r="A434" s="4" t="s">
        <v>8</v>
      </c>
      <c r="B434" s="37" t="s">
        <v>176</v>
      </c>
      <c r="C434" s="37"/>
      <c r="D434" s="70">
        <v>1</v>
      </c>
      <c r="E434" s="70">
        <v>1</v>
      </c>
      <c r="F434" s="70">
        <v>1</v>
      </c>
      <c r="G434" s="67">
        <f t="shared" si="229"/>
        <v>1</v>
      </c>
      <c r="H434" s="67">
        <f t="shared" si="230"/>
        <v>1</v>
      </c>
      <c r="I434" s="67">
        <f t="shared" si="231"/>
        <v>1</v>
      </c>
      <c r="J434" s="73">
        <f t="shared" si="217"/>
        <v>3</v>
      </c>
      <c r="K434" s="61"/>
    </row>
    <row r="435" spans="1:18" x14ac:dyDescent="0.25">
      <c r="A435" s="2"/>
      <c r="B435" s="37"/>
      <c r="C435" s="37"/>
      <c r="D435" s="71"/>
      <c r="E435" s="71"/>
      <c r="F435" s="71"/>
      <c r="G435" s="68" t="str">
        <f t="shared" si="229"/>
        <v/>
      </c>
      <c r="H435" s="68" t="str">
        <f t="shared" si="230"/>
        <v/>
      </c>
      <c r="I435" s="68" t="str">
        <f t="shared" si="231"/>
        <v/>
      </c>
      <c r="J435" s="74" t="str">
        <f t="shared" si="217"/>
        <v/>
      </c>
      <c r="K435" s="62"/>
    </row>
    <row r="436" spans="1:18" x14ac:dyDescent="0.25">
      <c r="A436" s="3"/>
      <c r="B436" s="40"/>
      <c r="C436" s="40"/>
      <c r="D436" s="72"/>
      <c r="E436" s="72"/>
      <c r="F436" s="72"/>
      <c r="G436" s="69" t="str">
        <f t="shared" si="229"/>
        <v/>
      </c>
      <c r="H436" s="69" t="str">
        <f t="shared" si="230"/>
        <v/>
      </c>
      <c r="I436" s="69" t="str">
        <f t="shared" si="231"/>
        <v/>
      </c>
      <c r="J436" s="75" t="str">
        <f t="shared" si="217"/>
        <v/>
      </c>
      <c r="K436" s="63"/>
    </row>
    <row r="437" spans="1:18" x14ac:dyDescent="0.25">
      <c r="A437" s="2" t="s">
        <v>9</v>
      </c>
      <c r="B437" s="37" t="s">
        <v>1105</v>
      </c>
      <c r="C437" s="37"/>
      <c r="D437" s="71">
        <v>1</v>
      </c>
      <c r="E437" s="71">
        <v>0</v>
      </c>
      <c r="F437" s="71">
        <v>1</v>
      </c>
      <c r="G437" s="68">
        <f t="shared" si="229"/>
        <v>0</v>
      </c>
      <c r="H437" s="68">
        <f t="shared" si="230"/>
        <v>1</v>
      </c>
      <c r="I437" s="68">
        <f t="shared" si="231"/>
        <v>0</v>
      </c>
      <c r="J437" s="74">
        <f t="shared" si="217"/>
        <v>2</v>
      </c>
      <c r="K437" s="62"/>
    </row>
    <row r="438" spans="1:18" x14ac:dyDescent="0.25">
      <c r="A438" s="2"/>
      <c r="B438" s="37"/>
      <c r="C438" s="37"/>
      <c r="D438" s="71"/>
      <c r="E438" s="71"/>
      <c r="F438" s="71"/>
      <c r="G438" s="68" t="str">
        <f t="shared" si="229"/>
        <v/>
      </c>
      <c r="H438" s="68" t="str">
        <f t="shared" si="230"/>
        <v/>
      </c>
      <c r="I438" s="68" t="str">
        <f t="shared" si="231"/>
        <v/>
      </c>
      <c r="J438" s="74" t="str">
        <f t="shared" si="217"/>
        <v/>
      </c>
      <c r="K438" s="62"/>
    </row>
    <row r="439" spans="1:18" x14ac:dyDescent="0.25">
      <c r="A439" s="3"/>
      <c r="B439" s="40"/>
      <c r="C439" s="40"/>
      <c r="D439" s="72"/>
      <c r="E439" s="72"/>
      <c r="F439" s="72"/>
      <c r="G439" s="69" t="str">
        <f t="shared" si="229"/>
        <v/>
      </c>
      <c r="H439" s="69" t="str">
        <f t="shared" si="230"/>
        <v/>
      </c>
      <c r="I439" s="69" t="str">
        <f t="shared" si="231"/>
        <v/>
      </c>
      <c r="J439" s="75" t="str">
        <f t="shared" si="217"/>
        <v/>
      </c>
      <c r="K439" s="63"/>
    </row>
    <row r="440" spans="1:18" x14ac:dyDescent="0.25">
      <c r="A440" s="2" t="s">
        <v>1224</v>
      </c>
      <c r="B440" s="37" t="s">
        <v>1252</v>
      </c>
      <c r="C440" s="37"/>
      <c r="D440" s="71">
        <v>1</v>
      </c>
      <c r="E440" s="71">
        <v>1</v>
      </c>
      <c r="F440" s="71">
        <v>1</v>
      </c>
      <c r="G440" s="68">
        <f t="shared" si="229"/>
        <v>1</v>
      </c>
      <c r="H440" s="68">
        <f t="shared" si="230"/>
        <v>1</v>
      </c>
      <c r="I440" s="68">
        <f t="shared" si="231"/>
        <v>1</v>
      </c>
      <c r="J440" s="74">
        <f t="shared" ref="J440:J442" si="238">IF(B440="","",SUM(D440:F440))</f>
        <v>3</v>
      </c>
      <c r="K440" s="62"/>
    </row>
    <row r="441" spans="1:18" x14ac:dyDescent="0.25">
      <c r="A441" s="2"/>
      <c r="B441" s="37"/>
      <c r="C441" s="37"/>
      <c r="D441" s="71"/>
      <c r="E441" s="71"/>
      <c r="F441" s="71"/>
      <c r="G441" s="68" t="str">
        <f t="shared" si="229"/>
        <v/>
      </c>
      <c r="H441" s="68" t="str">
        <f t="shared" si="230"/>
        <v/>
      </c>
      <c r="I441" s="68" t="str">
        <f t="shared" si="231"/>
        <v/>
      </c>
      <c r="J441" s="74" t="str">
        <f t="shared" si="238"/>
        <v/>
      </c>
      <c r="K441" s="62"/>
    </row>
    <row r="442" spans="1:18" x14ac:dyDescent="0.25">
      <c r="A442" s="3"/>
      <c r="B442" s="37"/>
      <c r="C442" s="37"/>
      <c r="D442" s="72"/>
      <c r="E442" s="72"/>
      <c r="F442" s="72"/>
      <c r="G442" s="69" t="str">
        <f t="shared" si="229"/>
        <v/>
      </c>
      <c r="H442" s="69" t="str">
        <f t="shared" si="230"/>
        <v/>
      </c>
      <c r="I442" s="69" t="str">
        <f t="shared" si="231"/>
        <v/>
      </c>
      <c r="J442" s="75" t="str">
        <f t="shared" si="238"/>
        <v/>
      </c>
      <c r="K442" s="63"/>
    </row>
    <row r="444" spans="1:18" x14ac:dyDescent="0.25">
      <c r="A444" s="81">
        <v>23</v>
      </c>
      <c r="B444" s="49" t="s">
        <v>1140</v>
      </c>
      <c r="C444" s="31" t="s">
        <v>1419</v>
      </c>
      <c r="D444" s="76"/>
      <c r="E444" s="66"/>
      <c r="F444" s="66"/>
      <c r="G444" s="66"/>
      <c r="H444" s="66"/>
      <c r="I444" s="66"/>
      <c r="J444" s="60"/>
      <c r="K444" s="60"/>
    </row>
    <row r="445" spans="1:18" x14ac:dyDescent="0.25">
      <c r="A445" s="4" t="s">
        <v>6</v>
      </c>
      <c r="B445" s="37" t="s">
        <v>177</v>
      </c>
      <c r="C445" s="37"/>
      <c r="D445" s="70">
        <v>1</v>
      </c>
      <c r="E445" s="70">
        <v>1</v>
      </c>
      <c r="F445" s="70">
        <v>1</v>
      </c>
      <c r="G445" s="67">
        <f t="shared" ref="G445:G462" si="239">IF(B445="","",IF( AND(D445=1, E445=1),1,0))</f>
        <v>1</v>
      </c>
      <c r="H445" s="67">
        <f t="shared" ref="H445:H462" si="240">IF(B445="","",IF(AND(D445=1,F445=1),1,0))</f>
        <v>1</v>
      </c>
      <c r="I445" s="67">
        <f t="shared" ref="I445:I462" si="241">IF(B445="","",IF(AND(E445=1,F445=1),1,0))</f>
        <v>1</v>
      </c>
      <c r="J445" s="73">
        <f t="shared" ref="J445" si="242">IF(B445="","",SUM(D445:F445))</f>
        <v>3</v>
      </c>
      <c r="K445" s="61"/>
      <c r="M445" s="7">
        <f t="shared" ref="M445" si="243">SUM(G445:I445)/3</f>
        <v>1</v>
      </c>
      <c r="N445" s="6">
        <f t="shared" ref="N445" si="244">SUM(G448:I448)/3</f>
        <v>1</v>
      </c>
      <c r="O445" s="7">
        <f t="shared" ref="O445" si="245">SUM(G451:I451)/3</f>
        <v>1</v>
      </c>
      <c r="P445" s="6">
        <f t="shared" ref="P445" si="246">SUM(G454:I454)/3</f>
        <v>1</v>
      </c>
      <c r="Q445" s="7">
        <f t="shared" ref="Q445" si="247">SUM(G457:I457)/3</f>
        <v>1</v>
      </c>
      <c r="R445" s="7">
        <f>SUM(G460:I460)/3</f>
        <v>1</v>
      </c>
    </row>
    <row r="446" spans="1:18" x14ac:dyDescent="0.25">
      <c r="A446" s="2"/>
      <c r="B446" s="37"/>
      <c r="C446" s="37"/>
      <c r="D446" s="71">
        <v>1</v>
      </c>
      <c r="E446" s="71">
        <v>1</v>
      </c>
      <c r="F446" s="71">
        <v>1</v>
      </c>
      <c r="G446" s="68" t="str">
        <f t="shared" si="239"/>
        <v/>
      </c>
      <c r="H446" s="68" t="str">
        <f t="shared" si="240"/>
        <v/>
      </c>
      <c r="I446" s="68" t="str">
        <f t="shared" si="241"/>
        <v/>
      </c>
      <c r="J446" s="74" t="str">
        <f t="shared" si="217"/>
        <v/>
      </c>
      <c r="K446" s="62"/>
    </row>
    <row r="447" spans="1:18" x14ac:dyDescent="0.25">
      <c r="A447" s="3"/>
      <c r="B447" s="42"/>
      <c r="C447" s="42"/>
      <c r="D447" s="72">
        <v>1</v>
      </c>
      <c r="E447" s="72">
        <v>1</v>
      </c>
      <c r="F447" s="72">
        <v>1</v>
      </c>
      <c r="G447" s="69" t="str">
        <f t="shared" si="239"/>
        <v/>
      </c>
      <c r="H447" s="69" t="str">
        <f t="shared" si="240"/>
        <v/>
      </c>
      <c r="I447" s="69" t="str">
        <f t="shared" si="241"/>
        <v/>
      </c>
      <c r="J447" s="75" t="str">
        <f t="shared" si="217"/>
        <v/>
      </c>
      <c r="K447" s="63"/>
    </row>
    <row r="448" spans="1:18" x14ac:dyDescent="0.25">
      <c r="A448" s="4" t="s">
        <v>5</v>
      </c>
      <c r="B448" s="33" t="s">
        <v>314</v>
      </c>
      <c r="C448" s="33"/>
      <c r="D448" s="70">
        <v>1</v>
      </c>
      <c r="E448" s="70">
        <v>1</v>
      </c>
      <c r="F448" s="70">
        <v>1</v>
      </c>
      <c r="G448" s="67">
        <f t="shared" si="239"/>
        <v>1</v>
      </c>
      <c r="H448" s="67">
        <f t="shared" si="240"/>
        <v>1</v>
      </c>
      <c r="I448" s="67">
        <f t="shared" si="241"/>
        <v>1</v>
      </c>
      <c r="J448" s="73">
        <f t="shared" si="217"/>
        <v>3</v>
      </c>
      <c r="K448" s="61"/>
    </row>
    <row r="449" spans="1:11" x14ac:dyDescent="0.25">
      <c r="A449" s="2"/>
      <c r="B449" s="37"/>
      <c r="C449" s="37"/>
      <c r="D449" s="71"/>
      <c r="E449" s="71"/>
      <c r="F449" s="71"/>
      <c r="G449" s="68" t="str">
        <f t="shared" si="239"/>
        <v/>
      </c>
      <c r="H449" s="68" t="str">
        <f t="shared" si="240"/>
        <v/>
      </c>
      <c r="I449" s="68" t="str">
        <f t="shared" si="241"/>
        <v/>
      </c>
      <c r="J449" s="74" t="str">
        <f t="shared" si="217"/>
        <v/>
      </c>
      <c r="K449" s="62"/>
    </row>
    <row r="450" spans="1:11" x14ac:dyDescent="0.25">
      <c r="A450" s="3"/>
      <c r="B450" s="40"/>
      <c r="C450" s="37"/>
      <c r="D450" s="71"/>
      <c r="E450" s="71"/>
      <c r="F450" s="71"/>
      <c r="G450" s="69" t="str">
        <f t="shared" si="239"/>
        <v/>
      </c>
      <c r="H450" s="69" t="str">
        <f t="shared" si="240"/>
        <v/>
      </c>
      <c r="I450" s="69" t="str">
        <f t="shared" si="241"/>
        <v/>
      </c>
      <c r="J450" s="75" t="str">
        <f t="shared" si="217"/>
        <v/>
      </c>
      <c r="K450" s="63"/>
    </row>
    <row r="451" spans="1:11" x14ac:dyDescent="0.25">
      <c r="A451" s="4" t="s">
        <v>7</v>
      </c>
      <c r="B451" s="33" t="s">
        <v>313</v>
      </c>
      <c r="C451" s="33"/>
      <c r="D451" s="70">
        <v>1</v>
      </c>
      <c r="E451" s="70">
        <v>1</v>
      </c>
      <c r="F451" s="70">
        <v>1</v>
      </c>
      <c r="G451" s="67">
        <f t="shared" si="239"/>
        <v>1</v>
      </c>
      <c r="H451" s="67">
        <f t="shared" si="240"/>
        <v>1</v>
      </c>
      <c r="I451" s="67">
        <f t="shared" si="241"/>
        <v>1</v>
      </c>
      <c r="J451" s="73">
        <f t="shared" si="217"/>
        <v>3</v>
      </c>
      <c r="K451" s="61"/>
    </row>
    <row r="452" spans="1:11" x14ac:dyDescent="0.25">
      <c r="A452" s="2"/>
      <c r="B452" s="37"/>
      <c r="C452" s="37"/>
      <c r="D452" s="71"/>
      <c r="E452" s="71"/>
      <c r="F452" s="71"/>
      <c r="G452" s="68" t="str">
        <f t="shared" si="239"/>
        <v/>
      </c>
      <c r="H452" s="68" t="str">
        <f t="shared" si="240"/>
        <v/>
      </c>
      <c r="I452" s="68" t="str">
        <f t="shared" si="241"/>
        <v/>
      </c>
      <c r="J452" s="74" t="str">
        <f t="shared" si="217"/>
        <v/>
      </c>
      <c r="K452" s="62"/>
    </row>
    <row r="453" spans="1:11" x14ac:dyDescent="0.25">
      <c r="A453" s="3"/>
      <c r="B453" s="40"/>
      <c r="C453" s="40"/>
      <c r="D453" s="72"/>
      <c r="E453" s="72"/>
      <c r="F453" s="72"/>
      <c r="G453" s="69" t="str">
        <f t="shared" si="239"/>
        <v/>
      </c>
      <c r="H453" s="69" t="str">
        <f t="shared" si="240"/>
        <v/>
      </c>
      <c r="I453" s="69" t="str">
        <f t="shared" si="241"/>
        <v/>
      </c>
      <c r="J453" s="75" t="str">
        <f t="shared" si="217"/>
        <v/>
      </c>
      <c r="K453" s="63"/>
    </row>
    <row r="454" spans="1:11" x14ac:dyDescent="0.25">
      <c r="A454" s="4" t="s">
        <v>8</v>
      </c>
      <c r="B454" s="37" t="s">
        <v>176</v>
      </c>
      <c r="C454" s="37"/>
      <c r="D454" s="70">
        <v>1</v>
      </c>
      <c r="E454" s="70">
        <v>1</v>
      </c>
      <c r="F454" s="70">
        <v>1</v>
      </c>
      <c r="G454" s="67">
        <f t="shared" si="239"/>
        <v>1</v>
      </c>
      <c r="H454" s="67">
        <f t="shared" si="240"/>
        <v>1</v>
      </c>
      <c r="I454" s="67">
        <f t="shared" si="241"/>
        <v>1</v>
      </c>
      <c r="J454" s="73">
        <f t="shared" si="217"/>
        <v>3</v>
      </c>
      <c r="K454" s="61"/>
    </row>
    <row r="455" spans="1:11" x14ac:dyDescent="0.25">
      <c r="A455" s="2"/>
      <c r="B455" s="37"/>
      <c r="C455" s="37"/>
      <c r="D455" s="71"/>
      <c r="E455" s="71"/>
      <c r="F455" s="71"/>
      <c r="G455" s="68" t="str">
        <f t="shared" si="239"/>
        <v/>
      </c>
      <c r="H455" s="68" t="str">
        <f t="shared" si="240"/>
        <v/>
      </c>
      <c r="I455" s="68" t="str">
        <f t="shared" si="241"/>
        <v/>
      </c>
      <c r="J455" s="74" t="str">
        <f t="shared" si="217"/>
        <v/>
      </c>
      <c r="K455" s="62"/>
    </row>
    <row r="456" spans="1:11" x14ac:dyDescent="0.25">
      <c r="A456" s="3"/>
      <c r="B456" s="40"/>
      <c r="C456" s="40"/>
      <c r="D456" s="72"/>
      <c r="E456" s="72"/>
      <c r="F456" s="72"/>
      <c r="G456" s="69" t="str">
        <f t="shared" si="239"/>
        <v/>
      </c>
      <c r="H456" s="69" t="str">
        <f t="shared" si="240"/>
        <v/>
      </c>
      <c r="I456" s="69" t="str">
        <f t="shared" si="241"/>
        <v/>
      </c>
      <c r="J456" s="75" t="str">
        <f t="shared" si="217"/>
        <v/>
      </c>
      <c r="K456" s="63"/>
    </row>
    <row r="457" spans="1:11" x14ac:dyDescent="0.25">
      <c r="A457" s="2" t="s">
        <v>9</v>
      </c>
      <c r="B457" s="37" t="s">
        <v>179</v>
      </c>
      <c r="C457" s="37"/>
      <c r="D457" s="71">
        <v>1</v>
      </c>
      <c r="E457" s="71">
        <v>1</v>
      </c>
      <c r="F457" s="71">
        <v>1</v>
      </c>
      <c r="G457" s="68">
        <f t="shared" si="239"/>
        <v>1</v>
      </c>
      <c r="H457" s="68">
        <f t="shared" si="240"/>
        <v>1</v>
      </c>
      <c r="I457" s="68">
        <f t="shared" si="241"/>
        <v>1</v>
      </c>
      <c r="J457" s="74">
        <f t="shared" si="217"/>
        <v>3</v>
      </c>
      <c r="K457" s="62"/>
    </row>
    <row r="458" spans="1:11" x14ac:dyDescent="0.25">
      <c r="A458" s="2"/>
      <c r="B458" s="37"/>
      <c r="C458" s="37"/>
      <c r="D458" s="71"/>
      <c r="E458" s="71"/>
      <c r="F458" s="71"/>
      <c r="G458" s="68" t="str">
        <f t="shared" si="239"/>
        <v/>
      </c>
      <c r="H458" s="68" t="str">
        <f t="shared" si="240"/>
        <v/>
      </c>
      <c r="I458" s="68" t="str">
        <f t="shared" si="241"/>
        <v/>
      </c>
      <c r="J458" s="74" t="str">
        <f t="shared" si="217"/>
        <v/>
      </c>
      <c r="K458" s="62"/>
    </row>
    <row r="459" spans="1:11" x14ac:dyDescent="0.25">
      <c r="A459" s="3"/>
      <c r="B459" s="40"/>
      <c r="C459" s="40"/>
      <c r="D459" s="72"/>
      <c r="E459" s="72"/>
      <c r="F459" s="72"/>
      <c r="G459" s="69" t="str">
        <f t="shared" si="239"/>
        <v/>
      </c>
      <c r="H459" s="69" t="str">
        <f t="shared" si="240"/>
        <v/>
      </c>
      <c r="I459" s="69" t="str">
        <f t="shared" si="241"/>
        <v/>
      </c>
      <c r="J459" s="75" t="str">
        <f t="shared" si="217"/>
        <v/>
      </c>
      <c r="K459" s="63"/>
    </row>
    <row r="460" spans="1:11" x14ac:dyDescent="0.25">
      <c r="A460" s="2" t="s">
        <v>1224</v>
      </c>
      <c r="B460" s="37" t="s">
        <v>1306</v>
      </c>
      <c r="C460" s="37"/>
      <c r="D460" s="71">
        <v>1</v>
      </c>
      <c r="E460" s="71">
        <v>1</v>
      </c>
      <c r="F460" s="71">
        <v>1</v>
      </c>
      <c r="G460" s="68">
        <f t="shared" si="239"/>
        <v>1</v>
      </c>
      <c r="H460" s="68">
        <f t="shared" si="240"/>
        <v>1</v>
      </c>
      <c r="I460" s="68">
        <f t="shared" si="241"/>
        <v>1</v>
      </c>
      <c r="J460" s="74">
        <f t="shared" ref="J460:J462" si="248">IF(B460="","",SUM(D460:F460))</f>
        <v>3</v>
      </c>
      <c r="K460" s="62"/>
    </row>
    <row r="461" spans="1:11" x14ac:dyDescent="0.25">
      <c r="A461" s="2"/>
      <c r="B461" s="37"/>
      <c r="C461" s="37"/>
      <c r="D461" s="71"/>
      <c r="E461" s="71"/>
      <c r="F461" s="71"/>
      <c r="G461" s="68" t="str">
        <f t="shared" si="239"/>
        <v/>
      </c>
      <c r="H461" s="68" t="str">
        <f t="shared" si="240"/>
        <v/>
      </c>
      <c r="I461" s="68" t="str">
        <f t="shared" si="241"/>
        <v/>
      </c>
      <c r="J461" s="74" t="str">
        <f t="shared" si="248"/>
        <v/>
      </c>
      <c r="K461" s="62"/>
    </row>
    <row r="462" spans="1:11" x14ac:dyDescent="0.25">
      <c r="A462" s="3"/>
      <c r="B462" s="40"/>
      <c r="C462" s="40"/>
      <c r="D462" s="72"/>
      <c r="E462" s="72"/>
      <c r="F462" s="72"/>
      <c r="G462" s="69" t="str">
        <f t="shared" si="239"/>
        <v/>
      </c>
      <c r="H462" s="69" t="str">
        <f t="shared" si="240"/>
        <v/>
      </c>
      <c r="I462" s="69" t="str">
        <f t="shared" si="241"/>
        <v/>
      </c>
      <c r="J462" s="75" t="str">
        <f t="shared" si="248"/>
        <v/>
      </c>
      <c r="K462" s="63"/>
    </row>
    <row r="464" spans="1:11" x14ac:dyDescent="0.25">
      <c r="A464" s="81">
        <v>24</v>
      </c>
      <c r="B464" s="49" t="s">
        <v>1141</v>
      </c>
      <c r="C464" s="31" t="s">
        <v>1420</v>
      </c>
      <c r="D464" s="76"/>
      <c r="E464" s="66"/>
      <c r="F464" s="66"/>
      <c r="G464" s="66"/>
      <c r="H464" s="66"/>
      <c r="I464" s="66"/>
      <c r="J464" s="60"/>
      <c r="K464" s="60"/>
    </row>
    <row r="465" spans="1:18" x14ac:dyDescent="0.25">
      <c r="A465" s="4" t="s">
        <v>6</v>
      </c>
      <c r="B465" s="37" t="s">
        <v>180</v>
      </c>
      <c r="C465" s="37"/>
      <c r="D465" s="70">
        <v>1</v>
      </c>
      <c r="E465" s="70">
        <v>0</v>
      </c>
      <c r="F465" s="70">
        <v>1</v>
      </c>
      <c r="G465" s="67">
        <f t="shared" ref="G465:G482" si="249">IF(B465="","",IF( AND(D465=1, E465=1),1,0))</f>
        <v>0</v>
      </c>
      <c r="H465" s="67">
        <f t="shared" ref="H465:H482" si="250">IF(B465="","",IF(AND(D465=1,F465=1),1,0))</f>
        <v>1</v>
      </c>
      <c r="I465" s="67">
        <f t="shared" ref="I465:I482" si="251">IF(B465="","",IF(AND(E465=1,F465=1),1,0))</f>
        <v>0</v>
      </c>
      <c r="J465" s="73">
        <f t="shared" ref="J465" si="252">IF(B465="","",SUM(D465:F465))</f>
        <v>2</v>
      </c>
      <c r="K465" s="61"/>
      <c r="M465" s="7">
        <f t="shared" ref="M465" si="253">SUM(G465:I465)/3</f>
        <v>0.33333333333333331</v>
      </c>
      <c r="N465" s="6">
        <f t="shared" ref="N465" si="254">SUM(G468:I468)/3</f>
        <v>1</v>
      </c>
      <c r="O465" s="7">
        <f t="shared" ref="O465" si="255">SUM(G471:I471)/3</f>
        <v>1</v>
      </c>
      <c r="P465" s="6">
        <f t="shared" ref="P465" si="256">SUM(G474:I474)/3</f>
        <v>0.33333333333333331</v>
      </c>
      <c r="Q465" s="7">
        <f t="shared" ref="Q465" si="257">SUM(G477:I477)/3</f>
        <v>0.33333333333333331</v>
      </c>
      <c r="R465" s="7">
        <f>SUM(G480:I480)/3</f>
        <v>0</v>
      </c>
    </row>
    <row r="466" spans="1:18" x14ac:dyDescent="0.25">
      <c r="A466" s="2"/>
      <c r="B466" s="37" t="s">
        <v>194</v>
      </c>
      <c r="C466" s="37"/>
      <c r="D466" s="71">
        <v>0</v>
      </c>
      <c r="E466" s="71">
        <v>1</v>
      </c>
      <c r="F466" s="71">
        <v>1</v>
      </c>
      <c r="G466" s="68">
        <f t="shared" si="249"/>
        <v>0</v>
      </c>
      <c r="H466" s="68">
        <f t="shared" si="250"/>
        <v>0</v>
      </c>
      <c r="I466" s="68">
        <f t="shared" si="251"/>
        <v>1</v>
      </c>
      <c r="J466" s="74">
        <f t="shared" si="217"/>
        <v>2</v>
      </c>
      <c r="K466" s="62"/>
    </row>
    <row r="467" spans="1:18" x14ac:dyDescent="0.25">
      <c r="A467" s="3"/>
      <c r="B467" s="42"/>
      <c r="C467" s="42"/>
      <c r="D467" s="72"/>
      <c r="E467" s="72"/>
      <c r="F467" s="72"/>
      <c r="G467" s="69" t="str">
        <f t="shared" si="249"/>
        <v/>
      </c>
      <c r="H467" s="69" t="str">
        <f t="shared" si="250"/>
        <v/>
      </c>
      <c r="I467" s="69" t="str">
        <f t="shared" si="251"/>
        <v/>
      </c>
      <c r="J467" s="75" t="str">
        <f t="shared" si="217"/>
        <v/>
      </c>
      <c r="K467" s="63"/>
    </row>
    <row r="468" spans="1:18" x14ac:dyDescent="0.25">
      <c r="A468" s="4" t="s">
        <v>5</v>
      </c>
      <c r="B468" s="33" t="s">
        <v>196</v>
      </c>
      <c r="C468" s="33"/>
      <c r="D468" s="70">
        <v>1</v>
      </c>
      <c r="E468" s="70">
        <v>1</v>
      </c>
      <c r="F468" s="70">
        <v>1</v>
      </c>
      <c r="G468" s="67">
        <f t="shared" si="249"/>
        <v>1</v>
      </c>
      <c r="H468" s="67">
        <f t="shared" si="250"/>
        <v>1</v>
      </c>
      <c r="I468" s="67">
        <f t="shared" si="251"/>
        <v>1</v>
      </c>
      <c r="J468" s="73">
        <f t="shared" si="217"/>
        <v>3</v>
      </c>
      <c r="K468" s="61"/>
    </row>
    <row r="469" spans="1:18" x14ac:dyDescent="0.25">
      <c r="A469" s="2"/>
      <c r="B469" s="37"/>
      <c r="C469" s="37"/>
      <c r="D469" s="71"/>
      <c r="E469" s="71"/>
      <c r="F469" s="71"/>
      <c r="G469" s="68" t="str">
        <f t="shared" si="249"/>
        <v/>
      </c>
      <c r="H469" s="68" t="str">
        <f t="shared" si="250"/>
        <v/>
      </c>
      <c r="I469" s="68" t="str">
        <f t="shared" si="251"/>
        <v/>
      </c>
      <c r="J469" s="74" t="str">
        <f t="shared" si="217"/>
        <v/>
      </c>
      <c r="K469" s="62"/>
    </row>
    <row r="470" spans="1:18" x14ac:dyDescent="0.25">
      <c r="A470" s="3"/>
      <c r="B470" s="40"/>
      <c r="C470" s="37"/>
      <c r="D470" s="71"/>
      <c r="E470" s="71"/>
      <c r="F470" s="71"/>
      <c r="G470" s="69" t="str">
        <f t="shared" si="249"/>
        <v/>
      </c>
      <c r="H470" s="69" t="str">
        <f t="shared" si="250"/>
        <v/>
      </c>
      <c r="I470" s="69" t="str">
        <f t="shared" si="251"/>
        <v/>
      </c>
      <c r="J470" s="75" t="str">
        <f t="shared" si="217"/>
        <v/>
      </c>
      <c r="K470" s="63"/>
    </row>
    <row r="471" spans="1:18" x14ac:dyDescent="0.25">
      <c r="A471" s="4" t="s">
        <v>7</v>
      </c>
      <c r="B471" s="33" t="s">
        <v>181</v>
      </c>
      <c r="C471" s="33"/>
      <c r="D471" s="70">
        <v>1</v>
      </c>
      <c r="E471" s="70">
        <v>1</v>
      </c>
      <c r="F471" s="70">
        <v>1</v>
      </c>
      <c r="G471" s="67">
        <f t="shared" si="249"/>
        <v>1</v>
      </c>
      <c r="H471" s="67">
        <f t="shared" si="250"/>
        <v>1</v>
      </c>
      <c r="I471" s="67">
        <f t="shared" si="251"/>
        <v>1</v>
      </c>
      <c r="J471" s="73">
        <f t="shared" si="217"/>
        <v>3</v>
      </c>
      <c r="K471" s="61"/>
    </row>
    <row r="472" spans="1:18" x14ac:dyDescent="0.25">
      <c r="A472" s="2"/>
      <c r="B472" s="37"/>
      <c r="C472" s="37"/>
      <c r="D472" s="71"/>
      <c r="E472" s="71"/>
      <c r="F472" s="71"/>
      <c r="G472" s="68" t="str">
        <f t="shared" si="249"/>
        <v/>
      </c>
      <c r="H472" s="68" t="str">
        <f t="shared" si="250"/>
        <v/>
      </c>
      <c r="I472" s="68" t="str">
        <f t="shared" si="251"/>
        <v/>
      </c>
      <c r="J472" s="74" t="str">
        <f t="shared" si="217"/>
        <v/>
      </c>
      <c r="K472" s="62"/>
    </row>
    <row r="473" spans="1:18" x14ac:dyDescent="0.25">
      <c r="A473" s="3"/>
      <c r="B473" s="40"/>
      <c r="C473" s="40"/>
      <c r="D473" s="72"/>
      <c r="E473" s="72"/>
      <c r="F473" s="72"/>
      <c r="G473" s="69" t="str">
        <f t="shared" si="249"/>
        <v/>
      </c>
      <c r="H473" s="69" t="str">
        <f t="shared" si="250"/>
        <v/>
      </c>
      <c r="I473" s="69" t="str">
        <f t="shared" si="251"/>
        <v/>
      </c>
      <c r="J473" s="75" t="str">
        <f t="shared" si="217"/>
        <v/>
      </c>
      <c r="K473" s="63"/>
    </row>
    <row r="474" spans="1:18" x14ac:dyDescent="0.25">
      <c r="A474" s="4" t="s">
        <v>8</v>
      </c>
      <c r="B474" s="37" t="s">
        <v>182</v>
      </c>
      <c r="C474" s="37"/>
      <c r="D474" s="70">
        <v>1</v>
      </c>
      <c r="E474" s="70">
        <v>0</v>
      </c>
      <c r="F474" s="70">
        <v>1</v>
      </c>
      <c r="G474" s="67">
        <f t="shared" si="249"/>
        <v>0</v>
      </c>
      <c r="H474" s="67">
        <f t="shared" si="250"/>
        <v>1</v>
      </c>
      <c r="I474" s="67">
        <f t="shared" si="251"/>
        <v>0</v>
      </c>
      <c r="J474" s="73">
        <f t="shared" ref="J474:J549" si="258">IF(B474="","",SUM(D474:F474))</f>
        <v>2</v>
      </c>
      <c r="K474" s="61"/>
    </row>
    <row r="475" spans="1:18" x14ac:dyDescent="0.25">
      <c r="A475" s="2"/>
      <c r="B475" s="37"/>
      <c r="C475" s="37"/>
      <c r="D475" s="71"/>
      <c r="E475" s="71"/>
      <c r="F475" s="71"/>
      <c r="G475" s="68" t="str">
        <f t="shared" si="249"/>
        <v/>
      </c>
      <c r="H475" s="68" t="str">
        <f t="shared" si="250"/>
        <v/>
      </c>
      <c r="I475" s="68" t="str">
        <f t="shared" si="251"/>
        <v/>
      </c>
      <c r="J475" s="74" t="str">
        <f t="shared" si="258"/>
        <v/>
      </c>
      <c r="K475" s="62"/>
    </row>
    <row r="476" spans="1:18" x14ac:dyDescent="0.25">
      <c r="A476" s="3"/>
      <c r="B476" s="40"/>
      <c r="C476" s="40"/>
      <c r="D476" s="72"/>
      <c r="E476" s="72"/>
      <c r="F476" s="72"/>
      <c r="G476" s="69" t="str">
        <f t="shared" si="249"/>
        <v/>
      </c>
      <c r="H476" s="69" t="str">
        <f t="shared" si="250"/>
        <v/>
      </c>
      <c r="I476" s="69" t="str">
        <f t="shared" si="251"/>
        <v/>
      </c>
      <c r="J476" s="75" t="str">
        <f t="shared" si="258"/>
        <v/>
      </c>
      <c r="K476" s="63"/>
    </row>
    <row r="477" spans="1:18" x14ac:dyDescent="0.25">
      <c r="A477" s="2" t="s">
        <v>9</v>
      </c>
      <c r="B477" s="37" t="s">
        <v>302</v>
      </c>
      <c r="C477" s="37"/>
      <c r="D477" s="71">
        <v>1</v>
      </c>
      <c r="E477" s="71">
        <v>0</v>
      </c>
      <c r="F477" s="71">
        <v>1</v>
      </c>
      <c r="G477" s="68">
        <f t="shared" si="249"/>
        <v>0</v>
      </c>
      <c r="H477" s="68">
        <f t="shared" si="250"/>
        <v>1</v>
      </c>
      <c r="I477" s="68">
        <f t="shared" si="251"/>
        <v>0</v>
      </c>
      <c r="J477" s="74">
        <f t="shared" si="258"/>
        <v>2</v>
      </c>
      <c r="K477" s="62"/>
    </row>
    <row r="478" spans="1:18" x14ac:dyDescent="0.25">
      <c r="A478" s="2"/>
      <c r="B478" s="37"/>
      <c r="C478" s="37"/>
      <c r="D478" s="71"/>
      <c r="E478" s="71"/>
      <c r="F478" s="71"/>
      <c r="G478" s="68" t="str">
        <f t="shared" si="249"/>
        <v/>
      </c>
      <c r="H478" s="68" t="str">
        <f t="shared" si="250"/>
        <v/>
      </c>
      <c r="I478" s="68" t="str">
        <f t="shared" si="251"/>
        <v/>
      </c>
      <c r="J478" s="74" t="str">
        <f t="shared" si="258"/>
        <v/>
      </c>
      <c r="K478" s="62"/>
    </row>
    <row r="479" spans="1:18" x14ac:dyDescent="0.25">
      <c r="A479" s="3"/>
      <c r="B479" s="40"/>
      <c r="C479" s="40"/>
      <c r="D479" s="72"/>
      <c r="E479" s="72"/>
      <c r="F479" s="72"/>
      <c r="G479" s="69" t="str">
        <f t="shared" si="249"/>
        <v/>
      </c>
      <c r="H479" s="69" t="str">
        <f t="shared" si="250"/>
        <v/>
      </c>
      <c r="I479" s="69" t="str">
        <f t="shared" si="251"/>
        <v/>
      </c>
      <c r="J479" s="75" t="str">
        <f t="shared" si="258"/>
        <v/>
      </c>
      <c r="K479" s="63"/>
    </row>
    <row r="480" spans="1:18" x14ac:dyDescent="0.25">
      <c r="A480" s="2" t="s">
        <v>1224</v>
      </c>
      <c r="B480" s="37" t="s">
        <v>1255</v>
      </c>
      <c r="C480" s="37"/>
      <c r="D480" s="71">
        <v>1</v>
      </c>
      <c r="E480" s="71">
        <v>0</v>
      </c>
      <c r="F480" s="71">
        <v>0</v>
      </c>
      <c r="G480" s="68">
        <f t="shared" si="249"/>
        <v>0</v>
      </c>
      <c r="H480" s="68">
        <f t="shared" si="250"/>
        <v>0</v>
      </c>
      <c r="I480" s="68">
        <f t="shared" si="251"/>
        <v>0</v>
      </c>
      <c r="J480" s="74">
        <f t="shared" ref="J480:J482" si="259">IF(B480="","",SUM(D480:F480))</f>
        <v>1</v>
      </c>
      <c r="K480" s="62"/>
    </row>
    <row r="481" spans="1:18" x14ac:dyDescent="0.25">
      <c r="A481" s="2"/>
      <c r="B481" s="37" t="s">
        <v>1307</v>
      </c>
      <c r="C481" s="37"/>
      <c r="D481" s="71">
        <v>0</v>
      </c>
      <c r="E481" s="71">
        <v>1</v>
      </c>
      <c r="F481" s="71">
        <v>0</v>
      </c>
      <c r="G481" s="68">
        <f t="shared" si="249"/>
        <v>0</v>
      </c>
      <c r="H481" s="68">
        <f t="shared" si="250"/>
        <v>0</v>
      </c>
      <c r="I481" s="68">
        <f t="shared" si="251"/>
        <v>0</v>
      </c>
      <c r="J481" s="74">
        <f t="shared" si="259"/>
        <v>1</v>
      </c>
      <c r="K481" s="62"/>
    </row>
    <row r="482" spans="1:18" x14ac:dyDescent="0.25">
      <c r="A482" s="3"/>
      <c r="B482" s="39" t="s">
        <v>963</v>
      </c>
      <c r="C482" s="39"/>
      <c r="D482" s="72">
        <v>0</v>
      </c>
      <c r="E482" s="72">
        <v>0</v>
      </c>
      <c r="F482" s="72">
        <v>1</v>
      </c>
      <c r="G482" s="69">
        <f t="shared" si="249"/>
        <v>0</v>
      </c>
      <c r="H482" s="69">
        <f t="shared" si="250"/>
        <v>0</v>
      </c>
      <c r="I482" s="69">
        <f t="shared" si="251"/>
        <v>0</v>
      </c>
      <c r="J482" s="75">
        <f t="shared" si="259"/>
        <v>1</v>
      </c>
      <c r="K482" s="63"/>
    </row>
    <row r="484" spans="1:18" x14ac:dyDescent="0.25">
      <c r="A484" s="81">
        <v>25</v>
      </c>
      <c r="B484" s="49" t="s">
        <v>1142</v>
      </c>
      <c r="C484" s="31" t="s">
        <v>1421</v>
      </c>
      <c r="D484" s="76"/>
      <c r="E484" s="66"/>
      <c r="F484" s="66"/>
      <c r="G484" s="66"/>
      <c r="H484" s="66"/>
      <c r="I484" s="66"/>
      <c r="J484" s="60"/>
      <c r="K484" s="60"/>
    </row>
    <row r="485" spans="1:18" x14ac:dyDescent="0.25">
      <c r="A485" s="4" t="s">
        <v>6</v>
      </c>
      <c r="B485" s="37" t="s">
        <v>184</v>
      </c>
      <c r="C485" s="37"/>
      <c r="D485" s="70">
        <v>1</v>
      </c>
      <c r="E485" s="70">
        <v>1</v>
      </c>
      <c r="F485" s="70">
        <v>1</v>
      </c>
      <c r="G485" s="67">
        <f t="shared" ref="G485:G502" si="260">IF(B485="","",IF( AND(D485=1, E485=1),1,0))</f>
        <v>1</v>
      </c>
      <c r="H485" s="67">
        <f t="shared" ref="H485:H502" si="261">IF(B485="","",IF(AND(D485=1,F485=1),1,0))</f>
        <v>1</v>
      </c>
      <c r="I485" s="67">
        <f t="shared" ref="I485:I502" si="262">IF(B485="","",IF(AND(E485=1,F485=1),1,0))</f>
        <v>1</v>
      </c>
      <c r="J485" s="73">
        <f t="shared" ref="J485" si="263">IF(B485="","",SUM(D485:F485))</f>
        <v>3</v>
      </c>
      <c r="K485" s="61"/>
      <c r="M485" s="7">
        <f t="shared" ref="M485" si="264">SUM(G485:I485)/3</f>
        <v>1</v>
      </c>
      <c r="N485" s="6">
        <f t="shared" ref="N485" si="265">SUM(G488:I488)/3</f>
        <v>1</v>
      </c>
      <c r="O485" s="7">
        <f t="shared" ref="O485" si="266">SUM(G491:I491)/3</f>
        <v>1</v>
      </c>
      <c r="P485" s="6">
        <f t="shared" ref="P485" si="267">SUM(G494:I494)/3</f>
        <v>1</v>
      </c>
      <c r="Q485" s="7">
        <f t="shared" ref="Q485" si="268">SUM(G497:I497)/3</f>
        <v>1</v>
      </c>
      <c r="R485" s="7">
        <f>SUM(G500:I500)/3</f>
        <v>0.33333333333333331</v>
      </c>
    </row>
    <row r="486" spans="1:18" x14ac:dyDescent="0.25">
      <c r="A486" s="2"/>
      <c r="B486" s="33" t="s">
        <v>188</v>
      </c>
      <c r="C486" s="37"/>
      <c r="D486" s="71">
        <v>0</v>
      </c>
      <c r="E486" s="71">
        <v>1</v>
      </c>
      <c r="F486" s="71">
        <v>1</v>
      </c>
      <c r="G486" s="68">
        <f t="shared" si="260"/>
        <v>0</v>
      </c>
      <c r="H486" s="68">
        <f t="shared" si="261"/>
        <v>0</v>
      </c>
      <c r="I486" s="68">
        <f t="shared" si="262"/>
        <v>1</v>
      </c>
      <c r="J486" s="74">
        <f t="shared" si="258"/>
        <v>2</v>
      </c>
      <c r="K486" s="62"/>
    </row>
    <row r="487" spans="1:18" x14ac:dyDescent="0.25">
      <c r="A487" s="3"/>
      <c r="B487" s="42"/>
      <c r="C487" s="42"/>
      <c r="D487" s="72"/>
      <c r="E487" s="72"/>
      <c r="F487" s="72"/>
      <c r="G487" s="69" t="str">
        <f t="shared" si="260"/>
        <v/>
      </c>
      <c r="H487" s="69" t="str">
        <f t="shared" si="261"/>
        <v/>
      </c>
      <c r="I487" s="69" t="str">
        <f t="shared" si="262"/>
        <v/>
      </c>
      <c r="J487" s="75" t="str">
        <f t="shared" si="258"/>
        <v/>
      </c>
      <c r="K487" s="63"/>
    </row>
    <row r="488" spans="1:18" x14ac:dyDescent="0.25">
      <c r="A488" s="4" t="s">
        <v>5</v>
      </c>
      <c r="B488" s="33" t="s">
        <v>189</v>
      </c>
      <c r="C488" s="33"/>
      <c r="D488" s="70">
        <v>1</v>
      </c>
      <c r="E488" s="70">
        <v>1</v>
      </c>
      <c r="F488" s="70">
        <v>1</v>
      </c>
      <c r="G488" s="67">
        <f t="shared" si="260"/>
        <v>1</v>
      </c>
      <c r="H488" s="67">
        <f t="shared" si="261"/>
        <v>1</v>
      </c>
      <c r="I488" s="67">
        <f t="shared" si="262"/>
        <v>1</v>
      </c>
      <c r="J488" s="73">
        <f t="shared" si="258"/>
        <v>3</v>
      </c>
      <c r="K488" s="61"/>
    </row>
    <row r="489" spans="1:18" x14ac:dyDescent="0.25">
      <c r="A489" s="2"/>
      <c r="B489" s="37"/>
      <c r="C489" s="37"/>
      <c r="D489" s="71"/>
      <c r="E489" s="71"/>
      <c r="F489" s="71"/>
      <c r="G489" s="68" t="str">
        <f t="shared" si="260"/>
        <v/>
      </c>
      <c r="H489" s="68" t="str">
        <f t="shared" si="261"/>
        <v/>
      </c>
      <c r="I489" s="68" t="str">
        <f t="shared" si="262"/>
        <v/>
      </c>
      <c r="J489" s="74" t="str">
        <f t="shared" si="258"/>
        <v/>
      </c>
      <c r="K489" s="62"/>
    </row>
    <row r="490" spans="1:18" x14ac:dyDescent="0.25">
      <c r="A490" s="3"/>
      <c r="B490" s="40"/>
      <c r="C490" s="37"/>
      <c r="D490" s="71"/>
      <c r="E490" s="71"/>
      <c r="F490" s="71"/>
      <c r="G490" s="69" t="str">
        <f t="shared" si="260"/>
        <v/>
      </c>
      <c r="H490" s="69" t="str">
        <f t="shared" si="261"/>
        <v/>
      </c>
      <c r="I490" s="69" t="str">
        <f t="shared" si="262"/>
        <v/>
      </c>
      <c r="J490" s="75" t="str">
        <f t="shared" si="258"/>
        <v/>
      </c>
      <c r="K490" s="63"/>
    </row>
    <row r="491" spans="1:18" x14ac:dyDescent="0.25">
      <c r="A491" s="4" t="s">
        <v>7</v>
      </c>
      <c r="B491" s="33" t="s">
        <v>190</v>
      </c>
      <c r="C491" s="33"/>
      <c r="D491" s="70">
        <v>1</v>
      </c>
      <c r="E491" s="70">
        <v>1</v>
      </c>
      <c r="F491" s="70">
        <v>1</v>
      </c>
      <c r="G491" s="67">
        <f t="shared" si="260"/>
        <v>1</v>
      </c>
      <c r="H491" s="67">
        <f t="shared" si="261"/>
        <v>1</v>
      </c>
      <c r="I491" s="67">
        <f t="shared" si="262"/>
        <v>1</v>
      </c>
      <c r="J491" s="73">
        <f t="shared" si="258"/>
        <v>3</v>
      </c>
      <c r="K491" s="61"/>
    </row>
    <row r="492" spans="1:18" x14ac:dyDescent="0.25">
      <c r="A492" s="2"/>
      <c r="B492" s="37"/>
      <c r="C492" s="37"/>
      <c r="D492" s="71"/>
      <c r="E492" s="71"/>
      <c r="F492" s="71"/>
      <c r="G492" s="68" t="str">
        <f t="shared" si="260"/>
        <v/>
      </c>
      <c r="H492" s="68" t="str">
        <f t="shared" si="261"/>
        <v/>
      </c>
      <c r="I492" s="68" t="str">
        <f t="shared" si="262"/>
        <v/>
      </c>
      <c r="J492" s="74" t="str">
        <f t="shared" si="258"/>
        <v/>
      </c>
      <c r="K492" s="62"/>
    </row>
    <row r="493" spans="1:18" x14ac:dyDescent="0.25">
      <c r="A493" s="3"/>
      <c r="B493" s="40"/>
      <c r="C493" s="40"/>
      <c r="D493" s="72"/>
      <c r="E493" s="72"/>
      <c r="F493" s="72"/>
      <c r="G493" s="69" t="str">
        <f t="shared" si="260"/>
        <v/>
      </c>
      <c r="H493" s="69" t="str">
        <f t="shared" si="261"/>
        <v/>
      </c>
      <c r="I493" s="69" t="str">
        <f t="shared" si="262"/>
        <v/>
      </c>
      <c r="J493" s="75" t="str">
        <f t="shared" si="258"/>
        <v/>
      </c>
      <c r="K493" s="63"/>
    </row>
    <row r="494" spans="1:18" x14ac:dyDescent="0.25">
      <c r="A494" s="4" t="s">
        <v>8</v>
      </c>
      <c r="B494" s="37" t="s">
        <v>186</v>
      </c>
      <c r="C494" s="37"/>
      <c r="D494" s="70">
        <v>1</v>
      </c>
      <c r="E494" s="70">
        <v>1</v>
      </c>
      <c r="F494" s="70">
        <v>1</v>
      </c>
      <c r="G494" s="67">
        <f t="shared" si="260"/>
        <v>1</v>
      </c>
      <c r="H494" s="67">
        <f t="shared" si="261"/>
        <v>1</v>
      </c>
      <c r="I494" s="67">
        <f t="shared" si="262"/>
        <v>1</v>
      </c>
      <c r="J494" s="73">
        <f t="shared" si="258"/>
        <v>3</v>
      </c>
      <c r="K494" s="61"/>
    </row>
    <row r="495" spans="1:18" x14ac:dyDescent="0.25">
      <c r="A495" s="2"/>
      <c r="B495" s="37"/>
      <c r="C495" s="37"/>
      <c r="D495" s="71"/>
      <c r="E495" s="71"/>
      <c r="F495" s="71"/>
      <c r="G495" s="68" t="str">
        <f t="shared" si="260"/>
        <v/>
      </c>
      <c r="H495" s="68" t="str">
        <f t="shared" si="261"/>
        <v/>
      </c>
      <c r="I495" s="68" t="str">
        <f t="shared" si="262"/>
        <v/>
      </c>
      <c r="J495" s="74" t="str">
        <f t="shared" si="258"/>
        <v/>
      </c>
      <c r="K495" s="62"/>
    </row>
    <row r="496" spans="1:18" x14ac:dyDescent="0.25">
      <c r="A496" s="3"/>
      <c r="B496" s="40"/>
      <c r="C496" s="40"/>
      <c r="D496" s="72"/>
      <c r="E496" s="72"/>
      <c r="F496" s="72"/>
      <c r="G496" s="69" t="str">
        <f t="shared" si="260"/>
        <v/>
      </c>
      <c r="H496" s="69" t="str">
        <f t="shared" si="261"/>
        <v/>
      </c>
      <c r="I496" s="69" t="str">
        <f t="shared" si="262"/>
        <v/>
      </c>
      <c r="J496" s="75" t="str">
        <f t="shared" si="258"/>
        <v/>
      </c>
      <c r="K496" s="63"/>
    </row>
    <row r="497" spans="1:18" x14ac:dyDescent="0.25">
      <c r="A497" s="2" t="s">
        <v>9</v>
      </c>
      <c r="B497" s="37" t="s">
        <v>193</v>
      </c>
      <c r="C497" s="37"/>
      <c r="D497" s="71">
        <v>1</v>
      </c>
      <c r="E497" s="71">
        <v>1</v>
      </c>
      <c r="F497" s="71">
        <v>1</v>
      </c>
      <c r="G497" s="68">
        <f t="shared" si="260"/>
        <v>1</v>
      </c>
      <c r="H497" s="68">
        <f t="shared" si="261"/>
        <v>1</v>
      </c>
      <c r="I497" s="68">
        <f t="shared" si="262"/>
        <v>1</v>
      </c>
      <c r="J497" s="74">
        <f t="shared" si="258"/>
        <v>3</v>
      </c>
      <c r="K497" s="62"/>
    </row>
    <row r="498" spans="1:18" x14ac:dyDescent="0.25">
      <c r="A498" s="2"/>
      <c r="B498" s="37"/>
      <c r="C498" s="37"/>
      <c r="D498" s="71"/>
      <c r="E498" s="71"/>
      <c r="F498" s="71"/>
      <c r="G498" s="68" t="str">
        <f t="shared" si="260"/>
        <v/>
      </c>
      <c r="H498" s="68" t="str">
        <f t="shared" si="261"/>
        <v/>
      </c>
      <c r="I498" s="68" t="str">
        <f t="shared" si="262"/>
        <v/>
      </c>
      <c r="J498" s="74" t="str">
        <f t="shared" si="258"/>
        <v/>
      </c>
      <c r="K498" s="62"/>
    </row>
    <row r="499" spans="1:18" x14ac:dyDescent="0.25">
      <c r="A499" s="3"/>
      <c r="B499" s="40"/>
      <c r="C499" s="40"/>
      <c r="D499" s="72"/>
      <c r="E499" s="72"/>
      <c r="F499" s="72"/>
      <c r="G499" s="69" t="str">
        <f t="shared" si="260"/>
        <v/>
      </c>
      <c r="H499" s="69" t="str">
        <f t="shared" si="261"/>
        <v/>
      </c>
      <c r="I499" s="69" t="str">
        <f t="shared" si="262"/>
        <v/>
      </c>
      <c r="J499" s="75" t="str">
        <f t="shared" si="258"/>
        <v/>
      </c>
      <c r="K499" s="63"/>
    </row>
    <row r="500" spans="1:18" x14ac:dyDescent="0.25">
      <c r="A500" s="2" t="s">
        <v>1224</v>
      </c>
      <c r="B500" s="37" t="s">
        <v>1372</v>
      </c>
      <c r="C500" s="37"/>
      <c r="D500" s="71">
        <v>1</v>
      </c>
      <c r="E500" s="71">
        <v>1</v>
      </c>
      <c r="F500" s="71">
        <v>0</v>
      </c>
      <c r="G500" s="68">
        <f t="shared" si="260"/>
        <v>1</v>
      </c>
      <c r="H500" s="68">
        <f t="shared" si="261"/>
        <v>0</v>
      </c>
      <c r="I500" s="68">
        <f t="shared" si="262"/>
        <v>0</v>
      </c>
      <c r="J500" s="74">
        <f t="shared" ref="J500:J502" si="269">IF(B500="","",SUM(D500:F500))</f>
        <v>2</v>
      </c>
      <c r="K500" s="62"/>
    </row>
    <row r="501" spans="1:18" x14ac:dyDescent="0.25">
      <c r="A501" s="2"/>
      <c r="B501" s="37" t="s">
        <v>1373</v>
      </c>
      <c r="C501" s="37"/>
      <c r="D501" s="71">
        <v>0</v>
      </c>
      <c r="E501" s="71">
        <v>0</v>
      </c>
      <c r="F501" s="71">
        <v>0</v>
      </c>
      <c r="G501" s="68">
        <f t="shared" si="260"/>
        <v>0</v>
      </c>
      <c r="H501" s="68">
        <f t="shared" si="261"/>
        <v>0</v>
      </c>
      <c r="I501" s="68">
        <f t="shared" si="262"/>
        <v>0</v>
      </c>
      <c r="J501" s="74">
        <f t="shared" si="269"/>
        <v>0</v>
      </c>
      <c r="K501" s="62"/>
    </row>
    <row r="502" spans="1:18" x14ac:dyDescent="0.25">
      <c r="A502" s="3"/>
      <c r="B502" s="40"/>
      <c r="C502" s="40"/>
      <c r="D502" s="72"/>
      <c r="E502" s="72"/>
      <c r="F502" s="72"/>
      <c r="G502" s="69" t="str">
        <f t="shared" si="260"/>
        <v/>
      </c>
      <c r="H502" s="69" t="str">
        <f t="shared" si="261"/>
        <v/>
      </c>
      <c r="I502" s="69" t="str">
        <f t="shared" si="262"/>
        <v/>
      </c>
      <c r="J502" s="75" t="str">
        <f t="shared" si="269"/>
        <v/>
      </c>
      <c r="K502" s="63"/>
    </row>
    <row r="504" spans="1:18" x14ac:dyDescent="0.25">
      <c r="A504" s="81">
        <v>26</v>
      </c>
      <c r="B504" s="49" t="s">
        <v>1143</v>
      </c>
      <c r="C504" s="31" t="s">
        <v>1422</v>
      </c>
      <c r="D504" s="76"/>
      <c r="E504" s="66"/>
      <c r="F504" s="66"/>
      <c r="G504" s="66"/>
      <c r="H504" s="66"/>
      <c r="I504" s="66"/>
      <c r="J504" s="60"/>
      <c r="K504" s="60"/>
    </row>
    <row r="505" spans="1:18" x14ac:dyDescent="0.25">
      <c r="A505" s="4" t="s">
        <v>6</v>
      </c>
      <c r="B505" s="37" t="s">
        <v>316</v>
      </c>
      <c r="C505" s="37"/>
      <c r="D505" s="70">
        <v>1</v>
      </c>
      <c r="E505" s="70">
        <v>1</v>
      </c>
      <c r="F505" s="70">
        <v>0</v>
      </c>
      <c r="G505" s="67">
        <f t="shared" ref="G505:G522" si="270">IF(B505="","",IF( AND(D505=1, E505=1),1,0))</f>
        <v>1</v>
      </c>
      <c r="H505" s="67">
        <f t="shared" ref="H505:H522" si="271">IF(B505="","",IF(AND(D505=1,F505=1),1,0))</f>
        <v>0</v>
      </c>
      <c r="I505" s="67">
        <f t="shared" ref="I505:I522" si="272">IF(B505="","",IF(AND(E505=1,F505=1),1,0))</f>
        <v>0</v>
      </c>
      <c r="J505" s="73">
        <f t="shared" ref="J505" si="273">IF(B505="","",SUM(D505:F505))</f>
        <v>2</v>
      </c>
      <c r="K505" s="61"/>
      <c r="M505" s="7">
        <f t="shared" ref="M505" si="274">SUM(G505:I505)/3</f>
        <v>0.33333333333333331</v>
      </c>
      <c r="N505" s="6">
        <f t="shared" ref="N505" si="275">SUM(G508:I508)/3</f>
        <v>1</v>
      </c>
      <c r="O505" s="7">
        <f t="shared" ref="O505" si="276">SUM(G511:I511)/3</f>
        <v>1</v>
      </c>
      <c r="P505" s="6">
        <f t="shared" ref="P505" si="277">SUM(G514:I514)/3</f>
        <v>1</v>
      </c>
      <c r="Q505" s="7">
        <f t="shared" ref="Q505" si="278">SUM(G517:I517)/3</f>
        <v>1</v>
      </c>
      <c r="R505" s="7">
        <f>SUM(G520:I520)/3</f>
        <v>1</v>
      </c>
    </row>
    <row r="506" spans="1:18" x14ac:dyDescent="0.25">
      <c r="A506" s="2"/>
      <c r="B506" s="37" t="s">
        <v>317</v>
      </c>
      <c r="C506" s="37"/>
      <c r="D506" s="71">
        <v>0</v>
      </c>
      <c r="E506" s="71">
        <v>1</v>
      </c>
      <c r="F506" s="71">
        <v>1</v>
      </c>
      <c r="G506" s="68">
        <f t="shared" si="270"/>
        <v>0</v>
      </c>
      <c r="H506" s="68">
        <f t="shared" si="271"/>
        <v>0</v>
      </c>
      <c r="I506" s="68">
        <f t="shared" si="272"/>
        <v>1</v>
      </c>
      <c r="J506" s="74">
        <f t="shared" si="258"/>
        <v>2</v>
      </c>
      <c r="K506" s="62"/>
    </row>
    <row r="507" spans="1:18" x14ac:dyDescent="0.25">
      <c r="A507" s="3"/>
      <c r="B507" s="42"/>
      <c r="C507" s="42"/>
      <c r="D507" s="72"/>
      <c r="E507" s="72"/>
      <c r="F507" s="72"/>
      <c r="G507" s="69" t="str">
        <f t="shared" si="270"/>
        <v/>
      </c>
      <c r="H507" s="69" t="str">
        <f t="shared" si="271"/>
        <v/>
      </c>
      <c r="I507" s="69" t="str">
        <f t="shared" si="272"/>
        <v/>
      </c>
      <c r="J507" s="75" t="str">
        <f t="shared" si="258"/>
        <v/>
      </c>
      <c r="K507" s="63"/>
    </row>
    <row r="508" spans="1:18" x14ac:dyDescent="0.25">
      <c r="A508" s="4" t="s">
        <v>5</v>
      </c>
      <c r="B508" s="33" t="s">
        <v>1105</v>
      </c>
      <c r="C508" s="33"/>
      <c r="D508" s="70">
        <v>1</v>
      </c>
      <c r="E508" s="70">
        <v>1</v>
      </c>
      <c r="F508" s="70">
        <v>1</v>
      </c>
      <c r="G508" s="67">
        <f t="shared" si="270"/>
        <v>1</v>
      </c>
      <c r="H508" s="67">
        <f t="shared" si="271"/>
        <v>1</v>
      </c>
      <c r="I508" s="67">
        <f t="shared" si="272"/>
        <v>1</v>
      </c>
      <c r="J508" s="73">
        <f t="shared" si="258"/>
        <v>3</v>
      </c>
      <c r="K508" s="61"/>
    </row>
    <row r="509" spans="1:18" x14ac:dyDescent="0.25">
      <c r="A509" s="2"/>
      <c r="B509" s="37"/>
      <c r="C509" s="37"/>
      <c r="D509" s="71"/>
      <c r="E509" s="71"/>
      <c r="F509" s="71"/>
      <c r="G509" s="68" t="str">
        <f t="shared" si="270"/>
        <v/>
      </c>
      <c r="H509" s="68" t="str">
        <f t="shared" si="271"/>
        <v/>
      </c>
      <c r="I509" s="68" t="str">
        <f t="shared" si="272"/>
        <v/>
      </c>
      <c r="J509" s="74" t="str">
        <f t="shared" si="258"/>
        <v/>
      </c>
      <c r="K509" s="62"/>
    </row>
    <row r="510" spans="1:18" x14ac:dyDescent="0.25">
      <c r="A510" s="3"/>
      <c r="B510" s="40"/>
      <c r="C510" s="37"/>
      <c r="D510" s="71"/>
      <c r="E510" s="71"/>
      <c r="F510" s="71"/>
      <c r="G510" s="69" t="str">
        <f t="shared" si="270"/>
        <v/>
      </c>
      <c r="H510" s="69" t="str">
        <f t="shared" si="271"/>
        <v/>
      </c>
      <c r="I510" s="69" t="str">
        <f t="shared" si="272"/>
        <v/>
      </c>
      <c r="J510" s="75" t="str">
        <f t="shared" si="258"/>
        <v/>
      </c>
      <c r="K510" s="63"/>
    </row>
    <row r="511" spans="1:18" x14ac:dyDescent="0.25">
      <c r="A511" s="4" t="s">
        <v>7</v>
      </c>
      <c r="B511" s="33" t="s">
        <v>319</v>
      </c>
      <c r="C511" s="33"/>
      <c r="D511" s="70">
        <v>1</v>
      </c>
      <c r="E511" s="70">
        <v>1</v>
      </c>
      <c r="F511" s="70">
        <v>1</v>
      </c>
      <c r="G511" s="67">
        <f t="shared" si="270"/>
        <v>1</v>
      </c>
      <c r="H511" s="67">
        <f t="shared" si="271"/>
        <v>1</v>
      </c>
      <c r="I511" s="67">
        <f t="shared" si="272"/>
        <v>1</v>
      </c>
      <c r="J511" s="73">
        <f t="shared" si="258"/>
        <v>3</v>
      </c>
      <c r="K511" s="61"/>
    </row>
    <row r="512" spans="1:18" x14ac:dyDescent="0.25">
      <c r="A512" s="2"/>
      <c r="B512" s="37"/>
      <c r="C512" s="37"/>
      <c r="D512" s="71"/>
      <c r="E512" s="71"/>
      <c r="F512" s="71"/>
      <c r="G512" s="68" t="str">
        <f t="shared" si="270"/>
        <v/>
      </c>
      <c r="H512" s="68" t="str">
        <f t="shared" si="271"/>
        <v/>
      </c>
      <c r="I512" s="68" t="str">
        <f t="shared" si="272"/>
        <v/>
      </c>
      <c r="J512" s="74" t="str">
        <f t="shared" si="258"/>
        <v/>
      </c>
      <c r="K512" s="62"/>
    </row>
    <row r="513" spans="1:18" x14ac:dyDescent="0.25">
      <c r="A513" s="3"/>
      <c r="B513" s="40"/>
      <c r="C513" s="40"/>
      <c r="D513" s="72"/>
      <c r="E513" s="72"/>
      <c r="F513" s="72"/>
      <c r="G513" s="69" t="str">
        <f t="shared" si="270"/>
        <v/>
      </c>
      <c r="H513" s="69" t="str">
        <f t="shared" si="271"/>
        <v/>
      </c>
      <c r="I513" s="69" t="str">
        <f t="shared" si="272"/>
        <v/>
      </c>
      <c r="J513" s="75" t="str">
        <f t="shared" si="258"/>
        <v/>
      </c>
      <c r="K513" s="63"/>
    </row>
    <row r="514" spans="1:18" x14ac:dyDescent="0.25">
      <c r="A514" s="4" t="s">
        <v>8</v>
      </c>
      <c r="B514" s="37" t="s">
        <v>320</v>
      </c>
      <c r="C514" s="37"/>
      <c r="D514" s="70">
        <v>1</v>
      </c>
      <c r="E514" s="70">
        <v>1</v>
      </c>
      <c r="F514" s="70">
        <v>1</v>
      </c>
      <c r="G514" s="67">
        <f t="shared" si="270"/>
        <v>1</v>
      </c>
      <c r="H514" s="67">
        <f t="shared" si="271"/>
        <v>1</v>
      </c>
      <c r="I514" s="67">
        <f t="shared" si="272"/>
        <v>1</v>
      </c>
      <c r="J514" s="73">
        <f t="shared" si="258"/>
        <v>3</v>
      </c>
      <c r="K514" s="61"/>
    </row>
    <row r="515" spans="1:18" x14ac:dyDescent="0.25">
      <c r="A515" s="2"/>
      <c r="B515" s="37"/>
      <c r="C515" s="37"/>
      <c r="D515" s="71"/>
      <c r="E515" s="71"/>
      <c r="F515" s="71"/>
      <c r="G515" s="68" t="str">
        <f t="shared" si="270"/>
        <v/>
      </c>
      <c r="H515" s="68" t="str">
        <f t="shared" si="271"/>
        <v/>
      </c>
      <c r="I515" s="68" t="str">
        <f t="shared" si="272"/>
        <v/>
      </c>
      <c r="J515" s="74" t="str">
        <f t="shared" si="258"/>
        <v/>
      </c>
      <c r="K515" s="62"/>
    </row>
    <row r="516" spans="1:18" x14ac:dyDescent="0.25">
      <c r="A516" s="3"/>
      <c r="B516" s="40"/>
      <c r="C516" s="40"/>
      <c r="D516" s="72"/>
      <c r="E516" s="72"/>
      <c r="F516" s="72"/>
      <c r="G516" s="69" t="str">
        <f t="shared" si="270"/>
        <v/>
      </c>
      <c r="H516" s="69" t="str">
        <f t="shared" si="271"/>
        <v/>
      </c>
      <c r="I516" s="69" t="str">
        <f t="shared" si="272"/>
        <v/>
      </c>
      <c r="J516" s="75" t="str">
        <f t="shared" si="258"/>
        <v/>
      </c>
      <c r="K516" s="63"/>
    </row>
    <row r="517" spans="1:18" x14ac:dyDescent="0.25">
      <c r="A517" s="2" t="s">
        <v>9</v>
      </c>
      <c r="B517" s="37" t="s">
        <v>321</v>
      </c>
      <c r="C517" s="37"/>
      <c r="D517" s="71">
        <v>1</v>
      </c>
      <c r="E517" s="71">
        <v>1</v>
      </c>
      <c r="F517" s="71">
        <v>1</v>
      </c>
      <c r="G517" s="68">
        <f t="shared" si="270"/>
        <v>1</v>
      </c>
      <c r="H517" s="68">
        <f t="shared" si="271"/>
        <v>1</v>
      </c>
      <c r="I517" s="68">
        <f t="shared" si="272"/>
        <v>1</v>
      </c>
      <c r="J517" s="74">
        <f t="shared" si="258"/>
        <v>3</v>
      </c>
      <c r="K517" s="62"/>
    </row>
    <row r="518" spans="1:18" x14ac:dyDescent="0.25">
      <c r="A518" s="2"/>
      <c r="B518" s="37"/>
      <c r="C518" s="37"/>
      <c r="D518" s="71"/>
      <c r="E518" s="71"/>
      <c r="F518" s="71"/>
      <c r="G518" s="68" t="str">
        <f t="shared" si="270"/>
        <v/>
      </c>
      <c r="H518" s="68" t="str">
        <f t="shared" si="271"/>
        <v/>
      </c>
      <c r="I518" s="68" t="str">
        <f t="shared" si="272"/>
        <v/>
      </c>
      <c r="J518" s="74" t="str">
        <f t="shared" si="258"/>
        <v/>
      </c>
      <c r="K518" s="62"/>
    </row>
    <row r="519" spans="1:18" x14ac:dyDescent="0.25">
      <c r="A519" s="3"/>
      <c r="B519" s="40"/>
      <c r="C519" s="40"/>
      <c r="D519" s="72"/>
      <c r="E519" s="72"/>
      <c r="F519" s="72"/>
      <c r="G519" s="69" t="str">
        <f t="shared" si="270"/>
        <v/>
      </c>
      <c r="H519" s="69" t="str">
        <f t="shared" si="271"/>
        <v/>
      </c>
      <c r="I519" s="69" t="str">
        <f t="shared" si="272"/>
        <v/>
      </c>
      <c r="J519" s="75" t="str">
        <f t="shared" si="258"/>
        <v/>
      </c>
      <c r="K519" s="63"/>
    </row>
    <row r="520" spans="1:18" x14ac:dyDescent="0.25">
      <c r="A520" s="2" t="s">
        <v>1224</v>
      </c>
      <c r="B520" s="37" t="s">
        <v>1308</v>
      </c>
      <c r="C520" s="37"/>
      <c r="D520" s="71">
        <v>1</v>
      </c>
      <c r="E520" s="71">
        <v>1</v>
      </c>
      <c r="F520" s="71">
        <v>1</v>
      </c>
      <c r="G520" s="68">
        <f t="shared" si="270"/>
        <v>1</v>
      </c>
      <c r="H520" s="68">
        <f t="shared" si="271"/>
        <v>1</v>
      </c>
      <c r="I520" s="68">
        <f t="shared" si="272"/>
        <v>1</v>
      </c>
      <c r="J520" s="74">
        <f t="shared" ref="J520:J522" si="279">IF(B520="","",SUM(D520:F520))</f>
        <v>3</v>
      </c>
      <c r="K520" s="62"/>
    </row>
    <row r="521" spans="1:18" x14ac:dyDescent="0.25">
      <c r="A521" s="2"/>
      <c r="B521" s="37"/>
      <c r="C521" s="37"/>
      <c r="D521" s="71"/>
      <c r="E521" s="71"/>
      <c r="F521" s="71"/>
      <c r="G521" s="68" t="str">
        <f t="shared" si="270"/>
        <v/>
      </c>
      <c r="H521" s="68" t="str">
        <f t="shared" si="271"/>
        <v/>
      </c>
      <c r="I521" s="68" t="str">
        <f t="shared" si="272"/>
        <v/>
      </c>
      <c r="J521" s="74" t="str">
        <f t="shared" si="279"/>
        <v/>
      </c>
      <c r="K521" s="62"/>
    </row>
    <row r="522" spans="1:18" x14ac:dyDescent="0.25">
      <c r="A522" s="3"/>
      <c r="B522" s="40"/>
      <c r="C522" s="40"/>
      <c r="D522" s="72"/>
      <c r="E522" s="72"/>
      <c r="F522" s="72"/>
      <c r="G522" s="69" t="str">
        <f t="shared" si="270"/>
        <v/>
      </c>
      <c r="H522" s="69" t="str">
        <f t="shared" si="271"/>
        <v/>
      </c>
      <c r="I522" s="69" t="str">
        <f t="shared" si="272"/>
        <v/>
      </c>
      <c r="J522" s="75" t="str">
        <f t="shared" si="279"/>
        <v/>
      </c>
      <c r="K522" s="63"/>
    </row>
    <row r="524" spans="1:18" x14ac:dyDescent="0.25">
      <c r="A524" s="81">
        <v>27</v>
      </c>
      <c r="B524" s="49" t="s">
        <v>1144</v>
      </c>
      <c r="C524" s="31" t="s">
        <v>1423</v>
      </c>
      <c r="D524" s="76"/>
      <c r="E524" s="66"/>
      <c r="F524" s="66"/>
      <c r="G524" s="66"/>
      <c r="H524" s="66"/>
      <c r="I524" s="66"/>
      <c r="J524" s="60"/>
      <c r="K524" s="60"/>
    </row>
    <row r="525" spans="1:18" x14ac:dyDescent="0.25">
      <c r="A525" s="4" t="s">
        <v>6</v>
      </c>
      <c r="B525" s="37" t="s">
        <v>322</v>
      </c>
      <c r="C525" s="37"/>
      <c r="D525" s="70">
        <v>1</v>
      </c>
      <c r="E525" s="70">
        <v>1</v>
      </c>
      <c r="F525" s="70">
        <v>0</v>
      </c>
      <c r="G525" s="67">
        <f t="shared" ref="G525:G542" si="280">IF(B525="","",IF( AND(D525=1, E525=1),1,0))</f>
        <v>1</v>
      </c>
      <c r="H525" s="67">
        <f t="shared" ref="H525:H542" si="281">IF(B525="","",IF(AND(D525=1,F525=1),1,0))</f>
        <v>0</v>
      </c>
      <c r="I525" s="67">
        <f t="shared" ref="I525:I542" si="282">IF(B525="","",IF(AND(E525=1,F525=1),1,0))</f>
        <v>0</v>
      </c>
      <c r="J525" s="73">
        <f t="shared" ref="J525" si="283">IF(B525="","",SUM(D525:F525))</f>
        <v>2</v>
      </c>
      <c r="K525" s="61"/>
      <c r="M525" s="7">
        <f t="shared" ref="M525" si="284">SUM(G525:I525)/3</f>
        <v>0.33333333333333331</v>
      </c>
      <c r="N525" s="6">
        <f t="shared" ref="N525" si="285">SUM(G528:I528)/3</f>
        <v>1</v>
      </c>
      <c r="O525" s="7">
        <f t="shared" ref="O525" si="286">SUM(G531:I531)/3</f>
        <v>1</v>
      </c>
      <c r="P525" s="6">
        <f t="shared" ref="P525" si="287">SUM(G534:I534)/3</f>
        <v>0</v>
      </c>
      <c r="Q525" s="7">
        <f t="shared" ref="Q525" si="288">SUM(G537:I537)/3</f>
        <v>1</v>
      </c>
      <c r="R525" s="7">
        <f>SUM(G540:I540)/3</f>
        <v>0.33333333333333331</v>
      </c>
    </row>
    <row r="526" spans="1:18" x14ac:dyDescent="0.25">
      <c r="A526" s="2"/>
      <c r="B526" s="37" t="s">
        <v>323</v>
      </c>
      <c r="C526" s="37"/>
      <c r="D526" s="71">
        <v>0</v>
      </c>
      <c r="E526" s="71">
        <v>1</v>
      </c>
      <c r="F526" s="71">
        <v>1</v>
      </c>
      <c r="G526" s="68">
        <f t="shared" si="280"/>
        <v>0</v>
      </c>
      <c r="H526" s="68">
        <f t="shared" si="281"/>
        <v>0</v>
      </c>
      <c r="I526" s="68">
        <f t="shared" si="282"/>
        <v>1</v>
      </c>
      <c r="J526" s="74">
        <f t="shared" si="258"/>
        <v>2</v>
      </c>
      <c r="K526" s="62"/>
    </row>
    <row r="527" spans="1:18" x14ac:dyDescent="0.25">
      <c r="A527" s="3"/>
      <c r="B527" s="40" t="s">
        <v>324</v>
      </c>
      <c r="C527" s="40"/>
      <c r="D527" s="72">
        <v>1</v>
      </c>
      <c r="E527" s="72">
        <v>1</v>
      </c>
      <c r="F527" s="72">
        <v>0</v>
      </c>
      <c r="G527" s="69">
        <f t="shared" si="280"/>
        <v>1</v>
      </c>
      <c r="H527" s="69">
        <f t="shared" si="281"/>
        <v>0</v>
      </c>
      <c r="I527" s="69">
        <f t="shared" si="282"/>
        <v>0</v>
      </c>
      <c r="J527" s="75">
        <f t="shared" si="258"/>
        <v>2</v>
      </c>
      <c r="K527" s="63"/>
    </row>
    <row r="528" spans="1:18" x14ac:dyDescent="0.25">
      <c r="A528" s="4" t="s">
        <v>5</v>
      </c>
      <c r="B528" s="33" t="s">
        <v>1108</v>
      </c>
      <c r="C528" s="33"/>
      <c r="D528" s="70">
        <v>1</v>
      </c>
      <c r="E528" s="70">
        <v>1</v>
      </c>
      <c r="F528" s="70">
        <v>1</v>
      </c>
      <c r="G528" s="67">
        <f t="shared" si="280"/>
        <v>1</v>
      </c>
      <c r="H528" s="67">
        <f t="shared" si="281"/>
        <v>1</v>
      </c>
      <c r="I528" s="67">
        <f t="shared" si="282"/>
        <v>1</v>
      </c>
      <c r="J528" s="73">
        <f t="shared" si="258"/>
        <v>3</v>
      </c>
      <c r="K528" s="61"/>
    </row>
    <row r="529" spans="1:11" x14ac:dyDescent="0.25">
      <c r="A529" s="2"/>
      <c r="B529" s="37"/>
      <c r="C529" s="37"/>
      <c r="D529" s="71"/>
      <c r="E529" s="71"/>
      <c r="F529" s="71"/>
      <c r="G529" s="68" t="str">
        <f t="shared" si="280"/>
        <v/>
      </c>
      <c r="H529" s="68" t="str">
        <f t="shared" si="281"/>
        <v/>
      </c>
      <c r="I529" s="68" t="str">
        <f t="shared" si="282"/>
        <v/>
      </c>
      <c r="J529" s="74" t="str">
        <f t="shared" si="258"/>
        <v/>
      </c>
      <c r="K529" s="62"/>
    </row>
    <row r="530" spans="1:11" x14ac:dyDescent="0.25">
      <c r="A530" s="3"/>
      <c r="B530" s="40"/>
      <c r="C530" s="37"/>
      <c r="D530" s="71"/>
      <c r="E530" s="71"/>
      <c r="F530" s="71"/>
      <c r="G530" s="69" t="str">
        <f t="shared" si="280"/>
        <v/>
      </c>
      <c r="H530" s="69" t="str">
        <f t="shared" si="281"/>
        <v/>
      </c>
      <c r="I530" s="69" t="str">
        <f t="shared" si="282"/>
        <v/>
      </c>
      <c r="J530" s="75" t="str">
        <f t="shared" si="258"/>
        <v/>
      </c>
      <c r="K530" s="63"/>
    </row>
    <row r="531" spans="1:11" x14ac:dyDescent="0.25">
      <c r="A531" s="4" t="s">
        <v>7</v>
      </c>
      <c r="B531" s="33" t="s">
        <v>10</v>
      </c>
      <c r="C531" s="33"/>
      <c r="D531" s="70">
        <v>1</v>
      </c>
      <c r="E531" s="70">
        <v>1</v>
      </c>
      <c r="F531" s="70">
        <v>1</v>
      </c>
      <c r="G531" s="67">
        <f t="shared" si="280"/>
        <v>1</v>
      </c>
      <c r="H531" s="67">
        <f t="shared" si="281"/>
        <v>1</v>
      </c>
      <c r="I531" s="67">
        <f t="shared" si="282"/>
        <v>1</v>
      </c>
      <c r="J531" s="73">
        <f t="shared" si="258"/>
        <v>3</v>
      </c>
      <c r="K531" s="61"/>
    </row>
    <row r="532" spans="1:11" x14ac:dyDescent="0.25">
      <c r="A532" s="2"/>
      <c r="B532" s="37"/>
      <c r="C532" s="37"/>
      <c r="D532" s="71"/>
      <c r="E532" s="71"/>
      <c r="F532" s="71"/>
      <c r="G532" s="68" t="str">
        <f t="shared" si="280"/>
        <v/>
      </c>
      <c r="H532" s="68" t="str">
        <f t="shared" si="281"/>
        <v/>
      </c>
      <c r="I532" s="68" t="str">
        <f t="shared" si="282"/>
        <v/>
      </c>
      <c r="J532" s="74" t="str">
        <f t="shared" si="258"/>
        <v/>
      </c>
      <c r="K532" s="62"/>
    </row>
    <row r="533" spans="1:11" x14ac:dyDescent="0.25">
      <c r="A533" s="3"/>
      <c r="B533" s="40"/>
      <c r="C533" s="40"/>
      <c r="D533" s="72"/>
      <c r="E533" s="72"/>
      <c r="F533" s="72"/>
      <c r="G533" s="69" t="str">
        <f t="shared" si="280"/>
        <v/>
      </c>
      <c r="H533" s="69" t="str">
        <f t="shared" si="281"/>
        <v/>
      </c>
      <c r="I533" s="69" t="str">
        <f t="shared" si="282"/>
        <v/>
      </c>
      <c r="J533" s="75" t="str">
        <f t="shared" si="258"/>
        <v/>
      </c>
      <c r="K533" s="63"/>
    </row>
    <row r="534" spans="1:11" x14ac:dyDescent="0.25">
      <c r="A534" s="4" t="s">
        <v>8</v>
      </c>
      <c r="B534" s="37" t="s">
        <v>591</v>
      </c>
      <c r="C534" s="37"/>
      <c r="D534" s="70">
        <v>1</v>
      </c>
      <c r="E534" s="70">
        <v>0</v>
      </c>
      <c r="F534" s="70">
        <v>0</v>
      </c>
      <c r="G534" s="67">
        <f t="shared" si="280"/>
        <v>0</v>
      </c>
      <c r="H534" s="67">
        <f t="shared" si="281"/>
        <v>0</v>
      </c>
      <c r="I534" s="67">
        <f t="shared" si="282"/>
        <v>0</v>
      </c>
      <c r="J534" s="73">
        <f t="shared" si="258"/>
        <v>1</v>
      </c>
      <c r="K534" s="61"/>
    </row>
    <row r="535" spans="1:11" x14ac:dyDescent="0.25">
      <c r="A535" s="2"/>
      <c r="B535" s="37" t="s">
        <v>588</v>
      </c>
      <c r="C535" s="37"/>
      <c r="D535" s="71">
        <v>0</v>
      </c>
      <c r="E535" s="71">
        <v>0</v>
      </c>
      <c r="F535" s="71">
        <v>1</v>
      </c>
      <c r="G535" s="68">
        <f t="shared" si="280"/>
        <v>0</v>
      </c>
      <c r="H535" s="68">
        <f t="shared" si="281"/>
        <v>0</v>
      </c>
      <c r="I535" s="68">
        <f t="shared" si="282"/>
        <v>0</v>
      </c>
      <c r="J535" s="74">
        <f t="shared" si="258"/>
        <v>1</v>
      </c>
      <c r="K535" s="62"/>
    </row>
    <row r="536" spans="1:11" x14ac:dyDescent="0.25">
      <c r="A536" s="3"/>
      <c r="B536" s="40" t="s">
        <v>1105</v>
      </c>
      <c r="C536" s="40"/>
      <c r="D536" s="72">
        <v>0</v>
      </c>
      <c r="E536" s="72">
        <v>1</v>
      </c>
      <c r="F536" s="72">
        <v>0</v>
      </c>
      <c r="G536" s="69">
        <f t="shared" si="280"/>
        <v>0</v>
      </c>
      <c r="H536" s="69">
        <f t="shared" si="281"/>
        <v>0</v>
      </c>
      <c r="I536" s="69">
        <f t="shared" si="282"/>
        <v>0</v>
      </c>
      <c r="J536" s="75">
        <f t="shared" si="258"/>
        <v>1</v>
      </c>
      <c r="K536" s="63"/>
    </row>
    <row r="537" spans="1:11" x14ac:dyDescent="0.25">
      <c r="A537" s="2" t="s">
        <v>9</v>
      </c>
      <c r="B537" s="37" t="s">
        <v>1105</v>
      </c>
      <c r="C537" s="37"/>
      <c r="D537" s="71">
        <v>1</v>
      </c>
      <c r="E537" s="71">
        <v>1</v>
      </c>
      <c r="F537" s="71">
        <v>1</v>
      </c>
      <c r="G537" s="68">
        <f t="shared" si="280"/>
        <v>1</v>
      </c>
      <c r="H537" s="68">
        <f t="shared" si="281"/>
        <v>1</v>
      </c>
      <c r="I537" s="68">
        <f t="shared" si="282"/>
        <v>1</v>
      </c>
      <c r="J537" s="74">
        <f t="shared" si="258"/>
        <v>3</v>
      </c>
      <c r="K537" s="62"/>
    </row>
    <row r="538" spans="1:11" x14ac:dyDescent="0.25">
      <c r="A538" s="2"/>
      <c r="B538" s="37"/>
      <c r="C538" s="37"/>
      <c r="D538" s="71"/>
      <c r="E538" s="71"/>
      <c r="F538" s="71"/>
      <c r="G538" s="68" t="str">
        <f t="shared" si="280"/>
        <v/>
      </c>
      <c r="H538" s="68" t="str">
        <f t="shared" si="281"/>
        <v/>
      </c>
      <c r="I538" s="68" t="str">
        <f t="shared" si="282"/>
        <v/>
      </c>
      <c r="J538" s="74" t="str">
        <f t="shared" si="258"/>
        <v/>
      </c>
      <c r="K538" s="62"/>
    </row>
    <row r="539" spans="1:11" x14ac:dyDescent="0.25">
      <c r="A539" s="3"/>
      <c r="B539" s="40"/>
      <c r="C539" s="40"/>
      <c r="D539" s="72"/>
      <c r="E539" s="72"/>
      <c r="F539" s="72"/>
      <c r="G539" s="69" t="str">
        <f t="shared" si="280"/>
        <v/>
      </c>
      <c r="H539" s="69" t="str">
        <f t="shared" si="281"/>
        <v/>
      </c>
      <c r="I539" s="69" t="str">
        <f t="shared" si="282"/>
        <v/>
      </c>
      <c r="J539" s="75" t="str">
        <f t="shared" si="258"/>
        <v/>
      </c>
      <c r="K539" s="63"/>
    </row>
    <row r="540" spans="1:11" x14ac:dyDescent="0.25">
      <c r="A540" s="2" t="s">
        <v>1224</v>
      </c>
      <c r="B540" s="37" t="s">
        <v>1309</v>
      </c>
      <c r="C540" s="37"/>
      <c r="D540" s="71">
        <v>0</v>
      </c>
      <c r="E540" s="71">
        <v>1</v>
      </c>
      <c r="F540" s="71">
        <v>1</v>
      </c>
      <c r="G540" s="68">
        <f t="shared" si="280"/>
        <v>0</v>
      </c>
      <c r="H540" s="68">
        <f t="shared" si="281"/>
        <v>0</v>
      </c>
      <c r="I540" s="68">
        <f t="shared" si="282"/>
        <v>1</v>
      </c>
      <c r="J540" s="74">
        <f t="shared" ref="J540:J542" si="289">IF(B540="","",SUM(D540:F540))</f>
        <v>2</v>
      </c>
      <c r="K540" s="62"/>
    </row>
    <row r="541" spans="1:11" x14ac:dyDescent="0.25">
      <c r="A541" s="2"/>
      <c r="B541" s="37" t="s">
        <v>324</v>
      </c>
      <c r="C541" s="37"/>
      <c r="D541" s="71">
        <v>1</v>
      </c>
      <c r="E541" s="71">
        <v>0</v>
      </c>
      <c r="F541" s="71">
        <v>0</v>
      </c>
      <c r="G541" s="68">
        <f t="shared" si="280"/>
        <v>0</v>
      </c>
      <c r="H541" s="68">
        <f t="shared" si="281"/>
        <v>0</v>
      </c>
      <c r="I541" s="68">
        <f t="shared" si="282"/>
        <v>0</v>
      </c>
      <c r="J541" s="74">
        <f t="shared" si="289"/>
        <v>1</v>
      </c>
      <c r="K541" s="62"/>
    </row>
    <row r="542" spans="1:11" x14ac:dyDescent="0.25">
      <c r="A542" s="3"/>
      <c r="B542" s="40"/>
      <c r="C542" s="40"/>
      <c r="D542" s="72"/>
      <c r="E542" s="72"/>
      <c r="F542" s="72"/>
      <c r="G542" s="69" t="str">
        <f t="shared" si="280"/>
        <v/>
      </c>
      <c r="H542" s="69" t="str">
        <f t="shared" si="281"/>
        <v/>
      </c>
      <c r="I542" s="69" t="str">
        <f t="shared" si="282"/>
        <v/>
      </c>
      <c r="J542" s="75" t="str">
        <f t="shared" si="289"/>
        <v/>
      </c>
      <c r="K542" s="63"/>
    </row>
    <row r="544" spans="1:11" x14ac:dyDescent="0.25">
      <c r="A544" s="81">
        <v>28</v>
      </c>
      <c r="B544" s="49" t="s">
        <v>1145</v>
      </c>
      <c r="C544" s="31" t="s">
        <v>1424</v>
      </c>
      <c r="D544" s="76"/>
      <c r="E544" s="66"/>
      <c r="F544" s="66"/>
      <c r="G544" s="66"/>
      <c r="H544" s="66"/>
      <c r="I544" s="66"/>
      <c r="J544" s="60"/>
      <c r="K544" s="60"/>
    </row>
    <row r="545" spans="1:18" x14ac:dyDescent="0.25">
      <c r="A545" s="4" t="s">
        <v>6</v>
      </c>
      <c r="B545" s="37" t="s">
        <v>328</v>
      </c>
      <c r="C545" s="37"/>
      <c r="D545" s="70">
        <v>0</v>
      </c>
      <c r="E545" s="70">
        <v>1</v>
      </c>
      <c r="F545" s="70">
        <v>1</v>
      </c>
      <c r="G545" s="67">
        <f t="shared" ref="G545:G562" si="290">IF(B545="","",IF( AND(D545=1, E545=1),1,0))</f>
        <v>0</v>
      </c>
      <c r="H545" s="67">
        <f t="shared" ref="H545:H562" si="291">IF(B545="","",IF(AND(D545=1,F545=1),1,0))</f>
        <v>0</v>
      </c>
      <c r="I545" s="67">
        <f t="shared" ref="I545:I562" si="292">IF(B545="","",IF(AND(E545=1,F545=1),1,0))</f>
        <v>1</v>
      </c>
      <c r="J545" s="73">
        <f t="shared" ref="J545" si="293">IF(B545="","",SUM(D545:F545))</f>
        <v>2</v>
      </c>
      <c r="K545" s="61"/>
      <c r="M545" s="7">
        <f t="shared" ref="M545" si="294">SUM(G545:I545)/3</f>
        <v>0.33333333333333331</v>
      </c>
      <c r="N545" s="6">
        <f t="shared" ref="N545" si="295">SUM(G548:I548)/3</f>
        <v>1</v>
      </c>
      <c r="O545" s="7">
        <f t="shared" ref="O545" si="296">SUM(G551:I551)/3</f>
        <v>1</v>
      </c>
      <c r="P545" s="6">
        <f t="shared" ref="P545" si="297">SUM(G554:I554)/3</f>
        <v>0.33333333333333331</v>
      </c>
      <c r="Q545" s="7">
        <f t="shared" ref="Q545" si="298">SUM(G557:I557)/3</f>
        <v>1</v>
      </c>
      <c r="R545" s="7">
        <f>SUM(G560:I560)/3</f>
        <v>0.33333333333333331</v>
      </c>
    </row>
    <row r="546" spans="1:18" x14ac:dyDescent="0.25">
      <c r="A546" s="2"/>
      <c r="B546" s="37"/>
      <c r="C546" s="37"/>
      <c r="D546" s="71"/>
      <c r="E546" s="71"/>
      <c r="F546" s="71"/>
      <c r="G546" s="68" t="str">
        <f t="shared" si="290"/>
        <v/>
      </c>
      <c r="H546" s="68" t="str">
        <f t="shared" si="291"/>
        <v/>
      </c>
      <c r="I546" s="68" t="str">
        <f t="shared" si="292"/>
        <v/>
      </c>
      <c r="J546" s="74" t="str">
        <f t="shared" si="258"/>
        <v/>
      </c>
      <c r="K546" s="62"/>
    </row>
    <row r="547" spans="1:18" x14ac:dyDescent="0.25">
      <c r="A547" s="3"/>
      <c r="B547" s="42"/>
      <c r="C547" s="42"/>
      <c r="D547" s="72"/>
      <c r="E547" s="72"/>
      <c r="F547" s="72"/>
      <c r="G547" s="69" t="str">
        <f t="shared" si="290"/>
        <v/>
      </c>
      <c r="H547" s="69" t="str">
        <f t="shared" si="291"/>
        <v/>
      </c>
      <c r="I547" s="69" t="str">
        <f t="shared" si="292"/>
        <v/>
      </c>
      <c r="J547" s="75" t="str">
        <f t="shared" si="258"/>
        <v/>
      </c>
      <c r="K547" s="63"/>
    </row>
    <row r="548" spans="1:18" x14ac:dyDescent="0.25">
      <c r="A548" s="4" t="s">
        <v>5</v>
      </c>
      <c r="B548" s="33" t="s">
        <v>1105</v>
      </c>
      <c r="C548" s="33"/>
      <c r="D548" s="70">
        <v>1</v>
      </c>
      <c r="E548" s="70">
        <v>1</v>
      </c>
      <c r="F548" s="70">
        <v>1</v>
      </c>
      <c r="G548" s="67">
        <f t="shared" si="290"/>
        <v>1</v>
      </c>
      <c r="H548" s="67">
        <f t="shared" si="291"/>
        <v>1</v>
      </c>
      <c r="I548" s="67">
        <f t="shared" si="292"/>
        <v>1</v>
      </c>
      <c r="J548" s="73">
        <f t="shared" si="258"/>
        <v>3</v>
      </c>
      <c r="K548" s="61"/>
    </row>
    <row r="549" spans="1:18" x14ac:dyDescent="0.25">
      <c r="A549" s="2"/>
      <c r="B549" s="37"/>
      <c r="C549" s="37"/>
      <c r="D549" s="71"/>
      <c r="E549" s="71"/>
      <c r="F549" s="71"/>
      <c r="G549" s="68" t="str">
        <f t="shared" si="290"/>
        <v/>
      </c>
      <c r="H549" s="68" t="str">
        <f t="shared" si="291"/>
        <v/>
      </c>
      <c r="I549" s="68" t="str">
        <f t="shared" si="292"/>
        <v/>
      </c>
      <c r="J549" s="74" t="str">
        <f t="shared" si="258"/>
        <v/>
      </c>
      <c r="K549" s="62"/>
    </row>
    <row r="550" spans="1:18" x14ac:dyDescent="0.25">
      <c r="A550" s="3"/>
      <c r="B550" s="40"/>
      <c r="C550" s="37"/>
      <c r="D550" s="71"/>
      <c r="E550" s="71"/>
      <c r="F550" s="71"/>
      <c r="G550" s="69" t="str">
        <f t="shared" si="290"/>
        <v/>
      </c>
      <c r="H550" s="69" t="str">
        <f t="shared" si="291"/>
        <v/>
      </c>
      <c r="I550" s="69" t="str">
        <f t="shared" si="292"/>
        <v/>
      </c>
      <c r="J550" s="75" t="str">
        <f t="shared" ref="J550:J619" si="299">IF(B550="","",SUM(D550:F550))</f>
        <v/>
      </c>
      <c r="K550" s="63"/>
    </row>
    <row r="551" spans="1:18" x14ac:dyDescent="0.25">
      <c r="A551" s="4" t="s">
        <v>7</v>
      </c>
      <c r="B551" s="33" t="s">
        <v>10</v>
      </c>
      <c r="C551" s="33"/>
      <c r="D551" s="70">
        <v>1</v>
      </c>
      <c r="E551" s="70">
        <v>1</v>
      </c>
      <c r="F551" s="70">
        <v>1</v>
      </c>
      <c r="G551" s="67">
        <f t="shared" si="290"/>
        <v>1</v>
      </c>
      <c r="H551" s="67">
        <f t="shared" si="291"/>
        <v>1</v>
      </c>
      <c r="I551" s="67">
        <f t="shared" si="292"/>
        <v>1</v>
      </c>
      <c r="J551" s="73">
        <f t="shared" si="299"/>
        <v>3</v>
      </c>
      <c r="K551" s="61"/>
    </row>
    <row r="552" spans="1:18" x14ac:dyDescent="0.25">
      <c r="A552" s="2"/>
      <c r="B552" s="37"/>
      <c r="C552" s="37"/>
      <c r="D552" s="71"/>
      <c r="E552" s="71"/>
      <c r="F552" s="71"/>
      <c r="G552" s="68" t="str">
        <f t="shared" si="290"/>
        <v/>
      </c>
      <c r="H552" s="68" t="str">
        <f t="shared" si="291"/>
        <v/>
      </c>
      <c r="I552" s="68" t="str">
        <f t="shared" si="292"/>
        <v/>
      </c>
      <c r="J552" s="74" t="str">
        <f t="shared" si="299"/>
        <v/>
      </c>
      <c r="K552" s="62"/>
    </row>
    <row r="553" spans="1:18" x14ac:dyDescent="0.25">
      <c r="A553" s="3"/>
      <c r="B553" s="40"/>
      <c r="C553" s="40"/>
      <c r="D553" s="72"/>
      <c r="E553" s="72"/>
      <c r="F553" s="72"/>
      <c r="G553" s="69" t="str">
        <f t="shared" si="290"/>
        <v/>
      </c>
      <c r="H553" s="69" t="str">
        <f t="shared" si="291"/>
        <v/>
      </c>
      <c r="I553" s="69" t="str">
        <f t="shared" si="292"/>
        <v/>
      </c>
      <c r="J553" s="75" t="str">
        <f t="shared" si="299"/>
        <v/>
      </c>
      <c r="K553" s="63"/>
    </row>
    <row r="554" spans="1:18" x14ac:dyDescent="0.25">
      <c r="A554" s="4" t="s">
        <v>8</v>
      </c>
      <c r="B554" s="37" t="s">
        <v>17</v>
      </c>
      <c r="C554" s="37"/>
      <c r="D554" s="70">
        <v>1</v>
      </c>
      <c r="E554" s="70">
        <v>0</v>
      </c>
      <c r="F554" s="70">
        <v>1</v>
      </c>
      <c r="G554" s="67">
        <f t="shared" si="290"/>
        <v>0</v>
      </c>
      <c r="H554" s="67">
        <f t="shared" si="291"/>
        <v>1</v>
      </c>
      <c r="I554" s="67">
        <f t="shared" si="292"/>
        <v>0</v>
      </c>
      <c r="J554" s="73">
        <f t="shared" si="299"/>
        <v>2</v>
      </c>
      <c r="K554" s="61"/>
    </row>
    <row r="555" spans="1:18" x14ac:dyDescent="0.25">
      <c r="A555" s="2"/>
      <c r="B555" s="37" t="s">
        <v>591</v>
      </c>
      <c r="C555" s="37"/>
      <c r="D555" s="71">
        <v>1</v>
      </c>
      <c r="E555" s="71">
        <v>0</v>
      </c>
      <c r="F555" s="71">
        <v>1</v>
      </c>
      <c r="G555" s="68">
        <f t="shared" si="290"/>
        <v>0</v>
      </c>
      <c r="H555" s="68">
        <f t="shared" si="291"/>
        <v>1</v>
      </c>
      <c r="I555" s="68">
        <f t="shared" si="292"/>
        <v>0</v>
      </c>
      <c r="J555" s="74">
        <f t="shared" si="299"/>
        <v>2</v>
      </c>
      <c r="K555" s="62"/>
    </row>
    <row r="556" spans="1:18" x14ac:dyDescent="0.25">
      <c r="A556" s="3"/>
      <c r="B556" s="40"/>
      <c r="C556" s="40"/>
      <c r="D556" s="72"/>
      <c r="E556" s="72"/>
      <c r="F556" s="72"/>
      <c r="G556" s="69" t="str">
        <f t="shared" si="290"/>
        <v/>
      </c>
      <c r="H556" s="69" t="str">
        <f t="shared" si="291"/>
        <v/>
      </c>
      <c r="I556" s="69" t="str">
        <f t="shared" si="292"/>
        <v/>
      </c>
      <c r="J556" s="75" t="str">
        <f t="shared" si="299"/>
        <v/>
      </c>
      <c r="K556" s="63"/>
    </row>
    <row r="557" spans="1:18" x14ac:dyDescent="0.25">
      <c r="A557" s="2" t="s">
        <v>9</v>
      </c>
      <c r="B557" s="37" t="s">
        <v>330</v>
      </c>
      <c r="C557" s="37"/>
      <c r="D557" s="71">
        <v>1</v>
      </c>
      <c r="E557" s="71">
        <v>1</v>
      </c>
      <c r="F557" s="71">
        <v>1</v>
      </c>
      <c r="G557" s="68">
        <f t="shared" si="290"/>
        <v>1</v>
      </c>
      <c r="H557" s="68">
        <f t="shared" si="291"/>
        <v>1</v>
      </c>
      <c r="I557" s="68">
        <f t="shared" si="292"/>
        <v>1</v>
      </c>
      <c r="J557" s="74">
        <f t="shared" si="299"/>
        <v>3</v>
      </c>
      <c r="K557" s="62"/>
    </row>
    <row r="558" spans="1:18" x14ac:dyDescent="0.25">
      <c r="A558" s="2"/>
      <c r="B558" s="37"/>
      <c r="C558" s="37"/>
      <c r="D558" s="71"/>
      <c r="E558" s="71"/>
      <c r="F558" s="71"/>
      <c r="G558" s="68" t="str">
        <f t="shared" si="290"/>
        <v/>
      </c>
      <c r="H558" s="68" t="str">
        <f t="shared" si="291"/>
        <v/>
      </c>
      <c r="I558" s="68" t="str">
        <f t="shared" si="292"/>
        <v/>
      </c>
      <c r="J558" s="74" t="str">
        <f t="shared" si="299"/>
        <v/>
      </c>
      <c r="K558" s="62"/>
    </row>
    <row r="559" spans="1:18" x14ac:dyDescent="0.25">
      <c r="A559" s="3"/>
      <c r="B559" s="40"/>
      <c r="C559" s="40"/>
      <c r="D559" s="72"/>
      <c r="E559" s="72"/>
      <c r="F559" s="72"/>
      <c r="G559" s="69" t="str">
        <f t="shared" si="290"/>
        <v/>
      </c>
      <c r="H559" s="69" t="str">
        <f t="shared" si="291"/>
        <v/>
      </c>
      <c r="I559" s="69" t="str">
        <f t="shared" si="292"/>
        <v/>
      </c>
      <c r="J559" s="75" t="str">
        <f t="shared" si="299"/>
        <v/>
      </c>
      <c r="K559" s="63"/>
    </row>
    <row r="560" spans="1:18" x14ac:dyDescent="0.25">
      <c r="A560" s="2" t="s">
        <v>1224</v>
      </c>
      <c r="B560" s="37" t="s">
        <v>1310</v>
      </c>
      <c r="C560" s="37"/>
      <c r="D560" s="71">
        <v>1</v>
      </c>
      <c r="E560" s="71">
        <v>1</v>
      </c>
      <c r="F560" s="71">
        <v>0</v>
      </c>
      <c r="G560" s="68">
        <f t="shared" si="290"/>
        <v>1</v>
      </c>
      <c r="H560" s="68">
        <f t="shared" si="291"/>
        <v>0</v>
      </c>
      <c r="I560" s="68">
        <f t="shared" si="292"/>
        <v>0</v>
      </c>
      <c r="J560" s="74">
        <f t="shared" ref="J560:J562" si="300">IF(B560="","",SUM(D560:F560))</f>
        <v>2</v>
      </c>
      <c r="K560" s="62"/>
    </row>
    <row r="561" spans="1:18" x14ac:dyDescent="0.25">
      <c r="A561" s="2"/>
      <c r="B561" s="39" t="s">
        <v>1231</v>
      </c>
      <c r="C561" s="39"/>
      <c r="D561" s="71">
        <v>1</v>
      </c>
      <c r="E561" s="71">
        <v>0</v>
      </c>
      <c r="F561" s="71">
        <v>1</v>
      </c>
      <c r="G561" s="68">
        <f t="shared" si="290"/>
        <v>0</v>
      </c>
      <c r="H561" s="68">
        <f t="shared" si="291"/>
        <v>1</v>
      </c>
      <c r="I561" s="68">
        <f t="shared" si="292"/>
        <v>0</v>
      </c>
      <c r="J561" s="74">
        <f t="shared" si="300"/>
        <v>2</v>
      </c>
      <c r="K561" s="62"/>
    </row>
    <row r="562" spans="1:18" x14ac:dyDescent="0.25">
      <c r="A562" s="3"/>
      <c r="B562" s="40"/>
      <c r="C562" s="40"/>
      <c r="D562" s="72"/>
      <c r="E562" s="72"/>
      <c r="F562" s="72"/>
      <c r="G562" s="69" t="str">
        <f t="shared" si="290"/>
        <v/>
      </c>
      <c r="H562" s="69" t="str">
        <f t="shared" si="291"/>
        <v/>
      </c>
      <c r="I562" s="69" t="str">
        <f t="shared" si="292"/>
        <v/>
      </c>
      <c r="J562" s="75" t="str">
        <f t="shared" si="300"/>
        <v/>
      </c>
      <c r="K562" s="63"/>
    </row>
    <row r="564" spans="1:18" x14ac:dyDescent="0.25">
      <c r="A564" s="81">
        <v>29</v>
      </c>
      <c r="B564" s="49" t="s">
        <v>1146</v>
      </c>
      <c r="C564" s="31" t="s">
        <v>1398</v>
      </c>
      <c r="D564" s="76"/>
      <c r="E564" s="66"/>
      <c r="F564" s="66"/>
      <c r="G564" s="66"/>
      <c r="H564" s="66"/>
      <c r="I564" s="66"/>
      <c r="J564" s="60"/>
      <c r="K564" s="60"/>
    </row>
    <row r="565" spans="1:18" x14ac:dyDescent="0.25">
      <c r="A565" s="4" t="s">
        <v>6</v>
      </c>
      <c r="B565" s="37" t="s">
        <v>332</v>
      </c>
      <c r="C565" s="37"/>
      <c r="D565" s="70">
        <v>0</v>
      </c>
      <c r="E565" s="70">
        <v>1</v>
      </c>
      <c r="F565" s="70">
        <v>1</v>
      </c>
      <c r="G565" s="67">
        <f t="shared" ref="G565:G582" si="301">IF(B565="","",IF( AND(D565=1, E565=1),1,0))</f>
        <v>0</v>
      </c>
      <c r="H565" s="67">
        <f t="shared" ref="H565:H582" si="302">IF(B565="","",IF(AND(D565=1,F565=1),1,0))</f>
        <v>0</v>
      </c>
      <c r="I565" s="67">
        <f t="shared" ref="I565:I582" si="303">IF(B565="","",IF(AND(E565=1,F565=1),1,0))</f>
        <v>1</v>
      </c>
      <c r="J565" s="73">
        <f t="shared" ref="J565" si="304">IF(B565="","",SUM(D565:F565))</f>
        <v>2</v>
      </c>
      <c r="K565" s="61"/>
      <c r="M565" s="7">
        <f t="shared" ref="M565" si="305">SUM(G565:I565)/3</f>
        <v>0.33333333333333331</v>
      </c>
      <c r="N565" s="6">
        <f t="shared" ref="N565" si="306">SUM(G568:I568)/3</f>
        <v>0.33333333333333331</v>
      </c>
      <c r="O565" s="7">
        <f t="shared" ref="O565" si="307">SUM(G571:I571)/3</f>
        <v>1</v>
      </c>
      <c r="P565" s="6">
        <f t="shared" ref="P565" si="308">SUM(G574:I574)/3</f>
        <v>1</v>
      </c>
      <c r="Q565" s="7">
        <f t="shared" ref="Q565" si="309">SUM(G577:I577)/3</f>
        <v>1</v>
      </c>
      <c r="R565" s="7">
        <f>SUM(G580:I580)/3</f>
        <v>0.33333333333333331</v>
      </c>
    </row>
    <row r="566" spans="1:18" x14ac:dyDescent="0.25">
      <c r="A566" s="2"/>
      <c r="B566" s="37" t="s">
        <v>841</v>
      </c>
      <c r="C566" s="37"/>
      <c r="D566" s="71">
        <v>1</v>
      </c>
      <c r="E566" s="71">
        <v>1</v>
      </c>
      <c r="F566" s="71">
        <v>0</v>
      </c>
      <c r="G566" s="68">
        <f t="shared" si="301"/>
        <v>1</v>
      </c>
      <c r="H566" s="68">
        <f t="shared" si="302"/>
        <v>0</v>
      </c>
      <c r="I566" s="68">
        <f t="shared" si="303"/>
        <v>0</v>
      </c>
      <c r="J566" s="74">
        <f t="shared" si="299"/>
        <v>2</v>
      </c>
      <c r="K566" s="62"/>
    </row>
    <row r="567" spans="1:18" x14ac:dyDescent="0.25">
      <c r="A567" s="3"/>
      <c r="B567" s="42"/>
      <c r="C567" s="42"/>
      <c r="D567" s="72"/>
      <c r="E567" s="72"/>
      <c r="F567" s="72"/>
      <c r="G567" s="69" t="str">
        <f t="shared" si="301"/>
        <v/>
      </c>
      <c r="H567" s="69" t="str">
        <f t="shared" si="302"/>
        <v/>
      </c>
      <c r="I567" s="69" t="str">
        <f t="shared" si="303"/>
        <v/>
      </c>
      <c r="J567" s="75" t="str">
        <f t="shared" si="299"/>
        <v/>
      </c>
      <c r="K567" s="63"/>
    </row>
    <row r="568" spans="1:18" x14ac:dyDescent="0.25">
      <c r="A568" s="4" t="s">
        <v>5</v>
      </c>
      <c r="B568" s="33" t="s">
        <v>842</v>
      </c>
      <c r="C568" s="33"/>
      <c r="D568" s="70">
        <v>1</v>
      </c>
      <c r="E568" s="70">
        <v>0</v>
      </c>
      <c r="F568" s="70">
        <v>1</v>
      </c>
      <c r="G568" s="67">
        <f t="shared" si="301"/>
        <v>0</v>
      </c>
      <c r="H568" s="67">
        <f t="shared" si="302"/>
        <v>1</v>
      </c>
      <c r="I568" s="67">
        <f t="shared" si="303"/>
        <v>0</v>
      </c>
      <c r="J568" s="73">
        <f t="shared" si="299"/>
        <v>2</v>
      </c>
      <c r="K568" s="61"/>
    </row>
    <row r="569" spans="1:18" x14ac:dyDescent="0.25">
      <c r="A569" s="2"/>
      <c r="B569" s="37"/>
      <c r="C569" s="37"/>
      <c r="D569" s="71"/>
      <c r="E569" s="71"/>
      <c r="F569" s="71"/>
      <c r="G569" s="68" t="str">
        <f t="shared" si="301"/>
        <v/>
      </c>
      <c r="H569" s="68" t="str">
        <f t="shared" si="302"/>
        <v/>
      </c>
      <c r="I569" s="68" t="str">
        <f t="shared" si="303"/>
        <v/>
      </c>
      <c r="J569" s="74" t="str">
        <f t="shared" si="299"/>
        <v/>
      </c>
      <c r="K569" s="62"/>
    </row>
    <row r="570" spans="1:18" x14ac:dyDescent="0.25">
      <c r="A570" s="3"/>
      <c r="B570" s="40"/>
      <c r="C570" s="37"/>
      <c r="D570" s="71"/>
      <c r="E570" s="71"/>
      <c r="F570" s="71"/>
      <c r="G570" s="69" t="str">
        <f t="shared" si="301"/>
        <v/>
      </c>
      <c r="H570" s="69" t="str">
        <f t="shared" si="302"/>
        <v/>
      </c>
      <c r="I570" s="69" t="str">
        <f t="shared" si="303"/>
        <v/>
      </c>
      <c r="J570" s="75" t="str">
        <f t="shared" si="299"/>
        <v/>
      </c>
      <c r="K570" s="63"/>
    </row>
    <row r="571" spans="1:18" x14ac:dyDescent="0.25">
      <c r="A571" s="4" t="s">
        <v>7</v>
      </c>
      <c r="B571" s="33" t="s">
        <v>333</v>
      </c>
      <c r="C571" s="33"/>
      <c r="D571" s="70">
        <v>1</v>
      </c>
      <c r="E571" s="70">
        <v>1</v>
      </c>
      <c r="F571" s="70">
        <v>1</v>
      </c>
      <c r="G571" s="67">
        <f t="shared" si="301"/>
        <v>1</v>
      </c>
      <c r="H571" s="67">
        <f t="shared" si="302"/>
        <v>1</v>
      </c>
      <c r="I571" s="67">
        <f t="shared" si="303"/>
        <v>1</v>
      </c>
      <c r="J571" s="73">
        <f t="shared" si="299"/>
        <v>3</v>
      </c>
      <c r="K571" s="61"/>
    </row>
    <row r="572" spans="1:18" x14ac:dyDescent="0.25">
      <c r="A572" s="2"/>
      <c r="B572" s="37"/>
      <c r="C572" s="37"/>
      <c r="D572" s="71"/>
      <c r="E572" s="71"/>
      <c r="F572" s="71"/>
      <c r="G572" s="68" t="str">
        <f t="shared" si="301"/>
        <v/>
      </c>
      <c r="H572" s="68" t="str">
        <f t="shared" si="302"/>
        <v/>
      </c>
      <c r="I572" s="68" t="str">
        <f t="shared" si="303"/>
        <v/>
      </c>
      <c r="J572" s="74" t="str">
        <f t="shared" si="299"/>
        <v/>
      </c>
      <c r="K572" s="62"/>
    </row>
    <row r="573" spans="1:18" x14ac:dyDescent="0.25">
      <c r="A573" s="3"/>
      <c r="B573" s="40"/>
      <c r="C573" s="40"/>
      <c r="D573" s="72"/>
      <c r="E573" s="72"/>
      <c r="F573" s="72"/>
      <c r="G573" s="69" t="str">
        <f t="shared" si="301"/>
        <v/>
      </c>
      <c r="H573" s="69" t="str">
        <f t="shared" si="302"/>
        <v/>
      </c>
      <c r="I573" s="69" t="str">
        <f t="shared" si="303"/>
        <v/>
      </c>
      <c r="J573" s="75" t="str">
        <f t="shared" si="299"/>
        <v/>
      </c>
      <c r="K573" s="63"/>
    </row>
    <row r="574" spans="1:18" x14ac:dyDescent="0.25">
      <c r="A574" s="4" t="s">
        <v>8</v>
      </c>
      <c r="B574" s="37" t="s">
        <v>17</v>
      </c>
      <c r="C574" s="37"/>
      <c r="D574" s="70">
        <v>1</v>
      </c>
      <c r="E574" s="70">
        <v>1</v>
      </c>
      <c r="F574" s="70">
        <v>1</v>
      </c>
      <c r="G574" s="67">
        <f t="shared" si="301"/>
        <v>1</v>
      </c>
      <c r="H574" s="67">
        <f t="shared" si="302"/>
        <v>1</v>
      </c>
      <c r="I574" s="67">
        <f t="shared" si="303"/>
        <v>1</v>
      </c>
      <c r="J574" s="73">
        <f t="shared" si="299"/>
        <v>3</v>
      </c>
      <c r="K574" s="61"/>
    </row>
    <row r="575" spans="1:18" x14ac:dyDescent="0.25">
      <c r="A575" s="2"/>
      <c r="B575" s="37"/>
      <c r="C575" s="37"/>
      <c r="D575" s="71"/>
      <c r="E575" s="71"/>
      <c r="F575" s="71"/>
      <c r="G575" s="68" t="str">
        <f t="shared" si="301"/>
        <v/>
      </c>
      <c r="H575" s="68" t="str">
        <f t="shared" si="302"/>
        <v/>
      </c>
      <c r="I575" s="68" t="str">
        <f t="shared" si="303"/>
        <v/>
      </c>
      <c r="J575" s="74" t="str">
        <f t="shared" si="299"/>
        <v/>
      </c>
      <c r="K575" s="62"/>
    </row>
    <row r="576" spans="1:18" x14ac:dyDescent="0.25">
      <c r="A576" s="3"/>
      <c r="B576" s="40"/>
      <c r="C576" s="40"/>
      <c r="D576" s="72"/>
      <c r="E576" s="72"/>
      <c r="F576" s="72"/>
      <c r="G576" s="69" t="str">
        <f t="shared" si="301"/>
        <v/>
      </c>
      <c r="H576" s="69" t="str">
        <f t="shared" si="302"/>
        <v/>
      </c>
      <c r="I576" s="69" t="str">
        <f t="shared" si="303"/>
        <v/>
      </c>
      <c r="J576" s="75" t="str">
        <f t="shared" si="299"/>
        <v/>
      </c>
      <c r="K576" s="63"/>
    </row>
    <row r="577" spans="1:18" x14ac:dyDescent="0.25">
      <c r="A577" s="2" t="s">
        <v>9</v>
      </c>
      <c r="B577" s="37" t="s">
        <v>593</v>
      </c>
      <c r="C577" s="37"/>
      <c r="D577" s="71">
        <v>1</v>
      </c>
      <c r="E577" s="71">
        <v>1</v>
      </c>
      <c r="F577" s="71">
        <v>1</v>
      </c>
      <c r="G577" s="68">
        <f t="shared" si="301"/>
        <v>1</v>
      </c>
      <c r="H577" s="68">
        <f t="shared" si="302"/>
        <v>1</v>
      </c>
      <c r="I577" s="68">
        <f t="shared" si="303"/>
        <v>1</v>
      </c>
      <c r="J577" s="74">
        <f t="shared" si="299"/>
        <v>3</v>
      </c>
      <c r="K577" s="62"/>
    </row>
    <row r="578" spans="1:18" x14ac:dyDescent="0.25">
      <c r="A578" s="2"/>
      <c r="B578" s="37"/>
      <c r="C578" s="37"/>
      <c r="D578" s="71"/>
      <c r="E578" s="71"/>
      <c r="F578" s="71"/>
      <c r="G578" s="68" t="str">
        <f t="shared" si="301"/>
        <v/>
      </c>
      <c r="H578" s="68" t="str">
        <f t="shared" si="302"/>
        <v/>
      </c>
      <c r="I578" s="68" t="str">
        <f t="shared" si="303"/>
        <v/>
      </c>
      <c r="J578" s="74" t="str">
        <f t="shared" si="299"/>
        <v/>
      </c>
      <c r="K578" s="62"/>
    </row>
    <row r="579" spans="1:18" x14ac:dyDescent="0.25">
      <c r="A579" s="3"/>
      <c r="B579" s="40"/>
      <c r="C579" s="40"/>
      <c r="D579" s="72"/>
      <c r="E579" s="72"/>
      <c r="F579" s="72"/>
      <c r="G579" s="69" t="str">
        <f t="shared" si="301"/>
        <v/>
      </c>
      <c r="H579" s="69" t="str">
        <f t="shared" si="302"/>
        <v/>
      </c>
      <c r="I579" s="69" t="str">
        <f t="shared" si="303"/>
        <v/>
      </c>
      <c r="J579" s="75" t="str">
        <f t="shared" si="299"/>
        <v/>
      </c>
      <c r="K579" s="63"/>
    </row>
    <row r="580" spans="1:18" x14ac:dyDescent="0.25">
      <c r="A580" s="2" t="s">
        <v>1224</v>
      </c>
      <c r="B580" s="37" t="s">
        <v>1311</v>
      </c>
      <c r="C580" s="37"/>
      <c r="D580" s="71">
        <v>0</v>
      </c>
      <c r="E580" s="71">
        <v>1</v>
      </c>
      <c r="F580" s="71">
        <v>1</v>
      </c>
      <c r="G580" s="68">
        <f t="shared" si="301"/>
        <v>0</v>
      </c>
      <c r="H580" s="68">
        <f t="shared" si="302"/>
        <v>0</v>
      </c>
      <c r="I580" s="68">
        <f t="shared" si="303"/>
        <v>1</v>
      </c>
      <c r="J580" s="74">
        <f t="shared" ref="J580:J582" si="310">IF(B580="","",SUM(D580:F580))</f>
        <v>2</v>
      </c>
      <c r="K580" s="62"/>
    </row>
    <row r="581" spans="1:18" x14ac:dyDescent="0.25">
      <c r="A581" s="2"/>
      <c r="B581" s="39" t="s">
        <v>1238</v>
      </c>
      <c r="C581" s="39"/>
      <c r="D581" s="71">
        <v>0</v>
      </c>
      <c r="E581" s="71">
        <v>0</v>
      </c>
      <c r="F581" s="71">
        <v>0</v>
      </c>
      <c r="G581" s="68">
        <f t="shared" si="301"/>
        <v>0</v>
      </c>
      <c r="H581" s="68">
        <f t="shared" si="302"/>
        <v>0</v>
      </c>
      <c r="I581" s="68">
        <f t="shared" si="303"/>
        <v>0</v>
      </c>
      <c r="J581" s="74">
        <f t="shared" si="310"/>
        <v>0</v>
      </c>
      <c r="K581" s="62"/>
    </row>
    <row r="582" spans="1:18" x14ac:dyDescent="0.25">
      <c r="A582" s="3"/>
      <c r="B582" s="40"/>
      <c r="C582" s="40"/>
      <c r="D582" s="72"/>
      <c r="E582" s="72"/>
      <c r="F582" s="72"/>
      <c r="G582" s="69" t="str">
        <f t="shared" si="301"/>
        <v/>
      </c>
      <c r="H582" s="69" t="str">
        <f t="shared" si="302"/>
        <v/>
      </c>
      <c r="I582" s="69" t="str">
        <f t="shared" si="303"/>
        <v/>
      </c>
      <c r="J582" s="75" t="str">
        <f t="shared" si="310"/>
        <v/>
      </c>
      <c r="K582" s="63"/>
    </row>
    <row r="584" spans="1:18" x14ac:dyDescent="0.25">
      <c r="A584" s="81">
        <v>30</v>
      </c>
      <c r="B584" s="49" t="s">
        <v>1147</v>
      </c>
      <c r="C584" s="31" t="s">
        <v>1425</v>
      </c>
      <c r="D584" s="76"/>
      <c r="E584" s="66"/>
      <c r="F584" s="66"/>
      <c r="G584" s="66"/>
      <c r="H584" s="66"/>
      <c r="I584" s="66"/>
      <c r="J584" s="60"/>
      <c r="K584" s="60"/>
    </row>
    <row r="585" spans="1:18" x14ac:dyDescent="0.25">
      <c r="A585" s="4" t="s">
        <v>6</v>
      </c>
      <c r="B585" s="37" t="s">
        <v>335</v>
      </c>
      <c r="C585" s="37"/>
      <c r="D585" s="70">
        <v>1</v>
      </c>
      <c r="E585" s="70">
        <v>1</v>
      </c>
      <c r="F585" s="70">
        <v>1</v>
      </c>
      <c r="G585" s="67">
        <f t="shared" ref="G585:G602" si="311">IF(B585="","",IF( AND(D585=1, E585=1),1,0))</f>
        <v>1</v>
      </c>
      <c r="H585" s="67">
        <f t="shared" ref="H585:H602" si="312">IF(B585="","",IF(AND(D585=1,F585=1),1,0))</f>
        <v>1</v>
      </c>
      <c r="I585" s="67">
        <f t="shared" ref="I585:I602" si="313">IF(B585="","",IF(AND(E585=1,F585=1),1,0))</f>
        <v>1</v>
      </c>
      <c r="J585" s="73">
        <f t="shared" ref="J585" si="314">IF(B585="","",SUM(D585:F585))</f>
        <v>3</v>
      </c>
      <c r="K585" s="61"/>
      <c r="M585" s="7">
        <f t="shared" ref="M585" si="315">SUM(G585:I585)/3</f>
        <v>1</v>
      </c>
      <c r="N585" s="6">
        <f t="shared" ref="N585" si="316">SUM(G588:I588)/3</f>
        <v>1</v>
      </c>
      <c r="O585" s="7">
        <f t="shared" ref="O585" si="317">SUM(G591:I591)/3</f>
        <v>1</v>
      </c>
      <c r="P585" s="6">
        <f t="shared" ref="P585" si="318">SUM(G594:I594)/3</f>
        <v>1</v>
      </c>
      <c r="Q585" s="7">
        <f t="shared" ref="Q585" si="319">SUM(G597:I597)/3</f>
        <v>1</v>
      </c>
      <c r="R585" s="7">
        <f>SUM(G600:I600)/3</f>
        <v>0.33333333333333331</v>
      </c>
    </row>
    <row r="586" spans="1:18" x14ac:dyDescent="0.25">
      <c r="A586" s="2"/>
      <c r="B586" s="37" t="s">
        <v>336</v>
      </c>
      <c r="C586" s="37"/>
      <c r="D586" s="71">
        <v>1</v>
      </c>
      <c r="E586" s="71">
        <v>1</v>
      </c>
      <c r="F586" s="71">
        <v>0</v>
      </c>
      <c r="G586" s="68">
        <f t="shared" si="311"/>
        <v>1</v>
      </c>
      <c r="H586" s="68">
        <f t="shared" si="312"/>
        <v>0</v>
      </c>
      <c r="I586" s="68">
        <f t="shared" si="313"/>
        <v>0</v>
      </c>
      <c r="J586" s="74">
        <f t="shared" si="299"/>
        <v>2</v>
      </c>
      <c r="K586" s="62"/>
    </row>
    <row r="587" spans="1:18" x14ac:dyDescent="0.25">
      <c r="A587" s="3"/>
      <c r="B587" s="42"/>
      <c r="C587" s="42"/>
      <c r="D587" s="72"/>
      <c r="E587" s="72"/>
      <c r="F587" s="72"/>
      <c r="G587" s="69" t="str">
        <f t="shared" si="311"/>
        <v/>
      </c>
      <c r="H587" s="69" t="str">
        <f t="shared" si="312"/>
        <v/>
      </c>
      <c r="I587" s="69" t="str">
        <f t="shared" si="313"/>
        <v/>
      </c>
      <c r="J587" s="75" t="str">
        <f t="shared" si="299"/>
        <v/>
      </c>
      <c r="K587" s="63"/>
    </row>
    <row r="588" spans="1:18" x14ac:dyDescent="0.25">
      <c r="A588" s="4" t="s">
        <v>5</v>
      </c>
      <c r="B588" s="33" t="s">
        <v>338</v>
      </c>
      <c r="C588" s="33"/>
      <c r="D588" s="70">
        <v>1</v>
      </c>
      <c r="E588" s="70">
        <v>1</v>
      </c>
      <c r="F588" s="70">
        <v>1</v>
      </c>
      <c r="G588" s="67">
        <f t="shared" si="311"/>
        <v>1</v>
      </c>
      <c r="H588" s="67">
        <f t="shared" si="312"/>
        <v>1</v>
      </c>
      <c r="I588" s="67">
        <f t="shared" si="313"/>
        <v>1</v>
      </c>
      <c r="J588" s="73">
        <f t="shared" si="299"/>
        <v>3</v>
      </c>
      <c r="K588" s="61"/>
    </row>
    <row r="589" spans="1:18" x14ac:dyDescent="0.25">
      <c r="A589" s="2"/>
      <c r="B589" s="37"/>
      <c r="C589" s="37"/>
      <c r="D589" s="71"/>
      <c r="E589" s="71"/>
      <c r="F589" s="71"/>
      <c r="G589" s="68" t="str">
        <f t="shared" si="311"/>
        <v/>
      </c>
      <c r="H589" s="68" t="str">
        <f t="shared" si="312"/>
        <v/>
      </c>
      <c r="I589" s="68" t="str">
        <f t="shared" si="313"/>
        <v/>
      </c>
      <c r="J589" s="74" t="str">
        <f t="shared" si="299"/>
        <v/>
      </c>
      <c r="K589" s="62"/>
    </row>
    <row r="590" spans="1:18" x14ac:dyDescent="0.25">
      <c r="A590" s="3"/>
      <c r="B590" s="40"/>
      <c r="C590" s="37"/>
      <c r="D590" s="71"/>
      <c r="E590" s="71"/>
      <c r="F590" s="71"/>
      <c r="G590" s="69" t="str">
        <f t="shared" si="311"/>
        <v/>
      </c>
      <c r="H590" s="69" t="str">
        <f t="shared" si="312"/>
        <v/>
      </c>
      <c r="I590" s="69" t="str">
        <f t="shared" si="313"/>
        <v/>
      </c>
      <c r="J590" s="75" t="str">
        <f t="shared" si="299"/>
        <v/>
      </c>
      <c r="K590" s="63"/>
    </row>
    <row r="591" spans="1:18" x14ac:dyDescent="0.25">
      <c r="A591" s="4" t="s">
        <v>7</v>
      </c>
      <c r="B591" s="33" t="s">
        <v>319</v>
      </c>
      <c r="C591" s="33"/>
      <c r="D591" s="70">
        <v>1</v>
      </c>
      <c r="E591" s="70">
        <v>1</v>
      </c>
      <c r="F591" s="70">
        <v>1</v>
      </c>
      <c r="G591" s="67">
        <f t="shared" si="311"/>
        <v>1</v>
      </c>
      <c r="H591" s="67">
        <f t="shared" si="312"/>
        <v>1</v>
      </c>
      <c r="I591" s="67">
        <f t="shared" si="313"/>
        <v>1</v>
      </c>
      <c r="J591" s="73">
        <f t="shared" si="299"/>
        <v>3</v>
      </c>
      <c r="K591" s="61"/>
    </row>
    <row r="592" spans="1:18" x14ac:dyDescent="0.25">
      <c r="A592" s="2"/>
      <c r="B592" s="37"/>
      <c r="C592" s="37"/>
      <c r="D592" s="71"/>
      <c r="E592" s="71"/>
      <c r="F592" s="71"/>
      <c r="G592" s="68" t="str">
        <f t="shared" si="311"/>
        <v/>
      </c>
      <c r="H592" s="68" t="str">
        <f t="shared" si="312"/>
        <v/>
      </c>
      <c r="I592" s="68" t="str">
        <f t="shared" si="313"/>
        <v/>
      </c>
      <c r="J592" s="74" t="str">
        <f t="shared" si="299"/>
        <v/>
      </c>
      <c r="K592" s="62"/>
    </row>
    <row r="593" spans="1:18" x14ac:dyDescent="0.25">
      <c r="A593" s="3"/>
      <c r="B593" s="40"/>
      <c r="C593" s="40"/>
      <c r="D593" s="72"/>
      <c r="E593" s="72"/>
      <c r="F593" s="72"/>
      <c r="G593" s="69" t="str">
        <f t="shared" si="311"/>
        <v/>
      </c>
      <c r="H593" s="69" t="str">
        <f t="shared" si="312"/>
        <v/>
      </c>
      <c r="I593" s="69" t="str">
        <f t="shared" si="313"/>
        <v/>
      </c>
      <c r="J593" s="75" t="str">
        <f t="shared" si="299"/>
        <v/>
      </c>
      <c r="K593" s="63"/>
    </row>
    <row r="594" spans="1:18" x14ac:dyDescent="0.25">
      <c r="A594" s="4" t="s">
        <v>8</v>
      </c>
      <c r="B594" s="37" t="s">
        <v>339</v>
      </c>
      <c r="C594" s="37"/>
      <c r="D594" s="70">
        <v>1</v>
      </c>
      <c r="E594" s="70">
        <v>1</v>
      </c>
      <c r="F594" s="70">
        <v>1</v>
      </c>
      <c r="G594" s="67">
        <f t="shared" si="311"/>
        <v>1</v>
      </c>
      <c r="H594" s="67">
        <f t="shared" si="312"/>
        <v>1</v>
      </c>
      <c r="I594" s="67">
        <f t="shared" si="313"/>
        <v>1</v>
      </c>
      <c r="J594" s="73">
        <f t="shared" si="299"/>
        <v>3</v>
      </c>
      <c r="K594" s="61"/>
    </row>
    <row r="595" spans="1:18" x14ac:dyDescent="0.25">
      <c r="A595" s="2"/>
      <c r="B595" s="37"/>
      <c r="C595" s="37"/>
      <c r="D595" s="71"/>
      <c r="E595" s="71"/>
      <c r="F595" s="71"/>
      <c r="G595" s="68" t="str">
        <f t="shared" si="311"/>
        <v/>
      </c>
      <c r="H595" s="68" t="str">
        <f t="shared" si="312"/>
        <v/>
      </c>
      <c r="I595" s="68" t="str">
        <f t="shared" si="313"/>
        <v/>
      </c>
      <c r="J595" s="74" t="str">
        <f t="shared" si="299"/>
        <v/>
      </c>
      <c r="K595" s="62"/>
    </row>
    <row r="596" spans="1:18" x14ac:dyDescent="0.25">
      <c r="A596" s="3"/>
      <c r="B596" s="40"/>
      <c r="C596" s="40"/>
      <c r="D596" s="72"/>
      <c r="E596" s="72"/>
      <c r="F596" s="72"/>
      <c r="G596" s="69" t="str">
        <f t="shared" si="311"/>
        <v/>
      </c>
      <c r="H596" s="69" t="str">
        <f t="shared" si="312"/>
        <v/>
      </c>
      <c r="I596" s="69" t="str">
        <f t="shared" si="313"/>
        <v/>
      </c>
      <c r="J596" s="75" t="str">
        <f t="shared" si="299"/>
        <v/>
      </c>
      <c r="K596" s="63"/>
    </row>
    <row r="597" spans="1:18" x14ac:dyDescent="0.25">
      <c r="A597" s="2" t="s">
        <v>9</v>
      </c>
      <c r="B597" s="37" t="s">
        <v>595</v>
      </c>
      <c r="C597" s="37"/>
      <c r="D597" s="71">
        <v>1</v>
      </c>
      <c r="E597" s="71">
        <v>1</v>
      </c>
      <c r="F597" s="71">
        <v>1</v>
      </c>
      <c r="G597" s="68">
        <f t="shared" si="311"/>
        <v>1</v>
      </c>
      <c r="H597" s="68">
        <f t="shared" si="312"/>
        <v>1</v>
      </c>
      <c r="I597" s="68">
        <f t="shared" si="313"/>
        <v>1</v>
      </c>
      <c r="J597" s="74">
        <f t="shared" si="299"/>
        <v>3</v>
      </c>
      <c r="K597" s="62"/>
    </row>
    <row r="598" spans="1:18" x14ac:dyDescent="0.25">
      <c r="A598" s="2"/>
      <c r="B598" s="37"/>
      <c r="C598" s="37"/>
      <c r="D598" s="71"/>
      <c r="E598" s="71"/>
      <c r="F598" s="71"/>
      <c r="G598" s="68" t="str">
        <f t="shared" si="311"/>
        <v/>
      </c>
      <c r="H598" s="68" t="str">
        <f t="shared" si="312"/>
        <v/>
      </c>
      <c r="I598" s="68" t="str">
        <f t="shared" si="313"/>
        <v/>
      </c>
      <c r="J598" s="74" t="str">
        <f t="shared" si="299"/>
        <v/>
      </c>
      <c r="K598" s="62"/>
    </row>
    <row r="599" spans="1:18" x14ac:dyDescent="0.25">
      <c r="A599" s="3"/>
      <c r="B599" s="40"/>
      <c r="C599" s="40"/>
      <c r="D599" s="72"/>
      <c r="E599" s="72"/>
      <c r="F599" s="72"/>
      <c r="G599" s="69" t="str">
        <f t="shared" si="311"/>
        <v/>
      </c>
      <c r="H599" s="69" t="str">
        <f t="shared" si="312"/>
        <v/>
      </c>
      <c r="I599" s="69" t="str">
        <f t="shared" si="313"/>
        <v/>
      </c>
      <c r="J599" s="75" t="str">
        <f t="shared" si="299"/>
        <v/>
      </c>
      <c r="K599" s="63"/>
    </row>
    <row r="600" spans="1:18" x14ac:dyDescent="0.25">
      <c r="A600" s="2" t="s">
        <v>1224</v>
      </c>
      <c r="B600" s="37" t="s">
        <v>320</v>
      </c>
      <c r="C600" s="37"/>
      <c r="D600" s="71">
        <v>1</v>
      </c>
      <c r="E600" s="71">
        <v>0</v>
      </c>
      <c r="F600" s="71">
        <v>1</v>
      </c>
      <c r="G600" s="68">
        <f t="shared" si="311"/>
        <v>0</v>
      </c>
      <c r="H600" s="68">
        <f t="shared" si="312"/>
        <v>1</v>
      </c>
      <c r="I600" s="68">
        <f t="shared" si="313"/>
        <v>0</v>
      </c>
      <c r="J600" s="74">
        <f t="shared" ref="J600:J602" si="320">IF(B600="","",SUM(D600:F600))</f>
        <v>2</v>
      </c>
      <c r="K600" s="62"/>
    </row>
    <row r="601" spans="1:18" x14ac:dyDescent="0.25">
      <c r="A601" s="2"/>
      <c r="B601" s="37" t="s">
        <v>1312</v>
      </c>
      <c r="C601" s="37"/>
      <c r="D601" s="71">
        <v>1</v>
      </c>
      <c r="E601" s="71">
        <v>1</v>
      </c>
      <c r="F601" s="71">
        <v>0</v>
      </c>
      <c r="G601" s="68">
        <f t="shared" si="311"/>
        <v>1</v>
      </c>
      <c r="H601" s="68">
        <f t="shared" si="312"/>
        <v>0</v>
      </c>
      <c r="I601" s="68">
        <f t="shared" si="313"/>
        <v>0</v>
      </c>
      <c r="J601" s="74">
        <f t="shared" si="320"/>
        <v>2</v>
      </c>
      <c r="K601" s="62"/>
    </row>
    <row r="602" spans="1:18" x14ac:dyDescent="0.25">
      <c r="A602" s="3"/>
      <c r="B602" s="40"/>
      <c r="C602" s="40"/>
      <c r="D602" s="72"/>
      <c r="E602" s="72"/>
      <c r="F602" s="72"/>
      <c r="G602" s="69" t="str">
        <f t="shared" si="311"/>
        <v/>
      </c>
      <c r="H602" s="69" t="str">
        <f t="shared" si="312"/>
        <v/>
      </c>
      <c r="I602" s="69" t="str">
        <f t="shared" si="313"/>
        <v/>
      </c>
      <c r="J602" s="75" t="str">
        <f t="shared" si="320"/>
        <v/>
      </c>
      <c r="K602" s="63"/>
    </row>
    <row r="604" spans="1:18" x14ac:dyDescent="0.25">
      <c r="A604" s="81">
        <v>31</v>
      </c>
      <c r="B604" s="49" t="s">
        <v>1148</v>
      </c>
      <c r="C604" s="31" t="s">
        <v>1426</v>
      </c>
      <c r="D604" s="76"/>
      <c r="E604" s="66"/>
      <c r="F604" s="66"/>
      <c r="G604" s="66"/>
      <c r="H604" s="66"/>
      <c r="I604" s="66"/>
      <c r="J604" s="60"/>
      <c r="K604" s="60"/>
    </row>
    <row r="605" spans="1:18" x14ac:dyDescent="0.25">
      <c r="A605" s="4" t="s">
        <v>6</v>
      </c>
      <c r="B605" s="37" t="s">
        <v>596</v>
      </c>
      <c r="C605" s="37"/>
      <c r="D605" s="70">
        <v>1</v>
      </c>
      <c r="E605" s="70">
        <v>1</v>
      </c>
      <c r="F605" s="70">
        <v>1</v>
      </c>
      <c r="G605" s="67">
        <f t="shared" ref="G605:G622" si="321">IF(B605="","",IF( AND(D605=1, E605=1),1,0))</f>
        <v>1</v>
      </c>
      <c r="H605" s="67">
        <f t="shared" ref="H605:H622" si="322">IF(B605="","",IF(AND(D605=1,F605=1),1,0))</f>
        <v>1</v>
      </c>
      <c r="I605" s="67">
        <f t="shared" ref="I605:I622" si="323">IF(B605="","",IF(AND(E605=1,F605=1),1,0))</f>
        <v>1</v>
      </c>
      <c r="J605" s="73">
        <f t="shared" ref="J605" si="324">IF(B605="","",SUM(D605:F605))</f>
        <v>3</v>
      </c>
      <c r="K605" s="61"/>
      <c r="M605" s="7">
        <f t="shared" ref="M605" si="325">SUM(G605:I605)/3</f>
        <v>1</v>
      </c>
      <c r="N605" s="6">
        <f t="shared" ref="N605" si="326">SUM(G608:I608)/3</f>
        <v>1</v>
      </c>
      <c r="O605" s="7">
        <f t="shared" ref="O605" si="327">SUM(G611:I611)/3</f>
        <v>1</v>
      </c>
      <c r="P605" s="6">
        <f t="shared" ref="P605" si="328">SUM(G614:I614)/3</f>
        <v>1</v>
      </c>
      <c r="Q605" s="7">
        <f t="shared" ref="Q605" si="329">SUM(G617:I617)/3</f>
        <v>0</v>
      </c>
      <c r="R605" s="7">
        <f>SUM(G620:I620)/3</f>
        <v>0.33333333333333331</v>
      </c>
    </row>
    <row r="606" spans="1:18" x14ac:dyDescent="0.25">
      <c r="A606" s="2"/>
      <c r="B606" s="40" t="s">
        <v>343</v>
      </c>
      <c r="C606" s="37"/>
      <c r="D606" s="71">
        <v>1</v>
      </c>
      <c r="E606" s="71">
        <v>1</v>
      </c>
      <c r="F606" s="71">
        <v>0</v>
      </c>
      <c r="G606" s="68">
        <f t="shared" si="321"/>
        <v>1</v>
      </c>
      <c r="H606" s="68">
        <f t="shared" si="322"/>
        <v>0</v>
      </c>
      <c r="I606" s="68">
        <f t="shared" si="323"/>
        <v>0</v>
      </c>
      <c r="J606" s="74">
        <f t="shared" si="299"/>
        <v>2</v>
      </c>
      <c r="K606" s="62"/>
    </row>
    <row r="607" spans="1:18" x14ac:dyDescent="0.25">
      <c r="A607" s="3"/>
      <c r="B607" s="42"/>
      <c r="C607" s="42"/>
      <c r="D607" s="72"/>
      <c r="E607" s="72"/>
      <c r="F607" s="72"/>
      <c r="G607" s="69" t="str">
        <f t="shared" si="321"/>
        <v/>
      </c>
      <c r="H607" s="69" t="str">
        <f t="shared" si="322"/>
        <v/>
      </c>
      <c r="I607" s="69" t="str">
        <f t="shared" si="323"/>
        <v/>
      </c>
      <c r="J607" s="75" t="str">
        <f t="shared" si="299"/>
        <v/>
      </c>
      <c r="K607" s="63"/>
    </row>
    <row r="608" spans="1:18" x14ac:dyDescent="0.25">
      <c r="A608" s="4" t="s">
        <v>5</v>
      </c>
      <c r="B608" s="33" t="s">
        <v>344</v>
      </c>
      <c r="C608" s="33"/>
      <c r="D608" s="70">
        <v>1</v>
      </c>
      <c r="E608" s="70">
        <v>1</v>
      </c>
      <c r="F608" s="70">
        <v>1</v>
      </c>
      <c r="G608" s="67">
        <f t="shared" si="321"/>
        <v>1</v>
      </c>
      <c r="H608" s="67">
        <f t="shared" si="322"/>
        <v>1</v>
      </c>
      <c r="I608" s="67">
        <f t="shared" si="323"/>
        <v>1</v>
      </c>
      <c r="J608" s="73">
        <f t="shared" si="299"/>
        <v>3</v>
      </c>
      <c r="K608" s="61"/>
    </row>
    <row r="609" spans="1:11" x14ac:dyDescent="0.25">
      <c r="A609" s="2"/>
      <c r="B609" s="37"/>
      <c r="C609" s="37"/>
      <c r="D609" s="71"/>
      <c r="E609" s="71"/>
      <c r="F609" s="71"/>
      <c r="G609" s="68" t="str">
        <f t="shared" si="321"/>
        <v/>
      </c>
      <c r="H609" s="68" t="str">
        <f t="shared" si="322"/>
        <v/>
      </c>
      <c r="I609" s="68" t="str">
        <f t="shared" si="323"/>
        <v/>
      </c>
      <c r="J609" s="74" t="str">
        <f t="shared" si="299"/>
        <v/>
      </c>
      <c r="K609" s="62"/>
    </row>
    <row r="610" spans="1:11" x14ac:dyDescent="0.25">
      <c r="A610" s="3"/>
      <c r="B610" s="40"/>
      <c r="C610" s="37"/>
      <c r="D610" s="71"/>
      <c r="E610" s="71"/>
      <c r="F610" s="71"/>
      <c r="G610" s="69" t="str">
        <f t="shared" si="321"/>
        <v/>
      </c>
      <c r="H610" s="69" t="str">
        <f t="shared" si="322"/>
        <v/>
      </c>
      <c r="I610" s="69" t="str">
        <f t="shared" si="323"/>
        <v/>
      </c>
      <c r="J610" s="75" t="str">
        <f t="shared" si="299"/>
        <v/>
      </c>
      <c r="K610" s="63"/>
    </row>
    <row r="611" spans="1:11" x14ac:dyDescent="0.25">
      <c r="A611" s="4" t="s">
        <v>7</v>
      </c>
      <c r="B611" s="33" t="s">
        <v>345</v>
      </c>
      <c r="C611" s="33"/>
      <c r="D611" s="70">
        <v>1</v>
      </c>
      <c r="E611" s="70">
        <v>1</v>
      </c>
      <c r="F611" s="70">
        <v>1</v>
      </c>
      <c r="G611" s="67">
        <f t="shared" si="321"/>
        <v>1</v>
      </c>
      <c r="H611" s="67">
        <f t="shared" si="322"/>
        <v>1</v>
      </c>
      <c r="I611" s="67">
        <f t="shared" si="323"/>
        <v>1</v>
      </c>
      <c r="J611" s="73">
        <f t="shared" si="299"/>
        <v>3</v>
      </c>
      <c r="K611" s="61"/>
    </row>
    <row r="612" spans="1:11" x14ac:dyDescent="0.25">
      <c r="A612" s="2"/>
      <c r="B612" s="37"/>
      <c r="C612" s="37"/>
      <c r="D612" s="71"/>
      <c r="E612" s="71"/>
      <c r="F612" s="71"/>
      <c r="G612" s="68" t="str">
        <f t="shared" si="321"/>
        <v/>
      </c>
      <c r="H612" s="68" t="str">
        <f t="shared" si="322"/>
        <v/>
      </c>
      <c r="I612" s="68" t="str">
        <f t="shared" si="323"/>
        <v/>
      </c>
      <c r="J612" s="74" t="str">
        <f t="shared" si="299"/>
        <v/>
      </c>
      <c r="K612" s="62"/>
    </row>
    <row r="613" spans="1:11" x14ac:dyDescent="0.25">
      <c r="A613" s="3"/>
      <c r="B613" s="40"/>
      <c r="C613" s="40"/>
      <c r="D613" s="72"/>
      <c r="E613" s="72"/>
      <c r="F613" s="72"/>
      <c r="G613" s="69" t="str">
        <f t="shared" si="321"/>
        <v/>
      </c>
      <c r="H613" s="69" t="str">
        <f t="shared" si="322"/>
        <v/>
      </c>
      <c r="I613" s="69" t="str">
        <f t="shared" si="323"/>
        <v/>
      </c>
      <c r="J613" s="75" t="str">
        <f t="shared" si="299"/>
        <v/>
      </c>
      <c r="K613" s="63"/>
    </row>
    <row r="614" spans="1:11" x14ac:dyDescent="0.25">
      <c r="A614" s="4" t="s">
        <v>8</v>
      </c>
      <c r="B614" s="37" t="s">
        <v>346</v>
      </c>
      <c r="C614" s="37"/>
      <c r="D614" s="70">
        <v>1</v>
      </c>
      <c r="E614" s="70">
        <v>1</v>
      </c>
      <c r="F614" s="70">
        <v>1</v>
      </c>
      <c r="G614" s="67">
        <f t="shared" si="321"/>
        <v>1</v>
      </c>
      <c r="H614" s="67">
        <f t="shared" si="322"/>
        <v>1</v>
      </c>
      <c r="I614" s="67">
        <f t="shared" si="323"/>
        <v>1</v>
      </c>
      <c r="J614" s="73">
        <f t="shared" si="299"/>
        <v>3</v>
      </c>
      <c r="K614" s="61"/>
    </row>
    <row r="615" spans="1:11" x14ac:dyDescent="0.25">
      <c r="A615" s="2"/>
      <c r="B615" s="37" t="s">
        <v>347</v>
      </c>
      <c r="C615" s="37"/>
      <c r="D615" s="71">
        <v>1</v>
      </c>
      <c r="E615" s="71">
        <v>1</v>
      </c>
      <c r="F615" s="71">
        <v>0</v>
      </c>
      <c r="G615" s="68">
        <f t="shared" si="321"/>
        <v>1</v>
      </c>
      <c r="H615" s="68">
        <f t="shared" si="322"/>
        <v>0</v>
      </c>
      <c r="I615" s="68">
        <f t="shared" si="323"/>
        <v>0</v>
      </c>
      <c r="J615" s="74">
        <f t="shared" si="299"/>
        <v>2</v>
      </c>
      <c r="K615" s="62"/>
    </row>
    <row r="616" spans="1:11" x14ac:dyDescent="0.25">
      <c r="A616" s="3"/>
      <c r="B616" s="40"/>
      <c r="C616" s="40"/>
      <c r="D616" s="72"/>
      <c r="E616" s="72"/>
      <c r="F616" s="72"/>
      <c r="G616" s="69" t="str">
        <f t="shared" si="321"/>
        <v/>
      </c>
      <c r="H616" s="69" t="str">
        <f t="shared" si="322"/>
        <v/>
      </c>
      <c r="I616" s="69" t="str">
        <f t="shared" si="323"/>
        <v/>
      </c>
      <c r="J616" s="75" t="str">
        <f t="shared" si="299"/>
        <v/>
      </c>
      <c r="K616" s="63"/>
    </row>
    <row r="617" spans="1:11" x14ac:dyDescent="0.25">
      <c r="A617" s="2" t="s">
        <v>9</v>
      </c>
      <c r="B617" s="37" t="s">
        <v>597</v>
      </c>
      <c r="C617" s="37"/>
      <c r="D617" s="71">
        <v>0</v>
      </c>
      <c r="E617" s="71">
        <v>0</v>
      </c>
      <c r="F617" s="71">
        <v>1</v>
      </c>
      <c r="G617" s="68">
        <f t="shared" si="321"/>
        <v>0</v>
      </c>
      <c r="H617" s="68">
        <f t="shared" si="322"/>
        <v>0</v>
      </c>
      <c r="I617" s="68">
        <f t="shared" si="323"/>
        <v>0</v>
      </c>
      <c r="J617" s="74">
        <f t="shared" si="299"/>
        <v>1</v>
      </c>
      <c r="K617" s="62"/>
    </row>
    <row r="618" spans="1:11" x14ac:dyDescent="0.25">
      <c r="A618" s="2"/>
      <c r="B618" s="37" t="s">
        <v>856</v>
      </c>
      <c r="C618" s="37"/>
      <c r="D618" s="71">
        <v>1</v>
      </c>
      <c r="E618" s="71">
        <v>0</v>
      </c>
      <c r="F618" s="71">
        <v>0</v>
      </c>
      <c r="G618" s="68">
        <f t="shared" si="321"/>
        <v>0</v>
      </c>
      <c r="H618" s="68">
        <f t="shared" si="322"/>
        <v>0</v>
      </c>
      <c r="I618" s="68">
        <f t="shared" si="323"/>
        <v>0</v>
      </c>
      <c r="J618" s="74">
        <f t="shared" si="299"/>
        <v>1</v>
      </c>
      <c r="K618" s="62"/>
    </row>
    <row r="619" spans="1:11" x14ac:dyDescent="0.25">
      <c r="A619" s="3"/>
      <c r="B619" s="40" t="s">
        <v>1105</v>
      </c>
      <c r="C619" s="40"/>
      <c r="D619" s="72">
        <v>0</v>
      </c>
      <c r="E619" s="72">
        <v>1</v>
      </c>
      <c r="F619" s="72">
        <v>0</v>
      </c>
      <c r="G619" s="69">
        <f t="shared" si="321"/>
        <v>0</v>
      </c>
      <c r="H619" s="69">
        <f t="shared" si="322"/>
        <v>0</v>
      </c>
      <c r="I619" s="69">
        <f t="shared" si="323"/>
        <v>0</v>
      </c>
      <c r="J619" s="75">
        <f t="shared" si="299"/>
        <v>1</v>
      </c>
      <c r="K619" s="63"/>
    </row>
    <row r="620" spans="1:11" x14ac:dyDescent="0.25">
      <c r="A620" s="2" t="s">
        <v>1224</v>
      </c>
      <c r="B620" s="37" t="s">
        <v>1313</v>
      </c>
      <c r="C620" s="37"/>
      <c r="D620" s="71">
        <v>0</v>
      </c>
      <c r="E620" s="71">
        <v>1</v>
      </c>
      <c r="F620" s="71">
        <v>1</v>
      </c>
      <c r="G620" s="68">
        <f t="shared" si="321"/>
        <v>0</v>
      </c>
      <c r="H620" s="68">
        <f t="shared" si="322"/>
        <v>0</v>
      </c>
      <c r="I620" s="68">
        <f t="shared" si="323"/>
        <v>1</v>
      </c>
      <c r="J620" s="74">
        <f t="shared" ref="J620:J622" si="330">IF(B620="","",SUM(D620:F620))</f>
        <v>2</v>
      </c>
      <c r="K620" s="62"/>
    </row>
    <row r="621" spans="1:11" x14ac:dyDescent="0.25">
      <c r="A621" s="2"/>
      <c r="B621" s="37" t="s">
        <v>1257</v>
      </c>
      <c r="C621" s="37"/>
      <c r="D621" s="71">
        <v>1</v>
      </c>
      <c r="E621" s="71">
        <v>0</v>
      </c>
      <c r="F621" s="71">
        <v>0</v>
      </c>
      <c r="G621" s="68">
        <f t="shared" si="321"/>
        <v>0</v>
      </c>
      <c r="H621" s="68">
        <f t="shared" si="322"/>
        <v>0</v>
      </c>
      <c r="I621" s="68">
        <f t="shared" si="323"/>
        <v>0</v>
      </c>
      <c r="J621" s="74">
        <f t="shared" si="330"/>
        <v>1</v>
      </c>
      <c r="K621" s="62"/>
    </row>
    <row r="622" spans="1:11" x14ac:dyDescent="0.25">
      <c r="A622" s="3"/>
      <c r="B622" s="40"/>
      <c r="C622" s="40"/>
      <c r="D622" s="72"/>
      <c r="E622" s="72"/>
      <c r="F622" s="72"/>
      <c r="G622" s="69" t="str">
        <f t="shared" si="321"/>
        <v/>
      </c>
      <c r="H622" s="69" t="str">
        <f t="shared" si="322"/>
        <v/>
      </c>
      <c r="I622" s="69" t="str">
        <f t="shared" si="323"/>
        <v/>
      </c>
      <c r="J622" s="75" t="str">
        <f t="shared" si="330"/>
        <v/>
      </c>
      <c r="K622" s="63"/>
    </row>
    <row r="624" spans="1:11" x14ac:dyDescent="0.25">
      <c r="A624" s="81">
        <v>32</v>
      </c>
      <c r="B624" s="49" t="s">
        <v>1149</v>
      </c>
      <c r="C624" s="31" t="s">
        <v>1427</v>
      </c>
      <c r="D624" s="76"/>
      <c r="E624" s="66"/>
      <c r="F624" s="66"/>
      <c r="G624" s="66"/>
      <c r="H624" s="66"/>
      <c r="I624" s="66"/>
      <c r="J624" s="60"/>
      <c r="K624" s="60"/>
    </row>
    <row r="625" spans="1:18" x14ac:dyDescent="0.25">
      <c r="A625" s="4" t="s">
        <v>6</v>
      </c>
      <c r="B625" s="37" t="s">
        <v>598</v>
      </c>
      <c r="C625" s="37"/>
      <c r="D625" s="70">
        <v>1</v>
      </c>
      <c r="E625" s="70">
        <v>1</v>
      </c>
      <c r="F625" s="70">
        <v>1</v>
      </c>
      <c r="G625" s="67">
        <f t="shared" ref="G625:G642" si="331">IF(B625="","",IF( AND(D625=1, E625=1),1,0))</f>
        <v>1</v>
      </c>
      <c r="H625" s="67">
        <f t="shared" ref="H625:H642" si="332">IF(B625="","",IF(AND(D625=1,F625=1),1,0))</f>
        <v>1</v>
      </c>
      <c r="I625" s="67">
        <f t="shared" ref="I625:I642" si="333">IF(B625="","",IF(AND(E625=1,F625=1),1,0))</f>
        <v>1</v>
      </c>
      <c r="J625" s="73">
        <f t="shared" ref="J625:J697" si="334">IF(B625="","",SUM(D625:F625))</f>
        <v>3</v>
      </c>
      <c r="K625" s="61"/>
      <c r="M625" s="7">
        <f t="shared" ref="M625" si="335">SUM(G625:I625)/3</f>
        <v>1</v>
      </c>
      <c r="N625" s="6">
        <f t="shared" ref="N625" si="336">SUM(G628:I628)/3</f>
        <v>0.33333333333333331</v>
      </c>
      <c r="O625" s="7">
        <f t="shared" ref="O625" si="337">SUM(G631:I631)/3</f>
        <v>0.33333333333333331</v>
      </c>
      <c r="P625" s="6">
        <f t="shared" ref="P625" si="338">SUM(G634:I634)/3</f>
        <v>1</v>
      </c>
      <c r="Q625" s="7">
        <f t="shared" ref="Q625" si="339">SUM(G637:I637)/3</f>
        <v>0.33333333333333331</v>
      </c>
      <c r="R625" s="7">
        <f>SUM(G640:I640)/3</f>
        <v>0</v>
      </c>
    </row>
    <row r="626" spans="1:18" x14ac:dyDescent="0.25">
      <c r="A626" s="2"/>
      <c r="B626" s="40" t="s">
        <v>858</v>
      </c>
      <c r="C626" s="37"/>
      <c r="D626" s="71">
        <v>0</v>
      </c>
      <c r="E626" s="71">
        <v>1</v>
      </c>
      <c r="F626" s="71">
        <v>1</v>
      </c>
      <c r="G626" s="68">
        <f t="shared" si="331"/>
        <v>0</v>
      </c>
      <c r="H626" s="68">
        <f t="shared" si="332"/>
        <v>0</v>
      </c>
      <c r="I626" s="68">
        <f t="shared" si="333"/>
        <v>1</v>
      </c>
      <c r="J626" s="74">
        <f t="shared" si="334"/>
        <v>2</v>
      </c>
      <c r="K626" s="62"/>
    </row>
    <row r="627" spans="1:18" x14ac:dyDescent="0.25">
      <c r="A627" s="3"/>
      <c r="B627" s="42"/>
      <c r="C627" s="42"/>
      <c r="D627" s="72"/>
      <c r="E627" s="72"/>
      <c r="F627" s="72"/>
      <c r="G627" s="69" t="str">
        <f t="shared" si="331"/>
        <v/>
      </c>
      <c r="H627" s="69" t="str">
        <f t="shared" si="332"/>
        <v/>
      </c>
      <c r="I627" s="69" t="str">
        <f t="shared" si="333"/>
        <v/>
      </c>
      <c r="J627" s="75" t="str">
        <f t="shared" si="334"/>
        <v/>
      </c>
      <c r="K627" s="63"/>
    </row>
    <row r="628" spans="1:18" x14ac:dyDescent="0.25">
      <c r="A628" s="4" t="s">
        <v>5</v>
      </c>
      <c r="B628" s="33" t="s">
        <v>351</v>
      </c>
      <c r="C628" s="33"/>
      <c r="D628" s="70">
        <v>1</v>
      </c>
      <c r="E628" s="70">
        <v>1</v>
      </c>
      <c r="F628" s="70">
        <v>0</v>
      </c>
      <c r="G628" s="67">
        <f t="shared" si="331"/>
        <v>1</v>
      </c>
      <c r="H628" s="67">
        <f t="shared" si="332"/>
        <v>0</v>
      </c>
      <c r="I628" s="67">
        <f t="shared" si="333"/>
        <v>0</v>
      </c>
      <c r="J628" s="73">
        <f t="shared" si="334"/>
        <v>2</v>
      </c>
      <c r="K628" s="61"/>
    </row>
    <row r="629" spans="1:18" x14ac:dyDescent="0.25">
      <c r="A629" s="2"/>
      <c r="B629" s="37" t="s">
        <v>1109</v>
      </c>
      <c r="C629" s="37"/>
      <c r="D629" s="71">
        <v>1</v>
      </c>
      <c r="E629" s="71">
        <v>0</v>
      </c>
      <c r="F629" s="71">
        <v>1</v>
      </c>
      <c r="G629" s="68">
        <f t="shared" si="331"/>
        <v>0</v>
      </c>
      <c r="H629" s="68">
        <f t="shared" si="332"/>
        <v>1</v>
      </c>
      <c r="I629" s="68">
        <f t="shared" si="333"/>
        <v>0</v>
      </c>
      <c r="J629" s="74">
        <f t="shared" si="334"/>
        <v>2</v>
      </c>
      <c r="K629" s="62"/>
    </row>
    <row r="630" spans="1:18" x14ac:dyDescent="0.25">
      <c r="A630" s="3"/>
      <c r="B630" s="40"/>
      <c r="C630" s="37"/>
      <c r="D630" s="71"/>
      <c r="E630" s="71"/>
      <c r="F630" s="71"/>
      <c r="G630" s="69" t="str">
        <f t="shared" si="331"/>
        <v/>
      </c>
      <c r="H630" s="69" t="str">
        <f t="shared" si="332"/>
        <v/>
      </c>
      <c r="I630" s="69" t="str">
        <f t="shared" si="333"/>
        <v/>
      </c>
      <c r="J630" s="75" t="str">
        <f t="shared" si="334"/>
        <v/>
      </c>
      <c r="K630" s="63"/>
    </row>
    <row r="631" spans="1:18" x14ac:dyDescent="0.25">
      <c r="A631" s="4" t="s">
        <v>7</v>
      </c>
      <c r="B631" s="33" t="s">
        <v>600</v>
      </c>
      <c r="C631" s="33"/>
      <c r="D631" s="70">
        <v>1</v>
      </c>
      <c r="E631" s="70">
        <v>0</v>
      </c>
      <c r="F631" s="70">
        <v>1</v>
      </c>
      <c r="G631" s="67">
        <f t="shared" si="331"/>
        <v>0</v>
      </c>
      <c r="H631" s="67">
        <f t="shared" si="332"/>
        <v>1</v>
      </c>
      <c r="I631" s="67">
        <f t="shared" si="333"/>
        <v>0</v>
      </c>
      <c r="J631" s="73">
        <f t="shared" si="334"/>
        <v>2</v>
      </c>
      <c r="K631" s="61"/>
    </row>
    <row r="632" spans="1:18" x14ac:dyDescent="0.25">
      <c r="A632" s="2"/>
      <c r="B632" s="37" t="s">
        <v>352</v>
      </c>
      <c r="C632" s="37"/>
      <c r="D632" s="71">
        <v>1</v>
      </c>
      <c r="E632" s="71">
        <v>1</v>
      </c>
      <c r="F632" s="71">
        <v>0</v>
      </c>
      <c r="G632" s="68">
        <f t="shared" si="331"/>
        <v>1</v>
      </c>
      <c r="H632" s="68">
        <f t="shared" si="332"/>
        <v>0</v>
      </c>
      <c r="I632" s="68">
        <f t="shared" si="333"/>
        <v>0</v>
      </c>
      <c r="J632" s="74">
        <f t="shared" si="334"/>
        <v>2</v>
      </c>
      <c r="K632" s="62"/>
    </row>
    <row r="633" spans="1:18" x14ac:dyDescent="0.25">
      <c r="A633" s="3"/>
      <c r="B633" s="40"/>
      <c r="C633" s="40"/>
      <c r="D633" s="72"/>
      <c r="E633" s="72"/>
      <c r="F633" s="72"/>
      <c r="G633" s="69" t="str">
        <f t="shared" si="331"/>
        <v/>
      </c>
      <c r="H633" s="69" t="str">
        <f t="shared" si="332"/>
        <v/>
      </c>
      <c r="I633" s="69" t="str">
        <f t="shared" si="333"/>
        <v/>
      </c>
      <c r="J633" s="75" t="str">
        <f t="shared" si="334"/>
        <v/>
      </c>
      <c r="K633" s="63"/>
    </row>
    <row r="634" spans="1:18" x14ac:dyDescent="0.25">
      <c r="A634" s="4" t="s">
        <v>8</v>
      </c>
      <c r="B634" s="37" t="s">
        <v>353</v>
      </c>
      <c r="C634" s="37"/>
      <c r="D634" s="70">
        <v>1</v>
      </c>
      <c r="E634" s="70">
        <v>1</v>
      </c>
      <c r="F634" s="70">
        <v>1</v>
      </c>
      <c r="G634" s="67">
        <f t="shared" si="331"/>
        <v>1</v>
      </c>
      <c r="H634" s="67">
        <f t="shared" si="332"/>
        <v>1</v>
      </c>
      <c r="I634" s="67">
        <f t="shared" si="333"/>
        <v>1</v>
      </c>
      <c r="J634" s="73">
        <f t="shared" si="334"/>
        <v>3</v>
      </c>
      <c r="K634" s="61"/>
    </row>
    <row r="635" spans="1:18" x14ac:dyDescent="0.25">
      <c r="A635" s="2"/>
      <c r="B635" s="37" t="s">
        <v>861</v>
      </c>
      <c r="C635" s="37"/>
      <c r="D635" s="71">
        <v>1</v>
      </c>
      <c r="E635" s="71">
        <v>1</v>
      </c>
      <c r="F635" s="71">
        <v>1</v>
      </c>
      <c r="G635" s="68">
        <f t="shared" si="331"/>
        <v>1</v>
      </c>
      <c r="H635" s="68">
        <f t="shared" si="332"/>
        <v>1</v>
      </c>
      <c r="I635" s="68">
        <f t="shared" si="333"/>
        <v>1</v>
      </c>
      <c r="J635" s="74">
        <f t="shared" si="334"/>
        <v>3</v>
      </c>
      <c r="K635" s="62"/>
    </row>
    <row r="636" spans="1:18" x14ac:dyDescent="0.25">
      <c r="A636" s="3"/>
      <c r="B636" s="40"/>
      <c r="C636" s="40"/>
      <c r="D636" s="72"/>
      <c r="E636" s="72"/>
      <c r="F636" s="72"/>
      <c r="G636" s="69" t="str">
        <f t="shared" si="331"/>
        <v/>
      </c>
      <c r="H636" s="69" t="str">
        <f t="shared" si="332"/>
        <v/>
      </c>
      <c r="I636" s="69" t="str">
        <f t="shared" si="333"/>
        <v/>
      </c>
      <c r="J636" s="75" t="str">
        <f t="shared" si="334"/>
        <v/>
      </c>
      <c r="K636" s="63"/>
    </row>
    <row r="637" spans="1:18" x14ac:dyDescent="0.25">
      <c r="A637" s="2" t="s">
        <v>9</v>
      </c>
      <c r="B637" s="37" t="s">
        <v>603</v>
      </c>
      <c r="C637" s="37"/>
      <c r="D637" s="71">
        <v>0</v>
      </c>
      <c r="E637" s="71">
        <v>1</v>
      </c>
      <c r="F637" s="71">
        <v>1</v>
      </c>
      <c r="G637" s="68">
        <f t="shared" si="331"/>
        <v>0</v>
      </c>
      <c r="H637" s="68">
        <f t="shared" si="332"/>
        <v>0</v>
      </c>
      <c r="I637" s="68">
        <f t="shared" si="333"/>
        <v>1</v>
      </c>
      <c r="J637" s="74">
        <f t="shared" si="334"/>
        <v>2</v>
      </c>
      <c r="K637" s="62"/>
    </row>
    <row r="638" spans="1:18" x14ac:dyDescent="0.25">
      <c r="A638" s="2"/>
      <c r="B638" s="37"/>
      <c r="C638" s="37"/>
      <c r="D638" s="71"/>
      <c r="E638" s="71"/>
      <c r="F638" s="71"/>
      <c r="G638" s="68" t="str">
        <f t="shared" si="331"/>
        <v/>
      </c>
      <c r="H638" s="68" t="str">
        <f t="shared" si="332"/>
        <v/>
      </c>
      <c r="I638" s="68" t="str">
        <f t="shared" si="333"/>
        <v/>
      </c>
      <c r="J638" s="74" t="str">
        <f t="shared" si="334"/>
        <v/>
      </c>
      <c r="K638" s="62"/>
    </row>
    <row r="639" spans="1:18" x14ac:dyDescent="0.25">
      <c r="A639" s="3"/>
      <c r="B639" s="40"/>
      <c r="C639" s="40"/>
      <c r="D639" s="72"/>
      <c r="E639" s="72"/>
      <c r="F639" s="72"/>
      <c r="G639" s="69" t="str">
        <f t="shared" si="331"/>
        <v/>
      </c>
      <c r="H639" s="69" t="str">
        <f t="shared" si="332"/>
        <v/>
      </c>
      <c r="I639" s="69" t="str">
        <f t="shared" si="333"/>
        <v/>
      </c>
      <c r="J639" s="75" t="str">
        <f t="shared" si="334"/>
        <v/>
      </c>
      <c r="K639" s="63"/>
    </row>
    <row r="640" spans="1:18" x14ac:dyDescent="0.25">
      <c r="A640" s="2" t="s">
        <v>1224</v>
      </c>
      <c r="B640" s="37" t="s">
        <v>1258</v>
      </c>
      <c r="C640" s="37"/>
      <c r="D640" s="71">
        <v>1</v>
      </c>
      <c r="E640" s="71">
        <v>0</v>
      </c>
      <c r="F640" s="71">
        <v>0</v>
      </c>
      <c r="G640" s="68">
        <f t="shared" si="331"/>
        <v>0</v>
      </c>
      <c r="H640" s="68">
        <f t="shared" si="332"/>
        <v>0</v>
      </c>
      <c r="I640" s="68">
        <f t="shared" si="333"/>
        <v>0</v>
      </c>
      <c r="J640" s="74">
        <f t="shared" si="334"/>
        <v>1</v>
      </c>
      <c r="K640" s="62"/>
    </row>
    <row r="641" spans="1:18" x14ac:dyDescent="0.25">
      <c r="A641" s="2"/>
      <c r="B641" s="37" t="s">
        <v>857</v>
      </c>
      <c r="C641" s="37"/>
      <c r="D641" s="71">
        <v>0</v>
      </c>
      <c r="E641" s="71">
        <v>1</v>
      </c>
      <c r="F641" s="71">
        <v>0</v>
      </c>
      <c r="G641" s="68">
        <f t="shared" si="331"/>
        <v>0</v>
      </c>
      <c r="H641" s="68">
        <f t="shared" si="332"/>
        <v>0</v>
      </c>
      <c r="I641" s="68">
        <f t="shared" si="333"/>
        <v>0</v>
      </c>
      <c r="J641" s="74">
        <f t="shared" si="334"/>
        <v>1</v>
      </c>
      <c r="K641" s="62"/>
    </row>
    <row r="642" spans="1:18" x14ac:dyDescent="0.25">
      <c r="A642" s="3"/>
      <c r="B642" s="40"/>
      <c r="C642" s="40"/>
      <c r="D642" s="72"/>
      <c r="E642" s="72"/>
      <c r="F642" s="72"/>
      <c r="G642" s="69" t="str">
        <f t="shared" si="331"/>
        <v/>
      </c>
      <c r="H642" s="69" t="str">
        <f t="shared" si="332"/>
        <v/>
      </c>
      <c r="I642" s="69" t="str">
        <f t="shared" si="333"/>
        <v/>
      </c>
      <c r="J642" s="75" t="str">
        <f t="shared" si="334"/>
        <v/>
      </c>
      <c r="K642" s="63"/>
    </row>
    <row r="644" spans="1:18" x14ac:dyDescent="0.25">
      <c r="A644" s="81">
        <v>33</v>
      </c>
      <c r="B644" s="49" t="s">
        <v>1150</v>
      </c>
      <c r="C644" s="31" t="s">
        <v>1428</v>
      </c>
      <c r="D644" s="76"/>
      <c r="E644" s="66"/>
      <c r="F644" s="66"/>
      <c r="G644" s="66"/>
      <c r="H644" s="66"/>
      <c r="I644" s="66"/>
      <c r="J644" s="60"/>
      <c r="K644" s="60"/>
    </row>
    <row r="645" spans="1:18" x14ac:dyDescent="0.25">
      <c r="A645" s="4" t="s">
        <v>6</v>
      </c>
      <c r="B645" s="37" t="s">
        <v>606</v>
      </c>
      <c r="C645" s="37"/>
      <c r="D645" s="70">
        <v>1</v>
      </c>
      <c r="E645" s="70">
        <v>1</v>
      </c>
      <c r="F645" s="70">
        <v>1</v>
      </c>
      <c r="G645" s="67">
        <f t="shared" ref="G645:G662" si="340">IF(B645="","",IF( AND(D645=1, E645=1),1,0))</f>
        <v>1</v>
      </c>
      <c r="H645" s="67">
        <f t="shared" ref="H645:H662" si="341">IF(B645="","",IF(AND(D645=1,F645=1),1,0))</f>
        <v>1</v>
      </c>
      <c r="I645" s="67">
        <f t="shared" ref="I645:I662" si="342">IF(B645="","",IF(AND(E645=1,F645=1),1,0))</f>
        <v>1</v>
      </c>
      <c r="J645" s="73">
        <f t="shared" ref="J645" si="343">IF(B645="","",SUM(D645:F645))</f>
        <v>3</v>
      </c>
      <c r="K645" s="61"/>
      <c r="M645" s="7">
        <f t="shared" ref="M645" si="344">SUM(G645:I645)/3</f>
        <v>1</v>
      </c>
      <c r="N645" s="6">
        <f t="shared" ref="N645" si="345">SUM(G648:I648)/3</f>
        <v>1</v>
      </c>
      <c r="O645" s="7">
        <f t="shared" ref="O645" si="346">SUM(G651:I651)/3</f>
        <v>0.33333333333333331</v>
      </c>
      <c r="P645" s="6">
        <f t="shared" ref="P645" si="347">SUM(G654:I654)/3</f>
        <v>1</v>
      </c>
      <c r="Q645" s="7">
        <f t="shared" ref="Q645" si="348">SUM(G657:I657)/3</f>
        <v>0.33333333333333331</v>
      </c>
      <c r="R645" s="7">
        <f>SUM(G660:I660)/3</f>
        <v>0.33333333333333331</v>
      </c>
    </row>
    <row r="646" spans="1:18" x14ac:dyDescent="0.25">
      <c r="A646" s="2"/>
      <c r="B646" s="37"/>
      <c r="C646" s="37"/>
      <c r="D646" s="71"/>
      <c r="E646" s="71"/>
      <c r="F646" s="71"/>
      <c r="G646" s="68" t="str">
        <f t="shared" si="340"/>
        <v/>
      </c>
      <c r="H646" s="68" t="str">
        <f t="shared" si="341"/>
        <v/>
      </c>
      <c r="I646" s="68" t="str">
        <f t="shared" si="342"/>
        <v/>
      </c>
      <c r="J646" s="74" t="str">
        <f t="shared" si="334"/>
        <v/>
      </c>
      <c r="K646" s="62"/>
    </row>
    <row r="647" spans="1:18" x14ac:dyDescent="0.25">
      <c r="A647" s="3"/>
      <c r="B647" s="42"/>
      <c r="C647" s="42"/>
      <c r="D647" s="72"/>
      <c r="E647" s="72"/>
      <c r="F647" s="72"/>
      <c r="G647" s="69" t="str">
        <f t="shared" si="340"/>
        <v/>
      </c>
      <c r="H647" s="69" t="str">
        <f t="shared" si="341"/>
        <v/>
      </c>
      <c r="I647" s="69" t="str">
        <f t="shared" si="342"/>
        <v/>
      </c>
      <c r="J647" s="75" t="str">
        <f t="shared" si="334"/>
        <v/>
      </c>
      <c r="K647" s="63"/>
    </row>
    <row r="648" spans="1:18" x14ac:dyDescent="0.25">
      <c r="A648" s="4" t="s">
        <v>5</v>
      </c>
      <c r="B648" s="33" t="s">
        <v>607</v>
      </c>
      <c r="C648" s="33"/>
      <c r="D648" s="70">
        <v>1</v>
      </c>
      <c r="E648" s="70">
        <v>1</v>
      </c>
      <c r="F648" s="70">
        <v>1</v>
      </c>
      <c r="G648" s="67">
        <f t="shared" si="340"/>
        <v>1</v>
      </c>
      <c r="H648" s="67">
        <f t="shared" si="341"/>
        <v>1</v>
      </c>
      <c r="I648" s="67">
        <f t="shared" si="342"/>
        <v>1</v>
      </c>
      <c r="J648" s="73">
        <f t="shared" si="334"/>
        <v>3</v>
      </c>
      <c r="K648" s="61"/>
    </row>
    <row r="649" spans="1:18" x14ac:dyDescent="0.25">
      <c r="A649" s="2"/>
      <c r="B649" s="37"/>
      <c r="C649" s="37"/>
      <c r="D649" s="71"/>
      <c r="E649" s="71"/>
      <c r="F649" s="71"/>
      <c r="G649" s="68" t="str">
        <f t="shared" si="340"/>
        <v/>
      </c>
      <c r="H649" s="68" t="str">
        <f t="shared" si="341"/>
        <v/>
      </c>
      <c r="I649" s="68" t="str">
        <f t="shared" si="342"/>
        <v/>
      </c>
      <c r="J649" s="74" t="str">
        <f t="shared" si="334"/>
        <v/>
      </c>
      <c r="K649" s="62"/>
    </row>
    <row r="650" spans="1:18" x14ac:dyDescent="0.25">
      <c r="A650" s="3"/>
      <c r="B650" s="40"/>
      <c r="C650" s="37"/>
      <c r="D650" s="71"/>
      <c r="E650" s="71"/>
      <c r="F650" s="71"/>
      <c r="G650" s="69" t="str">
        <f t="shared" si="340"/>
        <v/>
      </c>
      <c r="H650" s="69" t="str">
        <f t="shared" si="341"/>
        <v/>
      </c>
      <c r="I650" s="69" t="str">
        <f t="shared" si="342"/>
        <v/>
      </c>
      <c r="J650" s="75" t="str">
        <f t="shared" si="334"/>
        <v/>
      </c>
      <c r="K650" s="63"/>
    </row>
    <row r="651" spans="1:18" x14ac:dyDescent="0.25">
      <c r="A651" s="4" t="s">
        <v>7</v>
      </c>
      <c r="B651" s="33" t="s">
        <v>45</v>
      </c>
      <c r="C651" s="33"/>
      <c r="D651" s="70">
        <v>1</v>
      </c>
      <c r="E651" s="70">
        <v>0</v>
      </c>
      <c r="F651" s="70">
        <v>1</v>
      </c>
      <c r="G651" s="67">
        <f t="shared" si="340"/>
        <v>0</v>
      </c>
      <c r="H651" s="67">
        <f t="shared" si="341"/>
        <v>1</v>
      </c>
      <c r="I651" s="67">
        <f t="shared" si="342"/>
        <v>0</v>
      </c>
      <c r="J651" s="73">
        <f t="shared" si="334"/>
        <v>2</v>
      </c>
      <c r="K651" s="61"/>
    </row>
    <row r="652" spans="1:18" x14ac:dyDescent="0.25">
      <c r="A652" s="2"/>
      <c r="B652" s="37" t="s">
        <v>38</v>
      </c>
      <c r="C652" s="37"/>
      <c r="D652" s="71">
        <v>1</v>
      </c>
      <c r="E652" s="71">
        <v>1</v>
      </c>
      <c r="F652" s="71">
        <v>0</v>
      </c>
      <c r="G652" s="68">
        <f t="shared" si="340"/>
        <v>1</v>
      </c>
      <c r="H652" s="68">
        <f t="shared" si="341"/>
        <v>0</v>
      </c>
      <c r="I652" s="68">
        <f t="shared" si="342"/>
        <v>0</v>
      </c>
      <c r="J652" s="74">
        <f t="shared" si="334"/>
        <v>2</v>
      </c>
      <c r="K652" s="62"/>
    </row>
    <row r="653" spans="1:18" x14ac:dyDescent="0.25">
      <c r="A653" s="3"/>
      <c r="B653" s="40"/>
      <c r="C653" s="40"/>
      <c r="D653" s="72"/>
      <c r="E653" s="72"/>
      <c r="F653" s="72"/>
      <c r="G653" s="69" t="str">
        <f t="shared" si="340"/>
        <v/>
      </c>
      <c r="H653" s="69" t="str">
        <f t="shared" si="341"/>
        <v/>
      </c>
      <c r="I653" s="69" t="str">
        <f t="shared" si="342"/>
        <v/>
      </c>
      <c r="J653" s="75" t="str">
        <f t="shared" si="334"/>
        <v/>
      </c>
      <c r="K653" s="63"/>
    </row>
    <row r="654" spans="1:18" x14ac:dyDescent="0.25">
      <c r="A654" s="4" t="s">
        <v>8</v>
      </c>
      <c r="B654" s="37" t="s">
        <v>360</v>
      </c>
      <c r="C654" s="37"/>
      <c r="D654" s="70">
        <v>1</v>
      </c>
      <c r="E654" s="70">
        <v>1</v>
      </c>
      <c r="F654" s="70">
        <v>1</v>
      </c>
      <c r="G654" s="67">
        <f t="shared" si="340"/>
        <v>1</v>
      </c>
      <c r="H654" s="67">
        <f t="shared" si="341"/>
        <v>1</v>
      </c>
      <c r="I654" s="67">
        <f t="shared" si="342"/>
        <v>1</v>
      </c>
      <c r="J654" s="73">
        <f t="shared" si="334"/>
        <v>3</v>
      </c>
      <c r="K654" s="61"/>
    </row>
    <row r="655" spans="1:18" x14ac:dyDescent="0.25">
      <c r="A655" s="2"/>
      <c r="B655" s="33" t="s">
        <v>867</v>
      </c>
      <c r="C655" s="37"/>
      <c r="D655" s="71">
        <v>1</v>
      </c>
      <c r="E655" s="71">
        <v>0</v>
      </c>
      <c r="F655" s="71">
        <v>1</v>
      </c>
      <c r="G655" s="68">
        <f t="shared" si="340"/>
        <v>0</v>
      </c>
      <c r="H655" s="68">
        <f t="shared" si="341"/>
        <v>1</v>
      </c>
      <c r="I655" s="68">
        <f t="shared" si="342"/>
        <v>0</v>
      </c>
      <c r="J655" s="74">
        <f t="shared" si="334"/>
        <v>2</v>
      </c>
      <c r="K655" s="62"/>
    </row>
    <row r="656" spans="1:18" x14ac:dyDescent="0.25">
      <c r="A656" s="3"/>
      <c r="B656" s="40"/>
      <c r="C656" s="40"/>
      <c r="D656" s="72"/>
      <c r="E656" s="72"/>
      <c r="F656" s="72"/>
      <c r="G656" s="69" t="str">
        <f t="shared" si="340"/>
        <v/>
      </c>
      <c r="H656" s="69" t="str">
        <f t="shared" si="341"/>
        <v/>
      </c>
      <c r="I656" s="69" t="str">
        <f t="shared" si="342"/>
        <v/>
      </c>
      <c r="J656" s="75" t="str">
        <f t="shared" si="334"/>
        <v/>
      </c>
      <c r="K656" s="63"/>
    </row>
    <row r="657" spans="1:18" x14ac:dyDescent="0.25">
      <c r="A657" s="2" t="s">
        <v>9</v>
      </c>
      <c r="B657" s="37" t="s">
        <v>362</v>
      </c>
      <c r="C657" s="37"/>
      <c r="D657" s="71">
        <v>1</v>
      </c>
      <c r="E657" s="71">
        <v>1</v>
      </c>
      <c r="F657" s="71">
        <v>0</v>
      </c>
      <c r="G657" s="68">
        <f t="shared" si="340"/>
        <v>1</v>
      </c>
      <c r="H657" s="68">
        <f t="shared" si="341"/>
        <v>0</v>
      </c>
      <c r="I657" s="68">
        <f t="shared" si="342"/>
        <v>0</v>
      </c>
      <c r="J657" s="74">
        <f t="shared" si="334"/>
        <v>2</v>
      </c>
      <c r="K657" s="62"/>
    </row>
    <row r="658" spans="1:18" x14ac:dyDescent="0.25">
      <c r="A658" s="2"/>
      <c r="B658" s="37" t="s">
        <v>363</v>
      </c>
      <c r="C658" s="37"/>
      <c r="D658" s="71">
        <v>1</v>
      </c>
      <c r="E658" s="71">
        <v>1</v>
      </c>
      <c r="F658" s="71">
        <v>0</v>
      </c>
      <c r="G658" s="68">
        <f t="shared" si="340"/>
        <v>1</v>
      </c>
      <c r="H658" s="68">
        <f t="shared" si="341"/>
        <v>0</v>
      </c>
      <c r="I658" s="68">
        <f t="shared" si="342"/>
        <v>0</v>
      </c>
      <c r="J658" s="74">
        <f t="shared" si="334"/>
        <v>2</v>
      </c>
      <c r="K658" s="62"/>
    </row>
    <row r="659" spans="1:18" x14ac:dyDescent="0.25">
      <c r="A659" s="3"/>
      <c r="B659" s="40"/>
      <c r="C659" s="40"/>
      <c r="D659" s="72"/>
      <c r="E659" s="72"/>
      <c r="F659" s="72"/>
      <c r="G659" s="69" t="str">
        <f t="shared" si="340"/>
        <v/>
      </c>
      <c r="H659" s="69" t="str">
        <f t="shared" si="341"/>
        <v/>
      </c>
      <c r="I659" s="69" t="str">
        <f t="shared" si="342"/>
        <v/>
      </c>
      <c r="J659" s="75" t="str">
        <f t="shared" si="334"/>
        <v/>
      </c>
      <c r="K659" s="63"/>
    </row>
    <row r="660" spans="1:18" x14ac:dyDescent="0.25">
      <c r="A660" s="2" t="s">
        <v>1224</v>
      </c>
      <c r="B660" s="37" t="s">
        <v>415</v>
      </c>
      <c r="C660" s="37"/>
      <c r="D660" s="71">
        <v>1</v>
      </c>
      <c r="E660" s="71">
        <v>0</v>
      </c>
      <c r="F660" s="71">
        <v>1</v>
      </c>
      <c r="G660" s="68">
        <f t="shared" si="340"/>
        <v>0</v>
      </c>
      <c r="H660" s="68">
        <f t="shared" si="341"/>
        <v>1</v>
      </c>
      <c r="I660" s="68">
        <f t="shared" si="342"/>
        <v>0</v>
      </c>
      <c r="J660" s="74">
        <f t="shared" ref="J660:J662" si="349">IF(B660="","",SUM(D660:F660))</f>
        <v>2</v>
      </c>
      <c r="K660" s="62"/>
    </row>
    <row r="661" spans="1:18" x14ac:dyDescent="0.25">
      <c r="A661" s="2"/>
      <c r="B661" s="37" t="s">
        <v>1314</v>
      </c>
      <c r="C661" s="37"/>
      <c r="D661" s="71">
        <v>0</v>
      </c>
      <c r="E661" s="71">
        <v>1</v>
      </c>
      <c r="F661" s="71">
        <v>0</v>
      </c>
      <c r="G661" s="68">
        <f t="shared" si="340"/>
        <v>0</v>
      </c>
      <c r="H661" s="68">
        <f t="shared" si="341"/>
        <v>0</v>
      </c>
      <c r="I661" s="68">
        <f t="shared" si="342"/>
        <v>0</v>
      </c>
      <c r="J661" s="74">
        <f t="shared" si="349"/>
        <v>1</v>
      </c>
      <c r="K661" s="62"/>
    </row>
    <row r="662" spans="1:18" x14ac:dyDescent="0.25">
      <c r="A662" s="3"/>
      <c r="B662" s="40"/>
      <c r="C662" s="40"/>
      <c r="D662" s="72"/>
      <c r="E662" s="72"/>
      <c r="F662" s="72"/>
      <c r="G662" s="69" t="str">
        <f t="shared" si="340"/>
        <v/>
      </c>
      <c r="H662" s="69" t="str">
        <f t="shared" si="341"/>
        <v/>
      </c>
      <c r="I662" s="69" t="str">
        <f t="shared" si="342"/>
        <v/>
      </c>
      <c r="J662" s="75" t="str">
        <f t="shared" si="349"/>
        <v/>
      </c>
      <c r="K662" s="63"/>
    </row>
    <row r="664" spans="1:18" x14ac:dyDescent="0.25">
      <c r="A664" s="81">
        <v>34</v>
      </c>
      <c r="B664" s="49" t="s">
        <v>1151</v>
      </c>
      <c r="C664" s="31" t="s">
        <v>1429</v>
      </c>
      <c r="D664" s="76"/>
      <c r="E664" s="66"/>
      <c r="F664" s="66"/>
      <c r="G664" s="66"/>
      <c r="H664" s="66"/>
      <c r="I664" s="66"/>
      <c r="J664" s="60"/>
      <c r="K664" s="60"/>
    </row>
    <row r="665" spans="1:18" x14ac:dyDescent="0.25">
      <c r="A665" s="4" t="s">
        <v>6</v>
      </c>
      <c r="B665" s="37" t="s">
        <v>615</v>
      </c>
      <c r="C665" s="37"/>
      <c r="D665" s="70">
        <v>1</v>
      </c>
      <c r="E665" s="70">
        <v>1</v>
      </c>
      <c r="F665" s="70">
        <v>0</v>
      </c>
      <c r="G665" s="67">
        <f t="shared" ref="G665:G682" si="350">IF(B665="","",IF( AND(D665=1, E665=1),1,0))</f>
        <v>1</v>
      </c>
      <c r="H665" s="67">
        <f t="shared" ref="H665:H682" si="351">IF(B665="","",IF(AND(D665=1,F665=1),1,0))</f>
        <v>0</v>
      </c>
      <c r="I665" s="67">
        <f t="shared" ref="I665:I682" si="352">IF(B665="","",IF(AND(E665=1,F665=1),1,0))</f>
        <v>0</v>
      </c>
      <c r="J665" s="73">
        <f t="shared" ref="J665" si="353">IF(B665="","",SUM(D665:F665))</f>
        <v>2</v>
      </c>
      <c r="K665" s="61"/>
      <c r="M665" s="7">
        <f t="shared" ref="M665" si="354">SUM(G665:I665)/3</f>
        <v>0.33333333333333331</v>
      </c>
      <c r="N665" s="6">
        <f t="shared" ref="N665" si="355">SUM(G668:I668)/3</f>
        <v>0.33333333333333331</v>
      </c>
      <c r="O665" s="7">
        <f t="shared" ref="O665" si="356">SUM(G671:I671)/3</f>
        <v>1</v>
      </c>
      <c r="P665" s="6">
        <f t="shared" ref="P665" si="357">SUM(G674:I674)/3</f>
        <v>0.33333333333333331</v>
      </c>
      <c r="Q665" s="7">
        <f t="shared" ref="Q665" si="358">SUM(G677:I677)/3</f>
        <v>0.33333333333333331</v>
      </c>
      <c r="R665" s="7">
        <f>SUM(G680:I680)/3</f>
        <v>0.33333333333333331</v>
      </c>
    </row>
    <row r="666" spans="1:18" x14ac:dyDescent="0.25">
      <c r="A666" s="2"/>
      <c r="B666" s="37" t="s">
        <v>364</v>
      </c>
      <c r="C666" s="37"/>
      <c r="D666" s="71">
        <v>0</v>
      </c>
      <c r="E666" s="71">
        <v>1</v>
      </c>
      <c r="F666" s="71">
        <v>1</v>
      </c>
      <c r="G666" s="68">
        <f t="shared" si="350"/>
        <v>0</v>
      </c>
      <c r="H666" s="68">
        <f t="shared" si="351"/>
        <v>0</v>
      </c>
      <c r="I666" s="68">
        <f t="shared" si="352"/>
        <v>1</v>
      </c>
      <c r="J666" s="74">
        <f t="shared" si="334"/>
        <v>2</v>
      </c>
      <c r="K666" s="62"/>
    </row>
    <row r="667" spans="1:18" x14ac:dyDescent="0.25">
      <c r="A667" s="3"/>
      <c r="B667" s="42"/>
      <c r="C667" s="42"/>
      <c r="D667" s="72"/>
      <c r="E667" s="72"/>
      <c r="F667" s="72"/>
      <c r="G667" s="69" t="str">
        <f t="shared" si="350"/>
        <v/>
      </c>
      <c r="H667" s="69" t="str">
        <f t="shared" si="351"/>
        <v/>
      </c>
      <c r="I667" s="69" t="str">
        <f t="shared" si="352"/>
        <v/>
      </c>
      <c r="J667" s="75" t="str">
        <f t="shared" si="334"/>
        <v/>
      </c>
      <c r="K667" s="63"/>
    </row>
    <row r="668" spans="1:18" x14ac:dyDescent="0.25">
      <c r="A668" s="4" t="s">
        <v>5</v>
      </c>
      <c r="B668" s="33" t="s">
        <v>612</v>
      </c>
      <c r="C668" s="33"/>
      <c r="D668" s="70">
        <v>1</v>
      </c>
      <c r="E668" s="70">
        <v>0</v>
      </c>
      <c r="F668" s="70">
        <v>1</v>
      </c>
      <c r="G668" s="67">
        <f t="shared" si="350"/>
        <v>0</v>
      </c>
      <c r="H668" s="67">
        <f t="shared" si="351"/>
        <v>1</v>
      </c>
      <c r="I668" s="67">
        <f t="shared" si="352"/>
        <v>0</v>
      </c>
      <c r="J668" s="73">
        <f t="shared" si="334"/>
        <v>2</v>
      </c>
      <c r="K668" s="61"/>
    </row>
    <row r="669" spans="1:18" x14ac:dyDescent="0.25">
      <c r="A669" s="2"/>
      <c r="B669" s="37"/>
      <c r="C669" s="37"/>
      <c r="D669" s="71"/>
      <c r="E669" s="71"/>
      <c r="F669" s="71"/>
      <c r="G669" s="68" t="str">
        <f t="shared" si="350"/>
        <v/>
      </c>
      <c r="H669" s="68" t="str">
        <f t="shared" si="351"/>
        <v/>
      </c>
      <c r="I669" s="68" t="str">
        <f t="shared" si="352"/>
        <v/>
      </c>
      <c r="J669" s="74" t="str">
        <f t="shared" si="334"/>
        <v/>
      </c>
      <c r="K669" s="62"/>
    </row>
    <row r="670" spans="1:18" x14ac:dyDescent="0.25">
      <c r="A670" s="3"/>
      <c r="B670" s="40"/>
      <c r="C670" s="37"/>
      <c r="D670" s="71"/>
      <c r="E670" s="71"/>
      <c r="F670" s="71"/>
      <c r="G670" s="69" t="str">
        <f t="shared" si="350"/>
        <v/>
      </c>
      <c r="H670" s="69" t="str">
        <f t="shared" si="351"/>
        <v/>
      </c>
      <c r="I670" s="69" t="str">
        <f t="shared" si="352"/>
        <v/>
      </c>
      <c r="J670" s="75" t="str">
        <f t="shared" si="334"/>
        <v/>
      </c>
      <c r="K670" s="63"/>
    </row>
    <row r="671" spans="1:18" x14ac:dyDescent="0.25">
      <c r="A671" s="4" t="s">
        <v>7</v>
      </c>
      <c r="B671" s="33" t="s">
        <v>367</v>
      </c>
      <c r="C671" s="33"/>
      <c r="D671" s="70">
        <v>1</v>
      </c>
      <c r="E671" s="70">
        <v>1</v>
      </c>
      <c r="F671" s="70">
        <v>1</v>
      </c>
      <c r="G671" s="67">
        <f t="shared" si="350"/>
        <v>1</v>
      </c>
      <c r="H671" s="67">
        <f t="shared" si="351"/>
        <v>1</v>
      </c>
      <c r="I671" s="67">
        <f t="shared" si="352"/>
        <v>1</v>
      </c>
      <c r="J671" s="73">
        <f t="shared" si="334"/>
        <v>3</v>
      </c>
      <c r="K671" s="61"/>
    </row>
    <row r="672" spans="1:18" x14ac:dyDescent="0.25">
      <c r="A672" s="2"/>
      <c r="B672" s="37"/>
      <c r="C672" s="37"/>
      <c r="D672" s="71"/>
      <c r="E672" s="71"/>
      <c r="F672" s="71"/>
      <c r="G672" s="68" t="str">
        <f t="shared" si="350"/>
        <v/>
      </c>
      <c r="H672" s="68" t="str">
        <f t="shared" si="351"/>
        <v/>
      </c>
      <c r="I672" s="68" t="str">
        <f t="shared" si="352"/>
        <v/>
      </c>
      <c r="J672" s="74" t="str">
        <f t="shared" si="334"/>
        <v/>
      </c>
      <c r="K672" s="62"/>
    </row>
    <row r="673" spans="1:18" x14ac:dyDescent="0.25">
      <c r="A673" s="3"/>
      <c r="B673" s="40"/>
      <c r="C673" s="40"/>
      <c r="D673" s="72"/>
      <c r="E673" s="72"/>
      <c r="F673" s="72"/>
      <c r="G673" s="69" t="str">
        <f t="shared" si="350"/>
        <v/>
      </c>
      <c r="H673" s="69" t="str">
        <f t="shared" si="351"/>
        <v/>
      </c>
      <c r="I673" s="69" t="str">
        <f t="shared" si="352"/>
        <v/>
      </c>
      <c r="J673" s="75" t="str">
        <f t="shared" si="334"/>
        <v/>
      </c>
      <c r="K673" s="63"/>
    </row>
    <row r="674" spans="1:18" x14ac:dyDescent="0.25">
      <c r="A674" s="4" t="s">
        <v>8</v>
      </c>
      <c r="B674" s="37" t="s">
        <v>85</v>
      </c>
      <c r="C674" s="37"/>
      <c r="D674" s="70">
        <v>1</v>
      </c>
      <c r="E674" s="70">
        <v>0</v>
      </c>
      <c r="F674" s="70">
        <v>1</v>
      </c>
      <c r="G674" s="67">
        <f t="shared" si="350"/>
        <v>0</v>
      </c>
      <c r="H674" s="67">
        <f t="shared" si="351"/>
        <v>1</v>
      </c>
      <c r="I674" s="67">
        <f t="shared" si="352"/>
        <v>0</v>
      </c>
      <c r="J674" s="73">
        <f t="shared" si="334"/>
        <v>2</v>
      </c>
      <c r="K674" s="61"/>
    </row>
    <row r="675" spans="1:18" x14ac:dyDescent="0.25">
      <c r="A675" s="2"/>
      <c r="B675" s="37" t="s">
        <v>873</v>
      </c>
      <c r="C675" s="37"/>
      <c r="D675" s="71">
        <v>1</v>
      </c>
      <c r="E675" s="71">
        <v>1</v>
      </c>
      <c r="F675" s="71">
        <v>0</v>
      </c>
      <c r="G675" s="68">
        <f t="shared" si="350"/>
        <v>1</v>
      </c>
      <c r="H675" s="68">
        <f t="shared" si="351"/>
        <v>0</v>
      </c>
      <c r="I675" s="68">
        <f t="shared" si="352"/>
        <v>0</v>
      </c>
      <c r="J675" s="74">
        <f t="shared" si="334"/>
        <v>2</v>
      </c>
      <c r="K675" s="62"/>
    </row>
    <row r="676" spans="1:18" x14ac:dyDescent="0.25">
      <c r="A676" s="3"/>
      <c r="B676" s="40"/>
      <c r="C676" s="40"/>
      <c r="D676" s="72"/>
      <c r="E676" s="72"/>
      <c r="F676" s="72"/>
      <c r="G676" s="69" t="str">
        <f t="shared" si="350"/>
        <v/>
      </c>
      <c r="H676" s="69" t="str">
        <f t="shared" si="351"/>
        <v/>
      </c>
      <c r="I676" s="69" t="str">
        <f t="shared" si="352"/>
        <v/>
      </c>
      <c r="J676" s="75" t="str">
        <f t="shared" si="334"/>
        <v/>
      </c>
      <c r="K676" s="63"/>
    </row>
    <row r="677" spans="1:18" x14ac:dyDescent="0.25">
      <c r="A677" s="2" t="s">
        <v>9</v>
      </c>
      <c r="B677" s="37" t="s">
        <v>370</v>
      </c>
      <c r="C677" s="37"/>
      <c r="D677" s="71">
        <v>1</v>
      </c>
      <c r="E677" s="71">
        <v>1</v>
      </c>
      <c r="F677" s="71">
        <v>0</v>
      </c>
      <c r="G677" s="68">
        <f t="shared" si="350"/>
        <v>1</v>
      </c>
      <c r="H677" s="68">
        <f t="shared" si="351"/>
        <v>0</v>
      </c>
      <c r="I677" s="68">
        <f t="shared" si="352"/>
        <v>0</v>
      </c>
      <c r="J677" s="74">
        <f t="shared" si="334"/>
        <v>2</v>
      </c>
      <c r="K677" s="62"/>
    </row>
    <row r="678" spans="1:18" x14ac:dyDescent="0.25">
      <c r="A678" s="2"/>
      <c r="B678" s="37"/>
      <c r="C678" s="37"/>
      <c r="D678" s="71"/>
      <c r="E678" s="71"/>
      <c r="F678" s="71"/>
      <c r="G678" s="68" t="str">
        <f t="shared" si="350"/>
        <v/>
      </c>
      <c r="H678" s="68" t="str">
        <f t="shared" si="351"/>
        <v/>
      </c>
      <c r="I678" s="68" t="str">
        <f t="shared" si="352"/>
        <v/>
      </c>
      <c r="J678" s="74" t="str">
        <f t="shared" si="334"/>
        <v/>
      </c>
      <c r="K678" s="62"/>
    </row>
    <row r="679" spans="1:18" x14ac:dyDescent="0.25">
      <c r="A679" s="3"/>
      <c r="B679" s="40"/>
      <c r="C679" s="40"/>
      <c r="D679" s="72"/>
      <c r="E679" s="72"/>
      <c r="F679" s="72"/>
      <c r="G679" s="69" t="str">
        <f t="shared" si="350"/>
        <v/>
      </c>
      <c r="H679" s="69" t="str">
        <f t="shared" si="351"/>
        <v/>
      </c>
      <c r="I679" s="69" t="str">
        <f t="shared" si="352"/>
        <v/>
      </c>
      <c r="J679" s="75" t="str">
        <f t="shared" si="334"/>
        <v/>
      </c>
      <c r="K679" s="63"/>
    </row>
    <row r="680" spans="1:18" x14ac:dyDescent="0.25">
      <c r="A680" s="2" t="s">
        <v>1224</v>
      </c>
      <c r="B680" s="37" t="s">
        <v>1315</v>
      </c>
      <c r="C680" s="37"/>
      <c r="D680" s="71">
        <v>0</v>
      </c>
      <c r="E680" s="71">
        <v>1</v>
      </c>
      <c r="F680" s="71">
        <v>1</v>
      </c>
      <c r="G680" s="68">
        <f t="shared" si="350"/>
        <v>0</v>
      </c>
      <c r="H680" s="68">
        <f t="shared" si="351"/>
        <v>0</v>
      </c>
      <c r="I680" s="68">
        <f t="shared" si="352"/>
        <v>1</v>
      </c>
      <c r="J680" s="74">
        <f t="shared" si="334"/>
        <v>2</v>
      </c>
      <c r="K680" s="62"/>
    </row>
    <row r="681" spans="1:18" x14ac:dyDescent="0.25">
      <c r="A681" s="2"/>
      <c r="B681" s="37" t="s">
        <v>615</v>
      </c>
      <c r="C681" s="37"/>
      <c r="D681" s="71">
        <v>1</v>
      </c>
      <c r="E681" s="71">
        <v>1</v>
      </c>
      <c r="F681" s="71">
        <v>0</v>
      </c>
      <c r="G681" s="68">
        <f t="shared" si="350"/>
        <v>1</v>
      </c>
      <c r="H681" s="68">
        <f t="shared" si="351"/>
        <v>0</v>
      </c>
      <c r="I681" s="68">
        <f t="shared" si="352"/>
        <v>0</v>
      </c>
      <c r="J681" s="74">
        <f t="shared" si="334"/>
        <v>2</v>
      </c>
      <c r="K681" s="62"/>
    </row>
    <row r="682" spans="1:18" x14ac:dyDescent="0.25">
      <c r="A682" s="3"/>
      <c r="B682" s="39"/>
      <c r="C682" s="39"/>
      <c r="D682" s="72"/>
      <c r="E682" s="72"/>
      <c r="F682" s="72"/>
      <c r="G682" s="69" t="str">
        <f t="shared" si="350"/>
        <v/>
      </c>
      <c r="H682" s="69" t="str">
        <f t="shared" si="351"/>
        <v/>
      </c>
      <c r="I682" s="69" t="str">
        <f t="shared" si="352"/>
        <v/>
      </c>
      <c r="J682" s="75" t="str">
        <f t="shared" si="334"/>
        <v/>
      </c>
      <c r="K682" s="63"/>
    </row>
    <row r="684" spans="1:18" x14ac:dyDescent="0.25">
      <c r="A684" s="81">
        <v>35</v>
      </c>
      <c r="B684" s="49" t="s">
        <v>1152</v>
      </c>
      <c r="C684" s="31" t="s">
        <v>1430</v>
      </c>
      <c r="D684" s="76"/>
      <c r="E684" s="66"/>
      <c r="F684" s="66"/>
      <c r="G684" s="66"/>
      <c r="H684" s="66"/>
      <c r="I684" s="66"/>
      <c r="J684" s="60"/>
      <c r="K684" s="60"/>
    </row>
    <row r="685" spans="1:18" x14ac:dyDescent="0.25">
      <c r="A685" s="4" t="s">
        <v>6</v>
      </c>
      <c r="B685" s="37" t="s">
        <v>863</v>
      </c>
      <c r="C685" s="37"/>
      <c r="D685" s="70">
        <v>1</v>
      </c>
      <c r="E685" s="70">
        <v>1</v>
      </c>
      <c r="F685" s="70">
        <v>1</v>
      </c>
      <c r="G685" s="67">
        <f t="shared" ref="G685:G702" si="359">IF(B685="","",IF( AND(D685=1, E685=1),1,0))</f>
        <v>1</v>
      </c>
      <c r="H685" s="67">
        <f t="shared" ref="H685:H702" si="360">IF(B685="","",IF(AND(D685=1,F685=1),1,0))</f>
        <v>1</v>
      </c>
      <c r="I685" s="67">
        <f t="shared" ref="I685:I702" si="361">IF(B685="","",IF(AND(E685=1,F685=1),1,0))</f>
        <v>1</v>
      </c>
      <c r="J685" s="73">
        <f t="shared" ref="J685" si="362">IF(B685="","",SUM(D685:F685))</f>
        <v>3</v>
      </c>
      <c r="K685" s="61"/>
      <c r="M685" s="7">
        <f t="shared" ref="M685" si="363">SUM(G685:I685)/3</f>
        <v>1</v>
      </c>
      <c r="N685" s="6">
        <f t="shared" ref="N685" si="364">SUM(G688:I688)/3</f>
        <v>1</v>
      </c>
      <c r="O685" s="7">
        <f t="shared" ref="O685" si="365">SUM(G691:I691)/3</f>
        <v>1</v>
      </c>
      <c r="P685" s="6">
        <f t="shared" ref="P685" si="366">SUM(G694:I694)/3</f>
        <v>0</v>
      </c>
      <c r="Q685" s="7">
        <f t="shared" ref="Q685" si="367">SUM(G697:I697)/3</f>
        <v>0</v>
      </c>
      <c r="R685" s="7">
        <f>SUM(G700:I700)/3</f>
        <v>1</v>
      </c>
    </row>
    <row r="686" spans="1:18" x14ac:dyDescent="0.25">
      <c r="A686" s="2"/>
      <c r="B686" s="33" t="s">
        <v>371</v>
      </c>
      <c r="C686" s="37"/>
      <c r="D686" s="71">
        <v>1</v>
      </c>
      <c r="E686" s="71">
        <v>1</v>
      </c>
      <c r="F686" s="71">
        <v>0</v>
      </c>
      <c r="G686" s="68">
        <f t="shared" si="359"/>
        <v>1</v>
      </c>
      <c r="H686" s="68">
        <f t="shared" si="360"/>
        <v>0</v>
      </c>
      <c r="I686" s="68">
        <f t="shared" si="361"/>
        <v>0</v>
      </c>
      <c r="J686" s="74">
        <f t="shared" si="334"/>
        <v>2</v>
      </c>
      <c r="K686" s="62"/>
    </row>
    <row r="687" spans="1:18" x14ac:dyDescent="0.25">
      <c r="A687" s="3"/>
      <c r="B687" s="42"/>
      <c r="C687" s="42"/>
      <c r="D687" s="72"/>
      <c r="E687" s="72"/>
      <c r="F687" s="72"/>
      <c r="G687" s="69" t="str">
        <f t="shared" si="359"/>
        <v/>
      </c>
      <c r="H687" s="69" t="str">
        <f t="shared" si="360"/>
        <v/>
      </c>
      <c r="I687" s="69" t="str">
        <f t="shared" si="361"/>
        <v/>
      </c>
      <c r="J687" s="75" t="str">
        <f t="shared" si="334"/>
        <v/>
      </c>
      <c r="K687" s="63"/>
    </row>
    <row r="688" spans="1:18" x14ac:dyDescent="0.25">
      <c r="A688" s="4" t="s">
        <v>5</v>
      </c>
      <c r="B688" s="33" t="s">
        <v>174</v>
      </c>
      <c r="C688" s="33"/>
      <c r="D688" s="70">
        <v>1</v>
      </c>
      <c r="E688" s="70">
        <v>1</v>
      </c>
      <c r="F688" s="70">
        <v>1</v>
      </c>
      <c r="G688" s="67">
        <f t="shared" si="359"/>
        <v>1</v>
      </c>
      <c r="H688" s="67">
        <f t="shared" si="360"/>
        <v>1</v>
      </c>
      <c r="I688" s="67">
        <f t="shared" si="361"/>
        <v>1</v>
      </c>
      <c r="J688" s="73">
        <f t="shared" si="334"/>
        <v>3</v>
      </c>
      <c r="K688" s="61"/>
    </row>
    <row r="689" spans="1:11" x14ac:dyDescent="0.25">
      <c r="A689" s="2"/>
      <c r="B689" s="37"/>
      <c r="C689" s="37"/>
      <c r="D689" s="71"/>
      <c r="E689" s="71"/>
      <c r="F689" s="71"/>
      <c r="G689" s="68" t="str">
        <f t="shared" si="359"/>
        <v/>
      </c>
      <c r="H689" s="68" t="str">
        <f t="shared" si="360"/>
        <v/>
      </c>
      <c r="I689" s="68" t="str">
        <f t="shared" si="361"/>
        <v/>
      </c>
      <c r="J689" s="74" t="str">
        <f t="shared" si="334"/>
        <v/>
      </c>
      <c r="K689" s="62"/>
    </row>
    <row r="690" spans="1:11" x14ac:dyDescent="0.25">
      <c r="A690" s="3"/>
      <c r="B690" s="40"/>
      <c r="C690" s="37"/>
      <c r="D690" s="71"/>
      <c r="E690" s="71"/>
      <c r="F690" s="71"/>
      <c r="G690" s="69" t="str">
        <f t="shared" si="359"/>
        <v/>
      </c>
      <c r="H690" s="69" t="str">
        <f t="shared" si="360"/>
        <v/>
      </c>
      <c r="I690" s="69" t="str">
        <f t="shared" si="361"/>
        <v/>
      </c>
      <c r="J690" s="75" t="str">
        <f t="shared" si="334"/>
        <v/>
      </c>
      <c r="K690" s="63"/>
    </row>
    <row r="691" spans="1:11" x14ac:dyDescent="0.25">
      <c r="A691" s="4" t="s">
        <v>7</v>
      </c>
      <c r="B691" s="33" t="s">
        <v>375</v>
      </c>
      <c r="C691" s="33"/>
      <c r="D691" s="70">
        <v>1</v>
      </c>
      <c r="E691" s="70">
        <v>1</v>
      </c>
      <c r="F691" s="70">
        <v>1</v>
      </c>
      <c r="G691" s="67">
        <f t="shared" si="359"/>
        <v>1</v>
      </c>
      <c r="H691" s="67">
        <f t="shared" si="360"/>
        <v>1</v>
      </c>
      <c r="I691" s="67">
        <f t="shared" si="361"/>
        <v>1</v>
      </c>
      <c r="J691" s="73">
        <f t="shared" si="334"/>
        <v>3</v>
      </c>
      <c r="K691" s="61"/>
    </row>
    <row r="692" spans="1:11" x14ac:dyDescent="0.25">
      <c r="A692" s="2"/>
      <c r="B692" s="37" t="s">
        <v>38</v>
      </c>
      <c r="C692" s="37"/>
      <c r="D692" s="71">
        <v>1</v>
      </c>
      <c r="E692" s="71">
        <v>1</v>
      </c>
      <c r="F692" s="71">
        <v>0</v>
      </c>
      <c r="G692" s="68">
        <f t="shared" si="359"/>
        <v>1</v>
      </c>
      <c r="H692" s="68">
        <f t="shared" si="360"/>
        <v>0</v>
      </c>
      <c r="I692" s="68">
        <f t="shared" si="361"/>
        <v>0</v>
      </c>
      <c r="J692" s="74">
        <f t="shared" si="334"/>
        <v>2</v>
      </c>
      <c r="K692" s="62"/>
    </row>
    <row r="693" spans="1:11" x14ac:dyDescent="0.25">
      <c r="A693" s="3"/>
      <c r="B693" s="40"/>
      <c r="C693" s="40"/>
      <c r="D693" s="72"/>
      <c r="E693" s="72"/>
      <c r="F693" s="72"/>
      <c r="G693" s="69" t="str">
        <f t="shared" si="359"/>
        <v/>
      </c>
      <c r="H693" s="69" t="str">
        <f t="shared" si="360"/>
        <v/>
      </c>
      <c r="I693" s="69" t="str">
        <f t="shared" si="361"/>
        <v/>
      </c>
      <c r="J693" s="75" t="str">
        <f t="shared" si="334"/>
        <v/>
      </c>
      <c r="K693" s="63"/>
    </row>
    <row r="694" spans="1:11" x14ac:dyDescent="0.25">
      <c r="A694" s="4" t="s">
        <v>8</v>
      </c>
      <c r="B694" s="37" t="s">
        <v>372</v>
      </c>
      <c r="C694" s="37"/>
      <c r="D694" s="70">
        <v>1</v>
      </c>
      <c r="E694" s="70">
        <v>0</v>
      </c>
      <c r="F694" s="70">
        <v>0</v>
      </c>
      <c r="G694" s="67">
        <f t="shared" si="359"/>
        <v>0</v>
      </c>
      <c r="H694" s="67">
        <f t="shared" si="360"/>
        <v>0</v>
      </c>
      <c r="I694" s="67">
        <f t="shared" si="361"/>
        <v>0</v>
      </c>
      <c r="J694" s="73">
        <f t="shared" si="334"/>
        <v>1</v>
      </c>
      <c r="K694" s="61"/>
    </row>
    <row r="695" spans="1:11" x14ac:dyDescent="0.25">
      <c r="A695" s="2"/>
      <c r="B695" s="37" t="s">
        <v>617</v>
      </c>
      <c r="C695" s="37"/>
      <c r="D695" s="71">
        <v>0</v>
      </c>
      <c r="E695" s="71">
        <v>0</v>
      </c>
      <c r="F695" s="71">
        <v>1</v>
      </c>
      <c r="G695" s="68">
        <f t="shared" si="359"/>
        <v>0</v>
      </c>
      <c r="H695" s="68">
        <f t="shared" si="360"/>
        <v>0</v>
      </c>
      <c r="I695" s="68">
        <f t="shared" si="361"/>
        <v>0</v>
      </c>
      <c r="J695" s="74">
        <f t="shared" si="334"/>
        <v>1</v>
      </c>
      <c r="K695" s="62"/>
    </row>
    <row r="696" spans="1:11" x14ac:dyDescent="0.25">
      <c r="A696" s="3"/>
      <c r="B696" s="40" t="s">
        <v>1105</v>
      </c>
      <c r="C696" s="40"/>
      <c r="D696" s="72">
        <v>0</v>
      </c>
      <c r="E696" s="72">
        <v>1</v>
      </c>
      <c r="F696" s="72">
        <v>0</v>
      </c>
      <c r="G696" s="69">
        <f t="shared" si="359"/>
        <v>0</v>
      </c>
      <c r="H696" s="69">
        <f t="shared" si="360"/>
        <v>0</v>
      </c>
      <c r="I696" s="69">
        <f t="shared" si="361"/>
        <v>0</v>
      </c>
      <c r="J696" s="75">
        <f t="shared" si="334"/>
        <v>1</v>
      </c>
      <c r="K696" s="63"/>
    </row>
    <row r="697" spans="1:11" x14ac:dyDescent="0.25">
      <c r="A697" s="2" t="s">
        <v>9</v>
      </c>
      <c r="B697" s="37" t="s">
        <v>863</v>
      </c>
      <c r="C697" s="37"/>
      <c r="D697" s="71">
        <v>1</v>
      </c>
      <c r="E697" s="71">
        <v>0</v>
      </c>
      <c r="F697" s="71">
        <v>0</v>
      </c>
      <c r="G697" s="68">
        <f t="shared" si="359"/>
        <v>0</v>
      </c>
      <c r="H697" s="68">
        <f t="shared" si="360"/>
        <v>0</v>
      </c>
      <c r="I697" s="68">
        <f t="shared" si="361"/>
        <v>0</v>
      </c>
      <c r="J697" s="74">
        <f t="shared" si="334"/>
        <v>1</v>
      </c>
      <c r="K697" s="62"/>
    </row>
    <row r="698" spans="1:11" x14ac:dyDescent="0.25">
      <c r="A698" s="2"/>
      <c r="B698" s="37" t="s">
        <v>618</v>
      </c>
      <c r="C698" s="37"/>
      <c r="D698" s="71">
        <v>0</v>
      </c>
      <c r="E698" s="71">
        <v>0</v>
      </c>
      <c r="F698" s="71">
        <v>1</v>
      </c>
      <c r="G698" s="68">
        <f t="shared" si="359"/>
        <v>0</v>
      </c>
      <c r="H698" s="68">
        <f t="shared" si="360"/>
        <v>0</v>
      </c>
      <c r="I698" s="68">
        <f t="shared" si="361"/>
        <v>0</v>
      </c>
      <c r="J698" s="74">
        <f t="shared" ref="J698:J773" si="368">IF(B698="","",SUM(D698:F698))</f>
        <v>1</v>
      </c>
      <c r="K698" s="62"/>
    </row>
    <row r="699" spans="1:11" x14ac:dyDescent="0.25">
      <c r="A699" s="3"/>
      <c r="B699" s="40" t="s">
        <v>1105</v>
      </c>
      <c r="C699" s="40"/>
      <c r="D699" s="72">
        <v>0</v>
      </c>
      <c r="E699" s="72">
        <v>1</v>
      </c>
      <c r="F699" s="72">
        <v>0</v>
      </c>
      <c r="G699" s="69">
        <f t="shared" si="359"/>
        <v>0</v>
      </c>
      <c r="H699" s="69">
        <f t="shared" si="360"/>
        <v>0</v>
      </c>
      <c r="I699" s="69">
        <f t="shared" si="361"/>
        <v>0</v>
      </c>
      <c r="J699" s="75">
        <f t="shared" si="368"/>
        <v>1</v>
      </c>
      <c r="K699" s="63"/>
    </row>
    <row r="700" spans="1:11" x14ac:dyDescent="0.25">
      <c r="A700" s="2" t="s">
        <v>1224</v>
      </c>
      <c r="B700" s="37" t="s">
        <v>1316</v>
      </c>
      <c r="C700" s="37"/>
      <c r="D700" s="71">
        <v>1</v>
      </c>
      <c r="E700" s="71">
        <v>1</v>
      </c>
      <c r="F700" s="71">
        <v>1</v>
      </c>
      <c r="G700" s="68">
        <f t="shared" si="359"/>
        <v>1</v>
      </c>
      <c r="H700" s="68">
        <f t="shared" si="360"/>
        <v>1</v>
      </c>
      <c r="I700" s="68">
        <f t="shared" si="361"/>
        <v>1</v>
      </c>
      <c r="J700" s="74">
        <f t="shared" ref="J700:J702" si="369">IF(B700="","",SUM(D700:F700))</f>
        <v>3</v>
      </c>
      <c r="K700" s="62"/>
    </row>
    <row r="701" spans="1:11" x14ac:dyDescent="0.25">
      <c r="A701" s="2"/>
      <c r="B701" s="37"/>
      <c r="C701" s="37"/>
      <c r="D701" s="71"/>
      <c r="E701" s="71"/>
      <c r="F701" s="71"/>
      <c r="G701" s="68" t="str">
        <f t="shared" si="359"/>
        <v/>
      </c>
      <c r="H701" s="68" t="str">
        <f t="shared" si="360"/>
        <v/>
      </c>
      <c r="I701" s="68" t="str">
        <f t="shared" si="361"/>
        <v/>
      </c>
      <c r="J701" s="74" t="str">
        <f t="shared" si="369"/>
        <v/>
      </c>
      <c r="K701" s="62"/>
    </row>
    <row r="702" spans="1:11" x14ac:dyDescent="0.25">
      <c r="A702" s="3"/>
      <c r="B702" s="40"/>
      <c r="C702" s="40"/>
      <c r="D702" s="72"/>
      <c r="E702" s="72"/>
      <c r="F702" s="72"/>
      <c r="G702" s="69" t="str">
        <f t="shared" si="359"/>
        <v/>
      </c>
      <c r="H702" s="69" t="str">
        <f t="shared" si="360"/>
        <v/>
      </c>
      <c r="I702" s="69" t="str">
        <f t="shared" si="361"/>
        <v/>
      </c>
      <c r="J702" s="75" t="str">
        <f t="shared" si="369"/>
        <v/>
      </c>
      <c r="K702" s="63"/>
    </row>
    <row r="704" spans="1:11" x14ac:dyDescent="0.25">
      <c r="A704" s="81">
        <v>36</v>
      </c>
      <c r="B704" s="49" t="s">
        <v>1153</v>
      </c>
      <c r="C704" s="31" t="s">
        <v>1431</v>
      </c>
      <c r="D704" s="76"/>
      <c r="E704" s="66"/>
      <c r="F704" s="66"/>
      <c r="G704" s="66"/>
      <c r="H704" s="66"/>
      <c r="I704" s="66"/>
      <c r="J704" s="60"/>
      <c r="K704" s="60"/>
    </row>
    <row r="705" spans="1:18" x14ac:dyDescent="0.25">
      <c r="A705" s="4" t="s">
        <v>6</v>
      </c>
      <c r="B705" s="37" t="s">
        <v>371</v>
      </c>
      <c r="C705" s="37"/>
      <c r="D705" s="70">
        <v>1</v>
      </c>
      <c r="E705" s="70">
        <v>1</v>
      </c>
      <c r="F705" s="70">
        <v>0</v>
      </c>
      <c r="G705" s="67">
        <f t="shared" ref="G705:G722" si="370">IF(B705="","",IF( AND(D705=1, E705=1),1,0))</f>
        <v>1</v>
      </c>
      <c r="H705" s="67">
        <f t="shared" ref="H705:H722" si="371">IF(B705="","",IF(AND(D705=1,F705=1),1,0))</f>
        <v>0</v>
      </c>
      <c r="I705" s="67">
        <f t="shared" ref="I705:I722" si="372">IF(B705="","",IF(AND(E705=1,F705=1),1,0))</f>
        <v>0</v>
      </c>
      <c r="J705" s="73">
        <f t="shared" ref="J705" si="373">IF(B705="","",SUM(D705:F705))</f>
        <v>2</v>
      </c>
      <c r="K705" s="61"/>
      <c r="M705" s="7">
        <f t="shared" ref="M705" si="374">SUM(G705:I705)/3</f>
        <v>0.33333333333333331</v>
      </c>
      <c r="N705" s="6">
        <f t="shared" ref="N705" si="375">SUM(G708:I708)/3</f>
        <v>1</v>
      </c>
      <c r="O705" s="7">
        <f t="shared" ref="O705" si="376">SUM(G711:I711)/3</f>
        <v>1</v>
      </c>
      <c r="P705" s="6">
        <f t="shared" ref="P705" si="377">SUM(G714:I714)/3</f>
        <v>0.33333333333333331</v>
      </c>
      <c r="Q705" s="7">
        <f t="shared" ref="Q705" si="378">SUM(G717:I717)/3</f>
        <v>1</v>
      </c>
      <c r="R705" s="7">
        <f>SUM(G720:I720)/3</f>
        <v>1</v>
      </c>
    </row>
    <row r="706" spans="1:18" x14ac:dyDescent="0.25">
      <c r="A706" s="2"/>
      <c r="B706" s="37" t="s">
        <v>619</v>
      </c>
      <c r="C706" s="37"/>
      <c r="D706" s="71">
        <v>0</v>
      </c>
      <c r="E706" s="71">
        <v>1</v>
      </c>
      <c r="F706" s="71">
        <v>1</v>
      </c>
      <c r="G706" s="68">
        <f t="shared" si="370"/>
        <v>0</v>
      </c>
      <c r="H706" s="68">
        <f t="shared" si="371"/>
        <v>0</v>
      </c>
      <c r="I706" s="68">
        <f t="shared" si="372"/>
        <v>1</v>
      </c>
      <c r="J706" s="74">
        <f t="shared" si="368"/>
        <v>2</v>
      </c>
      <c r="K706" s="62"/>
    </row>
    <row r="707" spans="1:18" x14ac:dyDescent="0.25">
      <c r="A707" s="3"/>
      <c r="B707" s="42"/>
      <c r="C707" s="42"/>
      <c r="D707" s="72"/>
      <c r="E707" s="72"/>
      <c r="F707" s="72"/>
      <c r="G707" s="69" t="str">
        <f t="shared" si="370"/>
        <v/>
      </c>
      <c r="H707" s="69" t="str">
        <f t="shared" si="371"/>
        <v/>
      </c>
      <c r="I707" s="69" t="str">
        <f t="shared" si="372"/>
        <v/>
      </c>
      <c r="J707" s="75" t="str">
        <f t="shared" si="368"/>
        <v/>
      </c>
      <c r="K707" s="63"/>
    </row>
    <row r="708" spans="1:18" x14ac:dyDescent="0.25">
      <c r="A708" s="4" t="s">
        <v>5</v>
      </c>
      <c r="B708" s="33" t="s">
        <v>378</v>
      </c>
      <c r="C708" s="33"/>
      <c r="D708" s="70">
        <v>1</v>
      </c>
      <c r="E708" s="70">
        <v>1</v>
      </c>
      <c r="F708" s="70">
        <v>1</v>
      </c>
      <c r="G708" s="67">
        <f t="shared" si="370"/>
        <v>1</v>
      </c>
      <c r="H708" s="67">
        <f t="shared" si="371"/>
        <v>1</v>
      </c>
      <c r="I708" s="67">
        <f t="shared" si="372"/>
        <v>1</v>
      </c>
      <c r="J708" s="73">
        <f t="shared" si="368"/>
        <v>3</v>
      </c>
      <c r="K708" s="61"/>
    </row>
    <row r="709" spans="1:18" x14ac:dyDescent="0.25">
      <c r="A709" s="2"/>
      <c r="B709" s="37"/>
      <c r="C709" s="37"/>
      <c r="D709" s="71"/>
      <c r="E709" s="71"/>
      <c r="F709" s="71"/>
      <c r="G709" s="68" t="str">
        <f t="shared" si="370"/>
        <v/>
      </c>
      <c r="H709" s="68" t="str">
        <f t="shared" si="371"/>
        <v/>
      </c>
      <c r="I709" s="68" t="str">
        <f t="shared" si="372"/>
        <v/>
      </c>
      <c r="J709" s="74" t="str">
        <f t="shared" si="368"/>
        <v/>
      </c>
      <c r="K709" s="62"/>
    </row>
    <row r="710" spans="1:18" x14ac:dyDescent="0.25">
      <c r="A710" s="3"/>
      <c r="B710" s="40"/>
      <c r="C710" s="37"/>
      <c r="D710" s="71"/>
      <c r="E710" s="71"/>
      <c r="F710" s="71"/>
      <c r="G710" s="69" t="str">
        <f t="shared" si="370"/>
        <v/>
      </c>
      <c r="H710" s="69" t="str">
        <f t="shared" si="371"/>
        <v/>
      </c>
      <c r="I710" s="69" t="str">
        <f t="shared" si="372"/>
        <v/>
      </c>
      <c r="J710" s="75" t="str">
        <f t="shared" si="368"/>
        <v/>
      </c>
      <c r="K710" s="63"/>
    </row>
    <row r="711" spans="1:18" x14ac:dyDescent="0.25">
      <c r="A711" s="4" t="s">
        <v>7</v>
      </c>
      <c r="B711" s="33" t="s">
        <v>613</v>
      </c>
      <c r="C711" s="33"/>
      <c r="D711" s="70">
        <v>1</v>
      </c>
      <c r="E711" s="70">
        <v>1</v>
      </c>
      <c r="F711" s="70">
        <v>1</v>
      </c>
      <c r="G711" s="67">
        <f t="shared" si="370"/>
        <v>1</v>
      </c>
      <c r="H711" s="67">
        <f t="shared" si="371"/>
        <v>1</v>
      </c>
      <c r="I711" s="67">
        <f t="shared" si="372"/>
        <v>1</v>
      </c>
      <c r="J711" s="73">
        <f t="shared" si="368"/>
        <v>3</v>
      </c>
      <c r="K711" s="61"/>
    </row>
    <row r="712" spans="1:18" x14ac:dyDescent="0.25">
      <c r="A712" s="2"/>
      <c r="B712" s="37"/>
      <c r="C712" s="37"/>
      <c r="D712" s="71"/>
      <c r="E712" s="71"/>
      <c r="F712" s="71"/>
      <c r="G712" s="68" t="str">
        <f>IF(B712="","",IF( AND(D712=1, E712=1),1,0))</f>
        <v/>
      </c>
      <c r="H712" s="68" t="str">
        <f>IF(B712="","",IF(AND(D712=1,F712=1),1,0))</f>
        <v/>
      </c>
      <c r="I712" s="68" t="str">
        <f>IF(B712="","",IF(AND(E712=1,F712=1),1,0))</f>
        <v/>
      </c>
      <c r="J712" s="74" t="str">
        <f>IF(B712="","",SUM(D712:F712))</f>
        <v/>
      </c>
      <c r="K712" s="62"/>
    </row>
    <row r="713" spans="1:18" x14ac:dyDescent="0.25">
      <c r="A713" s="3"/>
      <c r="B713" s="40"/>
      <c r="C713" s="40"/>
      <c r="D713" s="72"/>
      <c r="E713" s="72"/>
      <c r="F713" s="72"/>
      <c r="G713" s="69" t="str">
        <f t="shared" si="370"/>
        <v/>
      </c>
      <c r="H713" s="69" t="str">
        <f t="shared" si="371"/>
        <v/>
      </c>
      <c r="I713" s="69" t="str">
        <f t="shared" si="372"/>
        <v/>
      </c>
      <c r="J713" s="75" t="str">
        <f t="shared" si="368"/>
        <v/>
      </c>
      <c r="K713" s="63"/>
    </row>
    <row r="714" spans="1:18" x14ac:dyDescent="0.25">
      <c r="A714" s="4" t="s">
        <v>8</v>
      </c>
      <c r="B714" s="37" t="s">
        <v>621</v>
      </c>
      <c r="C714" s="37"/>
      <c r="D714" s="70">
        <v>1</v>
      </c>
      <c r="E714" s="70">
        <v>0</v>
      </c>
      <c r="F714" s="70">
        <v>1</v>
      </c>
      <c r="G714" s="67">
        <f t="shared" si="370"/>
        <v>0</v>
      </c>
      <c r="H714" s="67">
        <f t="shared" si="371"/>
        <v>1</v>
      </c>
      <c r="I714" s="67">
        <f t="shared" si="372"/>
        <v>0</v>
      </c>
      <c r="J714" s="73">
        <f t="shared" si="368"/>
        <v>2</v>
      </c>
      <c r="K714" s="61"/>
    </row>
    <row r="715" spans="1:18" x14ac:dyDescent="0.25">
      <c r="A715" s="2"/>
      <c r="B715" s="37"/>
      <c r="C715" s="37"/>
      <c r="D715" s="71"/>
      <c r="E715" s="71"/>
      <c r="F715" s="71"/>
      <c r="G715" s="68" t="str">
        <f>IF(B715="","",IF( AND(D715=1, E715=1),1,0))</f>
        <v/>
      </c>
      <c r="H715" s="68" t="str">
        <f>IF(B715="","",IF(AND(D715=1,F715=1),1,0))</f>
        <v/>
      </c>
      <c r="I715" s="68" t="str">
        <f>IF(B715="","",IF(AND(E715=1,F715=1),1,0))</f>
        <v/>
      </c>
      <c r="J715" s="74" t="str">
        <f>IF(B715="","",SUM(D715:F715))</f>
        <v/>
      </c>
      <c r="K715" s="62"/>
    </row>
    <row r="716" spans="1:18" x14ac:dyDescent="0.25">
      <c r="A716" s="3"/>
      <c r="B716" s="40"/>
      <c r="C716" s="40"/>
      <c r="D716" s="72"/>
      <c r="E716" s="72"/>
      <c r="F716" s="72"/>
      <c r="G716" s="69" t="str">
        <f t="shared" si="370"/>
        <v/>
      </c>
      <c r="H716" s="69" t="str">
        <f t="shared" si="371"/>
        <v/>
      </c>
      <c r="I716" s="69" t="str">
        <f t="shared" si="372"/>
        <v/>
      </c>
      <c r="J716" s="75" t="str">
        <f t="shared" si="368"/>
        <v/>
      </c>
      <c r="K716" s="63"/>
    </row>
    <row r="717" spans="1:18" x14ac:dyDescent="0.25">
      <c r="A717" s="2" t="s">
        <v>9</v>
      </c>
      <c r="B717" s="37" t="s">
        <v>415</v>
      </c>
      <c r="C717" s="37"/>
      <c r="D717" s="71">
        <v>1</v>
      </c>
      <c r="E717" s="71">
        <v>1</v>
      </c>
      <c r="F717" s="71">
        <v>1</v>
      </c>
      <c r="G717" s="68">
        <f t="shared" si="370"/>
        <v>1</v>
      </c>
      <c r="H717" s="68">
        <f t="shared" si="371"/>
        <v>1</v>
      </c>
      <c r="I717" s="68">
        <f t="shared" si="372"/>
        <v>1</v>
      </c>
      <c r="J717" s="74">
        <f t="shared" si="368"/>
        <v>3</v>
      </c>
      <c r="K717" s="62"/>
    </row>
    <row r="718" spans="1:18" x14ac:dyDescent="0.25">
      <c r="A718" s="2"/>
      <c r="B718" s="37"/>
      <c r="C718" s="37"/>
      <c r="D718" s="71"/>
      <c r="E718" s="71"/>
      <c r="F718" s="71"/>
      <c r="G718" s="68" t="str">
        <f t="shared" si="370"/>
        <v/>
      </c>
      <c r="H718" s="68" t="str">
        <f t="shared" si="371"/>
        <v/>
      </c>
      <c r="I718" s="68" t="str">
        <f t="shared" si="372"/>
        <v/>
      </c>
      <c r="J718" s="74" t="str">
        <f t="shared" si="368"/>
        <v/>
      </c>
      <c r="K718" s="62"/>
    </row>
    <row r="719" spans="1:18" x14ac:dyDescent="0.25">
      <c r="A719" s="3"/>
      <c r="B719" s="40"/>
      <c r="C719" s="40"/>
      <c r="D719" s="72"/>
      <c r="E719" s="72"/>
      <c r="F719" s="72"/>
      <c r="G719" s="69" t="str">
        <f t="shared" si="370"/>
        <v/>
      </c>
      <c r="H719" s="69" t="str">
        <f t="shared" si="371"/>
        <v/>
      </c>
      <c r="I719" s="69" t="str">
        <f t="shared" si="372"/>
        <v/>
      </c>
      <c r="J719" s="75" t="str">
        <f t="shared" si="368"/>
        <v/>
      </c>
      <c r="K719" s="63"/>
    </row>
    <row r="720" spans="1:18" x14ac:dyDescent="0.25">
      <c r="A720" s="2" t="s">
        <v>1224</v>
      </c>
      <c r="B720" s="37" t="s">
        <v>1317</v>
      </c>
      <c r="C720" s="37"/>
      <c r="D720" s="71">
        <v>1</v>
      </c>
      <c r="E720" s="71">
        <v>1</v>
      </c>
      <c r="F720" s="71">
        <v>1</v>
      </c>
      <c r="G720" s="68">
        <f t="shared" si="370"/>
        <v>1</v>
      </c>
      <c r="H720" s="68">
        <f t="shared" si="371"/>
        <v>1</v>
      </c>
      <c r="I720" s="68">
        <f t="shared" si="372"/>
        <v>1</v>
      </c>
      <c r="J720" s="74">
        <f t="shared" ref="J720:J722" si="379">IF(B720="","",SUM(D720:F720))</f>
        <v>3</v>
      </c>
      <c r="K720" s="62"/>
    </row>
    <row r="721" spans="1:18" x14ac:dyDescent="0.25">
      <c r="A721" s="2"/>
      <c r="B721" s="37"/>
      <c r="C721" s="37"/>
      <c r="D721" s="71"/>
      <c r="E721" s="71"/>
      <c r="F721" s="71"/>
      <c r="G721" s="68" t="str">
        <f t="shared" si="370"/>
        <v/>
      </c>
      <c r="H721" s="68" t="str">
        <f t="shared" si="371"/>
        <v/>
      </c>
      <c r="I721" s="68" t="str">
        <f t="shared" si="372"/>
        <v/>
      </c>
      <c r="J721" s="74" t="str">
        <f t="shared" si="379"/>
        <v/>
      </c>
      <c r="K721" s="62"/>
    </row>
    <row r="722" spans="1:18" x14ac:dyDescent="0.25">
      <c r="A722" s="3"/>
      <c r="B722" s="40"/>
      <c r="C722" s="40"/>
      <c r="D722" s="72"/>
      <c r="E722" s="72"/>
      <c r="F722" s="72"/>
      <c r="G722" s="69" t="str">
        <f t="shared" si="370"/>
        <v/>
      </c>
      <c r="H722" s="69" t="str">
        <f t="shared" si="371"/>
        <v/>
      </c>
      <c r="I722" s="69" t="str">
        <f t="shared" si="372"/>
        <v/>
      </c>
      <c r="J722" s="75" t="str">
        <f t="shared" si="379"/>
        <v/>
      </c>
      <c r="K722" s="63"/>
    </row>
    <row r="724" spans="1:18" x14ac:dyDescent="0.25">
      <c r="A724" s="81">
        <v>37</v>
      </c>
      <c r="B724" s="49" t="s">
        <v>1154</v>
      </c>
      <c r="C724" s="31" t="s">
        <v>1432</v>
      </c>
      <c r="D724" s="76"/>
      <c r="E724" s="66"/>
      <c r="F724" s="66"/>
      <c r="G724" s="66"/>
      <c r="H724" s="66"/>
      <c r="I724" s="66"/>
      <c r="J724" s="60"/>
      <c r="K724" s="60"/>
    </row>
    <row r="725" spans="1:18" x14ac:dyDescent="0.25">
      <c r="A725" s="4" t="s">
        <v>6</v>
      </c>
      <c r="B725" s="37" t="s">
        <v>371</v>
      </c>
      <c r="C725" s="37"/>
      <c r="D725" s="70">
        <v>1</v>
      </c>
      <c r="E725" s="70">
        <v>1</v>
      </c>
      <c r="F725" s="70">
        <v>0</v>
      </c>
      <c r="G725" s="67">
        <f t="shared" ref="G725:G742" si="380">IF(B725="","",IF( AND(D725=1, E725=1),1,0))</f>
        <v>1</v>
      </c>
      <c r="H725" s="67">
        <f t="shared" ref="H725:H742" si="381">IF(B725="","",IF(AND(D725=1,F725=1),1,0))</f>
        <v>0</v>
      </c>
      <c r="I725" s="67">
        <f t="shared" ref="I725:I742" si="382">IF(B725="","",IF(AND(E725=1,F725=1),1,0))</f>
        <v>0</v>
      </c>
      <c r="J725" s="73">
        <f t="shared" ref="J725" si="383">IF(B725="","",SUM(D725:F725))</f>
        <v>2</v>
      </c>
      <c r="K725" s="61"/>
      <c r="M725" s="7">
        <f t="shared" ref="M725" si="384">SUM(G725:I725)/3</f>
        <v>0.33333333333333331</v>
      </c>
      <c r="N725" s="6">
        <f t="shared" ref="N725" si="385">SUM(G728:I728)/3</f>
        <v>1</v>
      </c>
      <c r="O725" s="7">
        <f t="shared" ref="O725" si="386">SUM(G731:I731)/3</f>
        <v>1</v>
      </c>
      <c r="P725" s="6">
        <f t="shared" ref="P725" si="387">SUM(G734:I734)/3</f>
        <v>1</v>
      </c>
      <c r="Q725" s="7">
        <f t="shared" ref="Q725" si="388">SUM(G737:I737)/3</f>
        <v>0.33333333333333331</v>
      </c>
      <c r="R725" s="7">
        <f>SUM(G740:I740)/3</f>
        <v>0.33333333333333331</v>
      </c>
    </row>
    <row r="726" spans="1:18" x14ac:dyDescent="0.25">
      <c r="A726" s="2"/>
      <c r="B726" s="37"/>
      <c r="C726" s="37"/>
      <c r="D726" s="71"/>
      <c r="E726" s="71"/>
      <c r="F726" s="71"/>
      <c r="G726" s="68" t="str">
        <f t="shared" si="380"/>
        <v/>
      </c>
      <c r="H726" s="68" t="str">
        <f t="shared" si="381"/>
        <v/>
      </c>
      <c r="I726" s="68" t="str">
        <f t="shared" si="382"/>
        <v/>
      </c>
      <c r="J726" s="74" t="str">
        <f t="shared" si="368"/>
        <v/>
      </c>
      <c r="K726" s="62"/>
    </row>
    <row r="727" spans="1:18" x14ac:dyDescent="0.25">
      <c r="A727" s="3"/>
      <c r="B727" s="42"/>
      <c r="C727" s="42"/>
      <c r="D727" s="72"/>
      <c r="E727" s="72"/>
      <c r="F727" s="72"/>
      <c r="G727" s="69" t="str">
        <f t="shared" si="380"/>
        <v/>
      </c>
      <c r="H727" s="69" t="str">
        <f t="shared" si="381"/>
        <v/>
      </c>
      <c r="I727" s="69" t="str">
        <f t="shared" si="382"/>
        <v/>
      </c>
      <c r="J727" s="75" t="str">
        <f t="shared" si="368"/>
        <v/>
      </c>
      <c r="K727" s="63"/>
    </row>
    <row r="728" spans="1:18" x14ac:dyDescent="0.25">
      <c r="A728" s="4" t="s">
        <v>5</v>
      </c>
      <c r="B728" s="33" t="s">
        <v>384</v>
      </c>
      <c r="C728" s="33"/>
      <c r="D728" s="70">
        <v>1</v>
      </c>
      <c r="E728" s="70">
        <v>1</v>
      </c>
      <c r="F728" s="70">
        <v>1</v>
      </c>
      <c r="G728" s="67">
        <f t="shared" si="380"/>
        <v>1</v>
      </c>
      <c r="H728" s="67">
        <f t="shared" si="381"/>
        <v>1</v>
      </c>
      <c r="I728" s="67">
        <f t="shared" si="382"/>
        <v>1</v>
      </c>
      <c r="J728" s="73">
        <f t="shared" si="368"/>
        <v>3</v>
      </c>
      <c r="K728" s="61"/>
    </row>
    <row r="729" spans="1:18" x14ac:dyDescent="0.25">
      <c r="A729" s="2"/>
      <c r="B729" s="37"/>
      <c r="C729" s="37"/>
      <c r="D729" s="71"/>
      <c r="E729" s="71"/>
      <c r="F729" s="71"/>
      <c r="G729" s="68" t="str">
        <f t="shared" si="380"/>
        <v/>
      </c>
      <c r="H729" s="68" t="str">
        <f t="shared" si="381"/>
        <v/>
      </c>
      <c r="I729" s="68" t="str">
        <f t="shared" si="382"/>
        <v/>
      </c>
      <c r="J729" s="74" t="str">
        <f t="shared" si="368"/>
        <v/>
      </c>
      <c r="K729" s="62"/>
    </row>
    <row r="730" spans="1:18" x14ac:dyDescent="0.25">
      <c r="A730" s="3"/>
      <c r="B730" s="40"/>
      <c r="C730" s="37"/>
      <c r="D730" s="71"/>
      <c r="E730" s="71"/>
      <c r="F730" s="71"/>
      <c r="G730" s="69" t="str">
        <f t="shared" si="380"/>
        <v/>
      </c>
      <c r="H730" s="69" t="str">
        <f t="shared" si="381"/>
        <v/>
      </c>
      <c r="I730" s="69" t="str">
        <f t="shared" si="382"/>
        <v/>
      </c>
      <c r="J730" s="75" t="str">
        <f t="shared" si="368"/>
        <v/>
      </c>
      <c r="K730" s="63"/>
    </row>
    <row r="731" spans="1:18" x14ac:dyDescent="0.25">
      <c r="A731" s="4" t="s">
        <v>7</v>
      </c>
      <c r="B731" s="33" t="s">
        <v>625</v>
      </c>
      <c r="C731" s="33"/>
      <c r="D731" s="70">
        <v>1</v>
      </c>
      <c r="E731" s="70">
        <v>1</v>
      </c>
      <c r="F731" s="70">
        <v>1</v>
      </c>
      <c r="G731" s="67">
        <f t="shared" si="380"/>
        <v>1</v>
      </c>
      <c r="H731" s="67">
        <f t="shared" si="381"/>
        <v>1</v>
      </c>
      <c r="I731" s="67">
        <f t="shared" si="382"/>
        <v>1</v>
      </c>
      <c r="J731" s="73">
        <f t="shared" si="368"/>
        <v>3</v>
      </c>
      <c r="K731" s="61"/>
    </row>
    <row r="732" spans="1:18" x14ac:dyDescent="0.25">
      <c r="A732" s="2"/>
      <c r="B732" s="37"/>
      <c r="C732" s="37"/>
      <c r="D732" s="71"/>
      <c r="E732" s="71"/>
      <c r="F732" s="71"/>
      <c r="G732" s="68" t="str">
        <f t="shared" si="380"/>
        <v/>
      </c>
      <c r="H732" s="68" t="str">
        <f t="shared" si="381"/>
        <v/>
      </c>
      <c r="I732" s="68" t="str">
        <f t="shared" si="382"/>
        <v/>
      </c>
      <c r="J732" s="74" t="str">
        <f t="shared" si="368"/>
        <v/>
      </c>
      <c r="K732" s="62"/>
    </row>
    <row r="733" spans="1:18" x14ac:dyDescent="0.25">
      <c r="A733" s="3"/>
      <c r="B733" s="40"/>
      <c r="C733" s="40"/>
      <c r="D733" s="72"/>
      <c r="E733" s="72"/>
      <c r="F733" s="72"/>
      <c r="G733" s="69" t="str">
        <f t="shared" si="380"/>
        <v/>
      </c>
      <c r="H733" s="69" t="str">
        <f t="shared" si="381"/>
        <v/>
      </c>
      <c r="I733" s="69" t="str">
        <f t="shared" si="382"/>
        <v/>
      </c>
      <c r="J733" s="75" t="str">
        <f t="shared" si="368"/>
        <v/>
      </c>
      <c r="K733" s="63"/>
    </row>
    <row r="734" spans="1:18" x14ac:dyDescent="0.25">
      <c r="A734" s="4" t="s">
        <v>8</v>
      </c>
      <c r="B734" s="37" t="s">
        <v>626</v>
      </c>
      <c r="C734" s="37"/>
      <c r="D734" s="70">
        <v>1</v>
      </c>
      <c r="E734" s="70">
        <v>1</v>
      </c>
      <c r="F734" s="70">
        <v>1</v>
      </c>
      <c r="G734" s="67">
        <f t="shared" si="380"/>
        <v>1</v>
      </c>
      <c r="H734" s="67">
        <f t="shared" si="381"/>
        <v>1</v>
      </c>
      <c r="I734" s="67">
        <f t="shared" si="382"/>
        <v>1</v>
      </c>
      <c r="J734" s="73">
        <f t="shared" si="368"/>
        <v>3</v>
      </c>
      <c r="K734" s="61"/>
    </row>
    <row r="735" spans="1:18" x14ac:dyDescent="0.25">
      <c r="A735" s="2"/>
      <c r="B735" s="33" t="s">
        <v>883</v>
      </c>
      <c r="C735" s="37"/>
      <c r="D735" s="71">
        <v>1</v>
      </c>
      <c r="E735" s="71">
        <v>1</v>
      </c>
      <c r="F735" s="71">
        <v>0</v>
      </c>
      <c r="G735" s="68">
        <f t="shared" si="380"/>
        <v>1</v>
      </c>
      <c r="H735" s="68">
        <f t="shared" si="381"/>
        <v>0</v>
      </c>
      <c r="I735" s="68">
        <f t="shared" si="382"/>
        <v>0</v>
      </c>
      <c r="J735" s="74">
        <f t="shared" si="368"/>
        <v>2</v>
      </c>
      <c r="K735" s="62"/>
    </row>
    <row r="736" spans="1:18" x14ac:dyDescent="0.25">
      <c r="A736" s="3"/>
      <c r="B736" s="40"/>
      <c r="C736" s="40"/>
      <c r="D736" s="72"/>
      <c r="E736" s="72"/>
      <c r="F736" s="72"/>
      <c r="G736" s="69" t="str">
        <f t="shared" si="380"/>
        <v/>
      </c>
      <c r="H736" s="69" t="str">
        <f t="shared" si="381"/>
        <v/>
      </c>
      <c r="I736" s="69" t="str">
        <f t="shared" si="382"/>
        <v/>
      </c>
      <c r="J736" s="75" t="str">
        <f t="shared" si="368"/>
        <v/>
      </c>
      <c r="K736" s="63"/>
    </row>
    <row r="737" spans="1:18" x14ac:dyDescent="0.25">
      <c r="A737" s="2" t="s">
        <v>9</v>
      </c>
      <c r="B737" s="37" t="s">
        <v>886</v>
      </c>
      <c r="C737" s="37"/>
      <c r="D737" s="71">
        <v>1</v>
      </c>
      <c r="E737" s="71">
        <v>0</v>
      </c>
      <c r="F737" s="71">
        <v>1</v>
      </c>
      <c r="G737" s="68">
        <f t="shared" si="380"/>
        <v>0</v>
      </c>
      <c r="H737" s="68">
        <f t="shared" si="381"/>
        <v>1</v>
      </c>
      <c r="I737" s="68">
        <f t="shared" si="382"/>
        <v>0</v>
      </c>
      <c r="J737" s="74">
        <f t="shared" si="368"/>
        <v>2</v>
      </c>
      <c r="K737" s="62"/>
    </row>
    <row r="738" spans="1:18" x14ac:dyDescent="0.25">
      <c r="A738" s="2"/>
      <c r="B738" s="37"/>
      <c r="C738" s="37"/>
      <c r="D738" s="71"/>
      <c r="E738" s="71"/>
      <c r="F738" s="71"/>
      <c r="G738" s="68" t="str">
        <f t="shared" si="380"/>
        <v/>
      </c>
      <c r="H738" s="68" t="str">
        <f t="shared" si="381"/>
        <v/>
      </c>
      <c r="I738" s="68" t="str">
        <f t="shared" si="382"/>
        <v/>
      </c>
      <c r="J738" s="74" t="str">
        <f t="shared" si="368"/>
        <v/>
      </c>
      <c r="K738" s="62"/>
    </row>
    <row r="739" spans="1:18" x14ac:dyDescent="0.25">
      <c r="A739" s="3"/>
      <c r="B739" s="40"/>
      <c r="C739" s="40"/>
      <c r="D739" s="72"/>
      <c r="E739" s="72"/>
      <c r="F739" s="72"/>
      <c r="G739" s="69" t="str">
        <f t="shared" si="380"/>
        <v/>
      </c>
      <c r="H739" s="69" t="str">
        <f t="shared" si="381"/>
        <v/>
      </c>
      <c r="I739" s="69" t="str">
        <f t="shared" si="382"/>
        <v/>
      </c>
      <c r="J739" s="75" t="str">
        <f t="shared" si="368"/>
        <v/>
      </c>
      <c r="K739" s="63"/>
    </row>
    <row r="740" spans="1:18" x14ac:dyDescent="0.25">
      <c r="A740" s="2" t="s">
        <v>1224</v>
      </c>
      <c r="B740" s="39" t="s">
        <v>874</v>
      </c>
      <c r="C740" s="39"/>
      <c r="D740" s="71">
        <v>0</v>
      </c>
      <c r="E740" s="71">
        <v>1</v>
      </c>
      <c r="F740" s="71">
        <v>1</v>
      </c>
      <c r="G740" s="68">
        <f t="shared" si="380"/>
        <v>0</v>
      </c>
      <c r="H740" s="68">
        <f t="shared" si="381"/>
        <v>0</v>
      </c>
      <c r="I740" s="68">
        <f t="shared" si="382"/>
        <v>1</v>
      </c>
      <c r="J740" s="74">
        <f t="shared" ref="J740:J742" si="389">IF(B740="","",SUM(D740:F740))</f>
        <v>2</v>
      </c>
      <c r="K740" s="62"/>
    </row>
    <row r="741" spans="1:18" x14ac:dyDescent="0.25">
      <c r="A741" s="2"/>
      <c r="B741" s="37" t="s">
        <v>1259</v>
      </c>
      <c r="C741" s="37"/>
      <c r="D741" s="71">
        <v>1</v>
      </c>
      <c r="E741" s="71">
        <v>0</v>
      </c>
      <c r="F741" s="71">
        <v>0</v>
      </c>
      <c r="G741" s="68">
        <f t="shared" si="380"/>
        <v>0</v>
      </c>
      <c r="H741" s="68">
        <f t="shared" si="381"/>
        <v>0</v>
      </c>
      <c r="I741" s="68">
        <f t="shared" si="382"/>
        <v>0</v>
      </c>
      <c r="J741" s="74">
        <f t="shared" si="389"/>
        <v>1</v>
      </c>
      <c r="K741" s="62"/>
    </row>
    <row r="742" spans="1:18" x14ac:dyDescent="0.25">
      <c r="A742" s="3"/>
      <c r="B742" s="40"/>
      <c r="C742" s="40"/>
      <c r="D742" s="72"/>
      <c r="E742" s="72"/>
      <c r="F742" s="72"/>
      <c r="G742" s="69" t="str">
        <f t="shared" si="380"/>
        <v/>
      </c>
      <c r="H742" s="69" t="str">
        <f t="shared" si="381"/>
        <v/>
      </c>
      <c r="I742" s="69" t="str">
        <f t="shared" si="382"/>
        <v/>
      </c>
      <c r="J742" s="75" t="str">
        <f t="shared" si="389"/>
        <v/>
      </c>
      <c r="K742" s="63"/>
    </row>
    <row r="744" spans="1:18" x14ac:dyDescent="0.25">
      <c r="A744" s="81">
        <v>38</v>
      </c>
      <c r="B744" s="49" t="s">
        <v>1155</v>
      </c>
      <c r="C744" s="31" t="s">
        <v>1433</v>
      </c>
      <c r="D744" s="76"/>
      <c r="E744" s="66"/>
      <c r="F744" s="66"/>
      <c r="G744" s="66"/>
      <c r="H744" s="66"/>
      <c r="I744" s="66"/>
      <c r="J744" s="60"/>
      <c r="K744" s="60"/>
    </row>
    <row r="745" spans="1:18" x14ac:dyDescent="0.25">
      <c r="A745" s="4" t="s">
        <v>6</v>
      </c>
      <c r="B745" s="37" t="s">
        <v>388</v>
      </c>
      <c r="C745" s="37"/>
      <c r="D745" s="70">
        <v>1</v>
      </c>
      <c r="E745" s="70">
        <v>1</v>
      </c>
      <c r="F745" s="70">
        <v>1</v>
      </c>
      <c r="G745" s="67">
        <f t="shared" ref="G745:G762" si="390">IF(B745="","",IF( AND(D745=1, E745=1),1,0))</f>
        <v>1</v>
      </c>
      <c r="H745" s="67">
        <f t="shared" ref="H745:H762" si="391">IF(B745="","",IF(AND(D745=1,F745=1),1,0))</f>
        <v>1</v>
      </c>
      <c r="I745" s="67">
        <f t="shared" ref="I745:I762" si="392">IF(B745="","",IF(AND(E745=1,F745=1),1,0))</f>
        <v>1</v>
      </c>
      <c r="J745" s="73">
        <f t="shared" ref="J745" si="393">IF(B745="","",SUM(D745:F745))</f>
        <v>3</v>
      </c>
      <c r="K745" s="61"/>
      <c r="M745" s="7">
        <f t="shared" ref="M745" si="394">SUM(G745:I745)/3</f>
        <v>1</v>
      </c>
      <c r="N745" s="6">
        <f t="shared" ref="N745" si="395">SUM(G748:I748)/3</f>
        <v>1</v>
      </c>
      <c r="O745" s="7">
        <f t="shared" ref="O745" si="396">SUM(G751:I751)/3</f>
        <v>1</v>
      </c>
      <c r="P745" s="6">
        <f t="shared" ref="P745" si="397">SUM(G754:I754)/3</f>
        <v>0.33333333333333331</v>
      </c>
      <c r="Q745" s="7">
        <f t="shared" ref="Q745" si="398">SUM(G757:I757)/3</f>
        <v>1</v>
      </c>
      <c r="R745" s="7">
        <f>SUM(G760:I760)/3</f>
        <v>1</v>
      </c>
    </row>
    <row r="746" spans="1:18" x14ac:dyDescent="0.25">
      <c r="A746" s="2"/>
      <c r="B746" s="37"/>
      <c r="C746" s="37"/>
      <c r="D746" s="71"/>
      <c r="E746" s="71"/>
      <c r="F746" s="71"/>
      <c r="G746" s="68" t="str">
        <f t="shared" si="390"/>
        <v/>
      </c>
      <c r="H746" s="68" t="str">
        <f t="shared" si="391"/>
        <v/>
      </c>
      <c r="I746" s="68" t="str">
        <f t="shared" si="392"/>
        <v/>
      </c>
      <c r="J746" s="74" t="str">
        <f t="shared" si="368"/>
        <v/>
      </c>
      <c r="K746" s="62"/>
    </row>
    <row r="747" spans="1:18" x14ac:dyDescent="0.25">
      <c r="A747" s="3"/>
      <c r="B747" s="42"/>
      <c r="C747" s="42"/>
      <c r="D747" s="72"/>
      <c r="E747" s="72"/>
      <c r="F747" s="72"/>
      <c r="G747" s="69" t="str">
        <f t="shared" si="390"/>
        <v/>
      </c>
      <c r="H747" s="69" t="str">
        <f t="shared" si="391"/>
        <v/>
      </c>
      <c r="I747" s="69" t="str">
        <f t="shared" si="392"/>
        <v/>
      </c>
      <c r="J747" s="75" t="str">
        <f t="shared" si="368"/>
        <v/>
      </c>
      <c r="K747" s="63"/>
    </row>
    <row r="748" spans="1:18" x14ac:dyDescent="0.25">
      <c r="A748" s="4" t="s">
        <v>5</v>
      </c>
      <c r="B748" s="33" t="s">
        <v>174</v>
      </c>
      <c r="C748" s="33"/>
      <c r="D748" s="70">
        <v>1</v>
      </c>
      <c r="E748" s="70">
        <v>1</v>
      </c>
      <c r="F748" s="70">
        <v>1</v>
      </c>
      <c r="G748" s="67">
        <f t="shared" si="390"/>
        <v>1</v>
      </c>
      <c r="H748" s="67">
        <f t="shared" si="391"/>
        <v>1</v>
      </c>
      <c r="I748" s="67">
        <f t="shared" si="392"/>
        <v>1</v>
      </c>
      <c r="J748" s="73">
        <f t="shared" si="368"/>
        <v>3</v>
      </c>
      <c r="K748" s="61"/>
    </row>
    <row r="749" spans="1:18" x14ac:dyDescent="0.25">
      <c r="A749" s="2"/>
      <c r="B749" s="37" t="s">
        <v>390</v>
      </c>
      <c r="C749" s="37"/>
      <c r="D749" s="71">
        <v>1</v>
      </c>
      <c r="E749" s="71">
        <v>1</v>
      </c>
      <c r="F749" s="71">
        <v>0</v>
      </c>
      <c r="G749" s="68">
        <f t="shared" si="390"/>
        <v>1</v>
      </c>
      <c r="H749" s="68">
        <f t="shared" si="391"/>
        <v>0</v>
      </c>
      <c r="I749" s="68">
        <f t="shared" si="392"/>
        <v>0</v>
      </c>
      <c r="J749" s="74">
        <f t="shared" si="368"/>
        <v>2</v>
      </c>
      <c r="K749" s="62"/>
    </row>
    <row r="750" spans="1:18" x14ac:dyDescent="0.25">
      <c r="A750" s="3"/>
      <c r="B750" s="40"/>
      <c r="C750" s="37"/>
      <c r="D750" s="71"/>
      <c r="E750" s="71"/>
      <c r="F750" s="71"/>
      <c r="G750" s="69" t="str">
        <f t="shared" si="390"/>
        <v/>
      </c>
      <c r="H750" s="69" t="str">
        <f t="shared" si="391"/>
        <v/>
      </c>
      <c r="I750" s="69" t="str">
        <f t="shared" si="392"/>
        <v/>
      </c>
      <c r="J750" s="75" t="str">
        <f t="shared" si="368"/>
        <v/>
      </c>
      <c r="K750" s="63"/>
    </row>
    <row r="751" spans="1:18" x14ac:dyDescent="0.25">
      <c r="A751" s="4" t="s">
        <v>7</v>
      </c>
      <c r="B751" s="33" t="s">
        <v>391</v>
      </c>
      <c r="C751" s="33"/>
      <c r="D751" s="70">
        <v>1</v>
      </c>
      <c r="E751" s="70">
        <v>1</v>
      </c>
      <c r="F751" s="70">
        <v>1</v>
      </c>
      <c r="G751" s="67">
        <f t="shared" si="390"/>
        <v>1</v>
      </c>
      <c r="H751" s="67">
        <f t="shared" si="391"/>
        <v>1</v>
      </c>
      <c r="I751" s="67">
        <f t="shared" si="392"/>
        <v>1</v>
      </c>
      <c r="J751" s="73">
        <f t="shared" si="368"/>
        <v>3</v>
      </c>
      <c r="K751" s="61"/>
    </row>
    <row r="752" spans="1:18" x14ac:dyDescent="0.25">
      <c r="A752" s="2"/>
      <c r="B752" s="37"/>
      <c r="C752" s="37"/>
      <c r="D752" s="71"/>
      <c r="E752" s="71"/>
      <c r="F752" s="71"/>
      <c r="G752" s="68" t="str">
        <f t="shared" si="390"/>
        <v/>
      </c>
      <c r="H752" s="68" t="str">
        <f t="shared" si="391"/>
        <v/>
      </c>
      <c r="I752" s="68" t="str">
        <f t="shared" si="392"/>
        <v/>
      </c>
      <c r="J752" s="74" t="str">
        <f t="shared" si="368"/>
        <v/>
      </c>
      <c r="K752" s="62"/>
    </row>
    <row r="753" spans="1:18" x14ac:dyDescent="0.25">
      <c r="A753" s="3"/>
      <c r="B753" s="40"/>
      <c r="C753" s="40"/>
      <c r="D753" s="72"/>
      <c r="E753" s="72"/>
      <c r="F753" s="72"/>
      <c r="G753" s="69" t="str">
        <f t="shared" si="390"/>
        <v/>
      </c>
      <c r="H753" s="69" t="str">
        <f t="shared" si="391"/>
        <v/>
      </c>
      <c r="I753" s="69" t="str">
        <f t="shared" si="392"/>
        <v/>
      </c>
      <c r="J753" s="75" t="str">
        <f t="shared" si="368"/>
        <v/>
      </c>
      <c r="K753" s="63"/>
    </row>
    <row r="754" spans="1:18" x14ac:dyDescent="0.25">
      <c r="A754" s="4" t="s">
        <v>8</v>
      </c>
      <c r="B754" s="37" t="s">
        <v>85</v>
      </c>
      <c r="C754" s="37"/>
      <c r="D754" s="70">
        <v>1</v>
      </c>
      <c r="E754" s="70">
        <v>0</v>
      </c>
      <c r="F754" s="70">
        <v>1</v>
      </c>
      <c r="G754" s="67">
        <f t="shared" si="390"/>
        <v>0</v>
      </c>
      <c r="H754" s="67">
        <f t="shared" si="391"/>
        <v>1</v>
      </c>
      <c r="I754" s="67">
        <f t="shared" si="392"/>
        <v>0</v>
      </c>
      <c r="J754" s="73">
        <f t="shared" si="368"/>
        <v>2</v>
      </c>
      <c r="K754" s="61"/>
    </row>
    <row r="755" spans="1:18" x14ac:dyDescent="0.25">
      <c r="A755" s="2"/>
      <c r="B755" s="37" t="s">
        <v>392</v>
      </c>
      <c r="C755" s="37"/>
      <c r="D755" s="71">
        <v>1</v>
      </c>
      <c r="E755" s="71">
        <v>1</v>
      </c>
      <c r="F755" s="71">
        <v>0</v>
      </c>
      <c r="G755" s="68">
        <f t="shared" si="390"/>
        <v>1</v>
      </c>
      <c r="H755" s="68">
        <f t="shared" si="391"/>
        <v>0</v>
      </c>
      <c r="I755" s="68">
        <f t="shared" si="392"/>
        <v>0</v>
      </c>
      <c r="J755" s="74">
        <f t="shared" si="368"/>
        <v>2</v>
      </c>
      <c r="K755" s="62"/>
    </row>
    <row r="756" spans="1:18" x14ac:dyDescent="0.25">
      <c r="A756" s="3"/>
      <c r="B756" s="40"/>
      <c r="C756" s="40"/>
      <c r="D756" s="72"/>
      <c r="E756" s="72"/>
      <c r="F756" s="72"/>
      <c r="G756" s="69" t="str">
        <f t="shared" si="390"/>
        <v/>
      </c>
      <c r="H756" s="69" t="str">
        <f t="shared" si="391"/>
        <v/>
      </c>
      <c r="I756" s="69" t="str">
        <f t="shared" si="392"/>
        <v/>
      </c>
      <c r="J756" s="75" t="str">
        <f t="shared" si="368"/>
        <v/>
      </c>
      <c r="K756" s="63"/>
    </row>
    <row r="757" spans="1:18" x14ac:dyDescent="0.25">
      <c r="A757" s="2" t="s">
        <v>9</v>
      </c>
      <c r="B757" s="37" t="s">
        <v>1105</v>
      </c>
      <c r="C757" s="37"/>
      <c r="D757" s="71">
        <v>1</v>
      </c>
      <c r="E757" s="71">
        <v>1</v>
      </c>
      <c r="F757" s="71">
        <v>1</v>
      </c>
      <c r="G757" s="68">
        <f t="shared" si="390"/>
        <v>1</v>
      </c>
      <c r="H757" s="68">
        <f t="shared" si="391"/>
        <v>1</v>
      </c>
      <c r="I757" s="68">
        <f t="shared" si="392"/>
        <v>1</v>
      </c>
      <c r="J757" s="74">
        <f t="shared" si="368"/>
        <v>3</v>
      </c>
      <c r="K757" s="62"/>
    </row>
    <row r="758" spans="1:18" x14ac:dyDescent="0.25">
      <c r="A758" s="2"/>
      <c r="B758" s="37"/>
      <c r="C758" s="37"/>
      <c r="D758" s="71"/>
      <c r="E758" s="71"/>
      <c r="F758" s="71"/>
      <c r="G758" s="68" t="str">
        <f t="shared" si="390"/>
        <v/>
      </c>
      <c r="H758" s="68" t="str">
        <f t="shared" si="391"/>
        <v/>
      </c>
      <c r="I758" s="68" t="str">
        <f t="shared" si="392"/>
        <v/>
      </c>
      <c r="J758" s="74" t="str">
        <f t="shared" si="368"/>
        <v/>
      </c>
      <c r="K758" s="62"/>
    </row>
    <row r="759" spans="1:18" x14ac:dyDescent="0.25">
      <c r="A759" s="3"/>
      <c r="B759" s="40"/>
      <c r="C759" s="40"/>
      <c r="D759" s="72"/>
      <c r="E759" s="72"/>
      <c r="F759" s="72"/>
      <c r="G759" s="69" t="str">
        <f t="shared" si="390"/>
        <v/>
      </c>
      <c r="H759" s="69" t="str">
        <f t="shared" si="391"/>
        <v/>
      </c>
      <c r="I759" s="69" t="str">
        <f t="shared" si="392"/>
        <v/>
      </c>
      <c r="J759" s="75" t="str">
        <f t="shared" si="368"/>
        <v/>
      </c>
      <c r="K759" s="63"/>
    </row>
    <row r="760" spans="1:18" x14ac:dyDescent="0.25">
      <c r="A760" s="2" t="s">
        <v>1224</v>
      </c>
      <c r="B760" s="37" t="s">
        <v>1260</v>
      </c>
      <c r="C760" s="37"/>
      <c r="D760" s="71">
        <v>1</v>
      </c>
      <c r="E760" s="71">
        <v>1</v>
      </c>
      <c r="F760" s="71">
        <v>1</v>
      </c>
      <c r="G760" s="68">
        <f t="shared" si="390"/>
        <v>1</v>
      </c>
      <c r="H760" s="68">
        <f t="shared" si="391"/>
        <v>1</v>
      </c>
      <c r="I760" s="68">
        <f t="shared" si="392"/>
        <v>1</v>
      </c>
      <c r="J760" s="74">
        <f t="shared" ref="J760:J762" si="399">IF(B760="","",SUM(D760:F760))</f>
        <v>3</v>
      </c>
      <c r="K760" s="62"/>
    </row>
    <row r="761" spans="1:18" x14ac:dyDescent="0.25">
      <c r="A761" s="2"/>
      <c r="B761" s="37"/>
      <c r="C761" s="37"/>
      <c r="D761" s="71"/>
      <c r="E761" s="71"/>
      <c r="F761" s="71"/>
      <c r="G761" s="68" t="str">
        <f t="shared" si="390"/>
        <v/>
      </c>
      <c r="H761" s="68" t="str">
        <f t="shared" si="391"/>
        <v/>
      </c>
      <c r="I761" s="68" t="str">
        <f t="shared" si="392"/>
        <v/>
      </c>
      <c r="J761" s="74" t="str">
        <f t="shared" si="399"/>
        <v/>
      </c>
      <c r="K761" s="62"/>
    </row>
    <row r="762" spans="1:18" x14ac:dyDescent="0.25">
      <c r="A762" s="3"/>
      <c r="B762" s="40"/>
      <c r="C762" s="40"/>
      <c r="D762" s="72"/>
      <c r="E762" s="72"/>
      <c r="F762" s="72"/>
      <c r="G762" s="69" t="str">
        <f t="shared" si="390"/>
        <v/>
      </c>
      <c r="H762" s="69" t="str">
        <f t="shared" si="391"/>
        <v/>
      </c>
      <c r="I762" s="69" t="str">
        <f t="shared" si="392"/>
        <v/>
      </c>
      <c r="J762" s="75" t="str">
        <f t="shared" si="399"/>
        <v/>
      </c>
      <c r="K762" s="63"/>
    </row>
    <row r="764" spans="1:18" x14ac:dyDescent="0.25">
      <c r="A764" s="81">
        <v>39</v>
      </c>
      <c r="B764" s="49" t="s">
        <v>1156</v>
      </c>
      <c r="C764" s="31" t="s">
        <v>1434</v>
      </c>
      <c r="D764" s="76"/>
      <c r="E764" s="66"/>
      <c r="F764" s="66"/>
      <c r="G764" s="66"/>
      <c r="H764" s="66"/>
      <c r="I764" s="66"/>
      <c r="J764" s="60"/>
      <c r="K764" s="60"/>
    </row>
    <row r="765" spans="1:18" x14ac:dyDescent="0.25">
      <c r="A765" s="4" t="s">
        <v>6</v>
      </c>
      <c r="B765" s="37" t="s">
        <v>395</v>
      </c>
      <c r="C765" s="37"/>
      <c r="D765" s="70">
        <v>1</v>
      </c>
      <c r="E765" s="70">
        <v>1</v>
      </c>
      <c r="F765" s="70">
        <v>1</v>
      </c>
      <c r="G765" s="67">
        <f t="shared" ref="G765:G782" si="400">IF(B765="","",IF( AND(D765=1, E765=1),1,0))</f>
        <v>1</v>
      </c>
      <c r="H765" s="67">
        <f t="shared" ref="H765:H782" si="401">IF(B765="","",IF(AND(D765=1,F765=1),1,0))</f>
        <v>1</v>
      </c>
      <c r="I765" s="67">
        <f t="shared" ref="I765:I782" si="402">IF(B765="","",IF(AND(E765=1,F765=1),1,0))</f>
        <v>1</v>
      </c>
      <c r="J765" s="73">
        <f t="shared" ref="J765" si="403">IF(B765="","",SUM(D765:F765))</f>
        <v>3</v>
      </c>
      <c r="K765" s="61"/>
      <c r="M765" s="7">
        <f t="shared" ref="M765" si="404">SUM(G765:I765)/3</f>
        <v>1</v>
      </c>
      <c r="N765" s="6">
        <f t="shared" ref="N765" si="405">SUM(G768:I768)/3</f>
        <v>1</v>
      </c>
      <c r="O765" s="7">
        <f t="shared" ref="O765" si="406">SUM(G771:I771)/3</f>
        <v>1</v>
      </c>
      <c r="P765" s="6">
        <f t="shared" ref="P765" si="407">SUM(G774:I774)/3</f>
        <v>0.33333333333333331</v>
      </c>
      <c r="Q765" s="7">
        <f t="shared" ref="Q765" si="408">SUM(G777:I777)/3</f>
        <v>0.33333333333333331</v>
      </c>
      <c r="R765" s="7">
        <f>SUM(G780:I780)/3</f>
        <v>0</v>
      </c>
    </row>
    <row r="766" spans="1:18" x14ac:dyDescent="0.25">
      <c r="A766" s="2"/>
      <c r="B766" s="37" t="s">
        <v>396</v>
      </c>
      <c r="C766" s="37"/>
      <c r="D766" s="71">
        <v>0</v>
      </c>
      <c r="E766" s="71">
        <v>1</v>
      </c>
      <c r="F766" s="71">
        <v>1</v>
      </c>
      <c r="G766" s="68">
        <f t="shared" si="400"/>
        <v>0</v>
      </c>
      <c r="H766" s="68">
        <f t="shared" si="401"/>
        <v>0</v>
      </c>
      <c r="I766" s="68">
        <f t="shared" si="402"/>
        <v>1</v>
      </c>
      <c r="J766" s="74">
        <f t="shared" si="368"/>
        <v>2</v>
      </c>
      <c r="K766" s="62"/>
    </row>
    <row r="767" spans="1:18" x14ac:dyDescent="0.25">
      <c r="A767" s="3"/>
      <c r="B767" s="42"/>
      <c r="C767" s="42"/>
      <c r="D767" s="72"/>
      <c r="E767" s="72"/>
      <c r="F767" s="72"/>
      <c r="G767" s="69" t="str">
        <f t="shared" si="400"/>
        <v/>
      </c>
      <c r="H767" s="69" t="str">
        <f t="shared" si="401"/>
        <v/>
      </c>
      <c r="I767" s="69" t="str">
        <f t="shared" si="402"/>
        <v/>
      </c>
      <c r="J767" s="75" t="str">
        <f t="shared" si="368"/>
        <v/>
      </c>
      <c r="K767" s="63"/>
    </row>
    <row r="768" spans="1:18" x14ac:dyDescent="0.25">
      <c r="A768" s="4" t="s">
        <v>5</v>
      </c>
      <c r="B768" s="33" t="s">
        <v>397</v>
      </c>
      <c r="C768" s="33"/>
      <c r="D768" s="70">
        <v>1</v>
      </c>
      <c r="E768" s="70">
        <v>1</v>
      </c>
      <c r="F768" s="70">
        <v>1</v>
      </c>
      <c r="G768" s="67">
        <f t="shared" si="400"/>
        <v>1</v>
      </c>
      <c r="H768" s="67">
        <f t="shared" si="401"/>
        <v>1</v>
      </c>
      <c r="I768" s="67">
        <f t="shared" si="402"/>
        <v>1</v>
      </c>
      <c r="J768" s="73">
        <f t="shared" si="368"/>
        <v>3</v>
      </c>
      <c r="K768" s="61"/>
    </row>
    <row r="769" spans="1:11" x14ac:dyDescent="0.25">
      <c r="A769" s="2"/>
      <c r="B769" s="37"/>
      <c r="C769" s="37"/>
      <c r="D769" s="71"/>
      <c r="E769" s="71"/>
      <c r="F769" s="71"/>
      <c r="G769" s="68" t="str">
        <f>IF(B769="","",IF( AND(D769=1, E769=1),1,0))</f>
        <v/>
      </c>
      <c r="H769" s="68" t="str">
        <f>IF(B769="","",IF(AND(D769=1,F769=1),1,0))</f>
        <v/>
      </c>
      <c r="I769" s="68" t="str">
        <f>IF(B769="","",IF(AND(E769=1,F769=1),1,0))</f>
        <v/>
      </c>
      <c r="J769" s="74" t="str">
        <f>IF(B769="","",SUM(D769:F769))</f>
        <v/>
      </c>
      <c r="K769" s="62"/>
    </row>
    <row r="770" spans="1:11" x14ac:dyDescent="0.25">
      <c r="A770" s="3"/>
      <c r="B770" s="40"/>
      <c r="C770" s="37"/>
      <c r="D770" s="71"/>
      <c r="E770" s="71"/>
      <c r="F770" s="71"/>
      <c r="G770" s="69" t="str">
        <f t="shared" si="400"/>
        <v/>
      </c>
      <c r="H770" s="69" t="str">
        <f t="shared" si="401"/>
        <v/>
      </c>
      <c r="I770" s="69" t="str">
        <f t="shared" si="402"/>
        <v/>
      </c>
      <c r="J770" s="75" t="str">
        <f t="shared" si="368"/>
        <v/>
      </c>
      <c r="K770" s="63"/>
    </row>
    <row r="771" spans="1:11" x14ac:dyDescent="0.25">
      <c r="A771" s="4" t="s">
        <v>7</v>
      </c>
      <c r="B771" s="33" t="s">
        <v>38</v>
      </c>
      <c r="C771" s="33"/>
      <c r="D771" s="70">
        <v>1</v>
      </c>
      <c r="E771" s="70">
        <v>1</v>
      </c>
      <c r="F771" s="70">
        <v>1</v>
      </c>
      <c r="G771" s="67">
        <f t="shared" si="400"/>
        <v>1</v>
      </c>
      <c r="H771" s="67">
        <f t="shared" si="401"/>
        <v>1</v>
      </c>
      <c r="I771" s="67">
        <f t="shared" si="402"/>
        <v>1</v>
      </c>
      <c r="J771" s="73">
        <f t="shared" si="368"/>
        <v>3</v>
      </c>
      <c r="K771" s="61"/>
    </row>
    <row r="772" spans="1:11" x14ac:dyDescent="0.25">
      <c r="A772" s="2"/>
      <c r="B772" s="37" t="s">
        <v>894</v>
      </c>
      <c r="C772" s="37"/>
      <c r="D772" s="71">
        <v>1</v>
      </c>
      <c r="E772" s="71">
        <v>1</v>
      </c>
      <c r="F772" s="71">
        <v>0</v>
      </c>
      <c r="G772" s="68">
        <f>IF(B772="","",IF( AND(D772=1, E772=1),1,0))</f>
        <v>1</v>
      </c>
      <c r="H772" s="68">
        <f>IF(B772="","",IF(AND(D772=1,F772=1),1,0))</f>
        <v>0</v>
      </c>
      <c r="I772" s="68">
        <f>IF(B772="","",IF(AND(E772=1,F772=1),1,0))</f>
        <v>0</v>
      </c>
      <c r="J772" s="74">
        <f>IF(B772="","",SUM(D772:F772))</f>
        <v>2</v>
      </c>
      <c r="K772" s="62"/>
    </row>
    <row r="773" spans="1:11" x14ac:dyDescent="0.25">
      <c r="A773" s="3"/>
      <c r="B773" s="40"/>
      <c r="C773" s="40"/>
      <c r="D773" s="72"/>
      <c r="E773" s="72"/>
      <c r="F773" s="72"/>
      <c r="G773" s="69" t="str">
        <f t="shared" si="400"/>
        <v/>
      </c>
      <c r="H773" s="69" t="str">
        <f t="shared" si="401"/>
        <v/>
      </c>
      <c r="I773" s="69" t="str">
        <f t="shared" si="402"/>
        <v/>
      </c>
      <c r="J773" s="75" t="str">
        <f t="shared" si="368"/>
        <v/>
      </c>
      <c r="K773" s="63"/>
    </row>
    <row r="774" spans="1:11" x14ac:dyDescent="0.25">
      <c r="A774" s="4" t="s">
        <v>8</v>
      </c>
      <c r="B774" s="37" t="s">
        <v>633</v>
      </c>
      <c r="C774" s="37"/>
      <c r="D774" s="70">
        <v>1</v>
      </c>
      <c r="E774" s="70">
        <v>0</v>
      </c>
      <c r="F774" s="70">
        <v>1</v>
      </c>
      <c r="G774" s="67">
        <f t="shared" si="400"/>
        <v>0</v>
      </c>
      <c r="H774" s="67">
        <f t="shared" si="401"/>
        <v>1</v>
      </c>
      <c r="I774" s="67">
        <f t="shared" si="402"/>
        <v>0</v>
      </c>
      <c r="J774" s="73">
        <f t="shared" ref="J774:J849" si="409">IF(B774="","",SUM(D774:F774))</f>
        <v>2</v>
      </c>
      <c r="K774" s="61"/>
    </row>
    <row r="775" spans="1:11" x14ac:dyDescent="0.25">
      <c r="A775" s="2"/>
      <c r="B775" s="37" t="s">
        <v>884</v>
      </c>
      <c r="C775" s="37"/>
      <c r="D775" s="71">
        <v>1</v>
      </c>
      <c r="E775" s="71">
        <v>0</v>
      </c>
      <c r="F775" s="71">
        <v>1</v>
      </c>
      <c r="G775" s="68">
        <f t="shared" si="400"/>
        <v>0</v>
      </c>
      <c r="H775" s="68">
        <f t="shared" si="401"/>
        <v>1</v>
      </c>
      <c r="I775" s="68">
        <f t="shared" si="402"/>
        <v>0</v>
      </c>
      <c r="J775" s="74">
        <f t="shared" si="409"/>
        <v>2</v>
      </c>
      <c r="K775" s="62"/>
    </row>
    <row r="776" spans="1:11" x14ac:dyDescent="0.25">
      <c r="A776" s="3"/>
      <c r="B776" s="40"/>
      <c r="C776" s="40"/>
      <c r="D776" s="72"/>
      <c r="E776" s="72"/>
      <c r="F776" s="72"/>
      <c r="G776" s="69" t="str">
        <f t="shared" si="400"/>
        <v/>
      </c>
      <c r="H776" s="69" t="str">
        <f t="shared" si="401"/>
        <v/>
      </c>
      <c r="I776" s="69" t="str">
        <f t="shared" si="402"/>
        <v/>
      </c>
      <c r="J776" s="75" t="str">
        <f t="shared" si="409"/>
        <v/>
      </c>
      <c r="K776" s="63"/>
    </row>
    <row r="777" spans="1:11" x14ac:dyDescent="0.25">
      <c r="A777" s="2" t="s">
        <v>9</v>
      </c>
      <c r="B777" s="37" t="s">
        <v>1105</v>
      </c>
      <c r="C777" s="37"/>
      <c r="D777" s="71">
        <v>1</v>
      </c>
      <c r="E777" s="71">
        <v>1</v>
      </c>
      <c r="F777" s="71">
        <v>0</v>
      </c>
      <c r="G777" s="68">
        <f t="shared" si="400"/>
        <v>1</v>
      </c>
      <c r="H777" s="68">
        <f t="shared" si="401"/>
        <v>0</v>
      </c>
      <c r="I777" s="68">
        <f t="shared" si="402"/>
        <v>0</v>
      </c>
      <c r="J777" s="74">
        <f t="shared" si="409"/>
        <v>2</v>
      </c>
      <c r="K777" s="62"/>
    </row>
    <row r="778" spans="1:11" x14ac:dyDescent="0.25">
      <c r="A778" s="2"/>
      <c r="B778" s="37"/>
      <c r="C778" s="37"/>
      <c r="D778" s="71"/>
      <c r="E778" s="71"/>
      <c r="F778" s="71"/>
      <c r="G778" s="68" t="str">
        <f t="shared" si="400"/>
        <v/>
      </c>
      <c r="H778" s="68" t="str">
        <f t="shared" si="401"/>
        <v/>
      </c>
      <c r="I778" s="68" t="str">
        <f t="shared" si="402"/>
        <v/>
      </c>
      <c r="J778" s="74" t="str">
        <f t="shared" si="409"/>
        <v/>
      </c>
      <c r="K778" s="62"/>
    </row>
    <row r="779" spans="1:11" x14ac:dyDescent="0.25">
      <c r="A779" s="3"/>
      <c r="B779" s="40"/>
      <c r="C779" s="40"/>
      <c r="D779" s="72"/>
      <c r="E779" s="72"/>
      <c r="F779" s="72"/>
      <c r="G779" s="69" t="str">
        <f t="shared" si="400"/>
        <v/>
      </c>
      <c r="H779" s="69" t="str">
        <f t="shared" si="401"/>
        <v/>
      </c>
      <c r="I779" s="69" t="str">
        <f t="shared" si="402"/>
        <v/>
      </c>
      <c r="J779" s="75" t="str">
        <f t="shared" si="409"/>
        <v/>
      </c>
      <c r="K779" s="63"/>
    </row>
    <row r="780" spans="1:11" x14ac:dyDescent="0.25">
      <c r="A780" s="2" t="s">
        <v>1224</v>
      </c>
      <c r="B780" s="37"/>
      <c r="C780" s="37"/>
      <c r="D780" s="71"/>
      <c r="E780" s="71"/>
      <c r="F780" s="71"/>
      <c r="G780" s="68" t="str">
        <f t="shared" si="400"/>
        <v/>
      </c>
      <c r="H780" s="68" t="str">
        <f t="shared" si="401"/>
        <v/>
      </c>
      <c r="I780" s="68" t="str">
        <f t="shared" si="402"/>
        <v/>
      </c>
      <c r="J780" s="74" t="str">
        <f t="shared" ref="J780:J782" si="410">IF(B780="","",SUM(D780:F780))</f>
        <v/>
      </c>
      <c r="K780" s="62"/>
    </row>
    <row r="781" spans="1:11" x14ac:dyDescent="0.25">
      <c r="A781" s="2"/>
      <c r="B781" s="37"/>
      <c r="C781" s="37"/>
      <c r="D781" s="71"/>
      <c r="E781" s="71"/>
      <c r="F781" s="71"/>
      <c r="G781" s="68" t="str">
        <f t="shared" si="400"/>
        <v/>
      </c>
      <c r="H781" s="68" t="str">
        <f t="shared" si="401"/>
        <v/>
      </c>
      <c r="I781" s="68" t="str">
        <f t="shared" si="402"/>
        <v/>
      </c>
      <c r="J781" s="74" t="str">
        <f t="shared" si="410"/>
        <v/>
      </c>
      <c r="K781" s="62"/>
    </row>
    <row r="782" spans="1:11" x14ac:dyDescent="0.25">
      <c r="A782" s="3"/>
      <c r="B782" s="40"/>
      <c r="C782" s="40"/>
      <c r="D782" s="72"/>
      <c r="E782" s="72"/>
      <c r="F782" s="72"/>
      <c r="G782" s="69" t="str">
        <f t="shared" si="400"/>
        <v/>
      </c>
      <c r="H782" s="69" t="str">
        <f t="shared" si="401"/>
        <v/>
      </c>
      <c r="I782" s="69" t="str">
        <f t="shared" si="402"/>
        <v/>
      </c>
      <c r="J782" s="75" t="str">
        <f t="shared" si="410"/>
        <v/>
      </c>
      <c r="K782" s="63"/>
    </row>
    <row r="784" spans="1:11" x14ac:dyDescent="0.25">
      <c r="A784" s="81">
        <v>40</v>
      </c>
      <c r="B784" s="49" t="s">
        <v>1157</v>
      </c>
      <c r="C784" s="31" t="s">
        <v>1435</v>
      </c>
      <c r="D784" s="76"/>
      <c r="E784" s="66"/>
      <c r="F784" s="66"/>
      <c r="G784" s="66"/>
      <c r="H784" s="66"/>
      <c r="I784" s="66"/>
      <c r="J784" s="60"/>
      <c r="K784" s="60"/>
    </row>
    <row r="785" spans="1:18" x14ac:dyDescent="0.25">
      <c r="A785" s="4" t="s">
        <v>6</v>
      </c>
      <c r="B785" s="37" t="s">
        <v>636</v>
      </c>
      <c r="C785" s="37"/>
      <c r="D785" s="70">
        <v>0</v>
      </c>
      <c r="E785" s="70">
        <v>1</v>
      </c>
      <c r="F785" s="70">
        <v>1</v>
      </c>
      <c r="G785" s="67">
        <f t="shared" ref="G785:G802" si="411">IF(B785="","",IF( AND(D785=1, E785=1),1,0))</f>
        <v>0</v>
      </c>
      <c r="H785" s="67">
        <f t="shared" ref="H785:H802" si="412">IF(B785="","",IF(AND(D785=1,F785=1),1,0))</f>
        <v>0</v>
      </c>
      <c r="I785" s="67">
        <f t="shared" ref="I785:I802" si="413">IF(B785="","",IF(AND(E785=1,F785=1),1,0))</f>
        <v>1</v>
      </c>
      <c r="J785" s="73">
        <f t="shared" ref="J785" si="414">IF(B785="","",SUM(D785:F785))</f>
        <v>2</v>
      </c>
      <c r="K785" s="61"/>
      <c r="M785" s="7">
        <f t="shared" ref="M785" si="415">SUM(G785:I785)/3</f>
        <v>0.33333333333333331</v>
      </c>
      <c r="N785" s="6">
        <f t="shared" ref="N785" si="416">SUM(G788:I788)/3</f>
        <v>0.33333333333333331</v>
      </c>
      <c r="O785" s="7">
        <f t="shared" ref="O785" si="417">SUM(G791:I791)/3</f>
        <v>0.33333333333333331</v>
      </c>
      <c r="P785" s="6">
        <f t="shared" ref="P785" si="418">SUM(G794:I794)/3</f>
        <v>1</v>
      </c>
      <c r="Q785" s="7">
        <f t="shared" ref="Q785" si="419">SUM(G797:I797)/3</f>
        <v>0</v>
      </c>
      <c r="R785" s="7">
        <f>SUM(G800:I800)/3</f>
        <v>1</v>
      </c>
    </row>
    <row r="786" spans="1:18" x14ac:dyDescent="0.25">
      <c r="A786" s="2"/>
      <c r="B786" s="37"/>
      <c r="C786" s="37"/>
      <c r="D786" s="71"/>
      <c r="E786" s="71"/>
      <c r="F786" s="71"/>
      <c r="G786" s="68" t="str">
        <f t="shared" si="411"/>
        <v/>
      </c>
      <c r="H786" s="68" t="str">
        <f t="shared" si="412"/>
        <v/>
      </c>
      <c r="I786" s="68" t="str">
        <f t="shared" si="413"/>
        <v/>
      </c>
      <c r="J786" s="74" t="str">
        <f t="shared" si="409"/>
        <v/>
      </c>
      <c r="K786" s="62"/>
    </row>
    <row r="787" spans="1:18" x14ac:dyDescent="0.25">
      <c r="A787" s="3"/>
      <c r="B787" s="42"/>
      <c r="C787" s="42"/>
      <c r="D787" s="72"/>
      <c r="E787" s="72"/>
      <c r="F787" s="72"/>
      <c r="G787" s="69" t="str">
        <f t="shared" si="411"/>
        <v/>
      </c>
      <c r="H787" s="69" t="str">
        <f t="shared" si="412"/>
        <v/>
      </c>
      <c r="I787" s="69" t="str">
        <f t="shared" si="413"/>
        <v/>
      </c>
      <c r="J787" s="75" t="str">
        <f t="shared" si="409"/>
        <v/>
      </c>
      <c r="K787" s="63"/>
    </row>
    <row r="788" spans="1:18" x14ac:dyDescent="0.25">
      <c r="A788" s="4" t="s">
        <v>5</v>
      </c>
      <c r="B788" s="33" t="s">
        <v>37</v>
      </c>
      <c r="C788" s="33"/>
      <c r="D788" s="70">
        <v>1</v>
      </c>
      <c r="E788" s="70">
        <v>0</v>
      </c>
      <c r="F788" s="70">
        <v>1</v>
      </c>
      <c r="G788" s="67">
        <f t="shared" si="411"/>
        <v>0</v>
      </c>
      <c r="H788" s="67">
        <f t="shared" si="412"/>
        <v>1</v>
      </c>
      <c r="I788" s="67">
        <f t="shared" si="413"/>
        <v>0</v>
      </c>
      <c r="J788" s="73">
        <f t="shared" si="409"/>
        <v>2</v>
      </c>
      <c r="K788" s="61"/>
    </row>
    <row r="789" spans="1:18" x14ac:dyDescent="0.25">
      <c r="A789" s="2"/>
      <c r="B789" s="37"/>
      <c r="C789" s="37"/>
      <c r="D789" s="71"/>
      <c r="E789" s="71"/>
      <c r="F789" s="71"/>
      <c r="G789" s="68" t="str">
        <f t="shared" si="411"/>
        <v/>
      </c>
      <c r="H789" s="68" t="str">
        <f t="shared" si="412"/>
        <v/>
      </c>
      <c r="I789" s="68" t="str">
        <f t="shared" si="413"/>
        <v/>
      </c>
      <c r="J789" s="74" t="str">
        <f t="shared" si="409"/>
        <v/>
      </c>
      <c r="K789" s="62"/>
    </row>
    <row r="790" spans="1:18" x14ac:dyDescent="0.25">
      <c r="A790" s="3"/>
      <c r="B790" s="40"/>
      <c r="C790" s="37"/>
      <c r="D790" s="71"/>
      <c r="E790" s="71"/>
      <c r="F790" s="71"/>
      <c r="G790" s="69" t="str">
        <f t="shared" si="411"/>
        <v/>
      </c>
      <c r="H790" s="69" t="str">
        <f t="shared" si="412"/>
        <v/>
      </c>
      <c r="I790" s="69" t="str">
        <f t="shared" si="413"/>
        <v/>
      </c>
      <c r="J790" s="75" t="str">
        <f t="shared" si="409"/>
        <v/>
      </c>
      <c r="K790" s="63"/>
    </row>
    <row r="791" spans="1:18" x14ac:dyDescent="0.25">
      <c r="A791" s="4" t="s">
        <v>7</v>
      </c>
      <c r="B791" s="33" t="s">
        <v>38</v>
      </c>
      <c r="C791" s="33"/>
      <c r="D791" s="70">
        <v>1</v>
      </c>
      <c r="E791" s="70">
        <v>0</v>
      </c>
      <c r="F791" s="70">
        <v>1</v>
      </c>
      <c r="G791" s="67">
        <f t="shared" si="411"/>
        <v>0</v>
      </c>
      <c r="H791" s="67">
        <f t="shared" si="412"/>
        <v>1</v>
      </c>
      <c r="I791" s="67">
        <f t="shared" si="413"/>
        <v>0</v>
      </c>
      <c r="J791" s="73">
        <f t="shared" si="409"/>
        <v>2</v>
      </c>
      <c r="K791" s="61"/>
    </row>
    <row r="792" spans="1:18" x14ac:dyDescent="0.25">
      <c r="A792" s="2"/>
      <c r="B792" s="37"/>
      <c r="C792" s="37"/>
      <c r="D792" s="71"/>
      <c r="E792" s="71"/>
      <c r="F792" s="71"/>
      <c r="G792" s="68" t="str">
        <f t="shared" si="411"/>
        <v/>
      </c>
      <c r="H792" s="68" t="str">
        <f t="shared" si="412"/>
        <v/>
      </c>
      <c r="I792" s="68" t="str">
        <f t="shared" si="413"/>
        <v/>
      </c>
      <c r="J792" s="74" t="str">
        <f t="shared" si="409"/>
        <v/>
      </c>
      <c r="K792" s="62"/>
    </row>
    <row r="793" spans="1:18" x14ac:dyDescent="0.25">
      <c r="A793" s="3"/>
      <c r="B793" s="40"/>
      <c r="C793" s="40"/>
      <c r="D793" s="72"/>
      <c r="E793" s="72"/>
      <c r="F793" s="72"/>
      <c r="G793" s="69" t="str">
        <f t="shared" si="411"/>
        <v/>
      </c>
      <c r="H793" s="69" t="str">
        <f t="shared" si="412"/>
        <v/>
      </c>
      <c r="I793" s="69" t="str">
        <f t="shared" si="413"/>
        <v/>
      </c>
      <c r="J793" s="75" t="str">
        <f t="shared" si="409"/>
        <v/>
      </c>
      <c r="K793" s="63"/>
    </row>
    <row r="794" spans="1:18" x14ac:dyDescent="0.25">
      <c r="A794" s="4" t="s">
        <v>8</v>
      </c>
      <c r="B794" s="37" t="s">
        <v>402</v>
      </c>
      <c r="C794" s="37"/>
      <c r="D794" s="70">
        <v>1</v>
      </c>
      <c r="E794" s="70">
        <v>1</v>
      </c>
      <c r="F794" s="70">
        <v>1</v>
      </c>
      <c r="G794" s="67">
        <f t="shared" si="411"/>
        <v>1</v>
      </c>
      <c r="H794" s="67">
        <f t="shared" si="412"/>
        <v>1</v>
      </c>
      <c r="I794" s="67">
        <f t="shared" si="413"/>
        <v>1</v>
      </c>
      <c r="J794" s="73">
        <f t="shared" si="409"/>
        <v>3</v>
      </c>
      <c r="K794" s="61"/>
    </row>
    <row r="795" spans="1:18" x14ac:dyDescent="0.25">
      <c r="A795" s="2"/>
      <c r="B795" s="33" t="s">
        <v>360</v>
      </c>
      <c r="C795" s="37"/>
      <c r="D795" s="71">
        <v>1</v>
      </c>
      <c r="E795" s="71">
        <v>1</v>
      </c>
      <c r="F795" s="71">
        <v>0</v>
      </c>
      <c r="G795" s="68">
        <f t="shared" si="411"/>
        <v>1</v>
      </c>
      <c r="H795" s="68">
        <f t="shared" si="412"/>
        <v>0</v>
      </c>
      <c r="I795" s="68">
        <f t="shared" si="413"/>
        <v>0</v>
      </c>
      <c r="J795" s="74">
        <f t="shared" si="409"/>
        <v>2</v>
      </c>
      <c r="K795" s="62"/>
    </row>
    <row r="796" spans="1:18" x14ac:dyDescent="0.25">
      <c r="A796" s="3"/>
      <c r="B796" s="40"/>
      <c r="C796" s="40"/>
      <c r="D796" s="72"/>
      <c r="E796" s="72"/>
      <c r="F796" s="72"/>
      <c r="G796" s="69" t="str">
        <f t="shared" si="411"/>
        <v/>
      </c>
      <c r="H796" s="69" t="str">
        <f t="shared" si="412"/>
        <v/>
      </c>
      <c r="I796" s="69" t="str">
        <f t="shared" si="413"/>
        <v/>
      </c>
      <c r="J796" s="75" t="str">
        <f t="shared" si="409"/>
        <v/>
      </c>
      <c r="K796" s="63"/>
    </row>
    <row r="797" spans="1:18" x14ac:dyDescent="0.25">
      <c r="A797" s="2" t="s">
        <v>9</v>
      </c>
      <c r="B797" s="37" t="s">
        <v>363</v>
      </c>
      <c r="C797" s="37"/>
      <c r="D797" s="71">
        <v>1</v>
      </c>
      <c r="E797" s="71">
        <v>0</v>
      </c>
      <c r="F797" s="71">
        <v>0</v>
      </c>
      <c r="G797" s="68">
        <f t="shared" si="411"/>
        <v>0</v>
      </c>
      <c r="H797" s="68">
        <f t="shared" si="412"/>
        <v>0</v>
      </c>
      <c r="I797" s="68">
        <f t="shared" si="413"/>
        <v>0</v>
      </c>
      <c r="J797" s="74">
        <f t="shared" si="409"/>
        <v>1</v>
      </c>
      <c r="K797" s="62"/>
    </row>
    <row r="798" spans="1:18" x14ac:dyDescent="0.25">
      <c r="A798" s="2"/>
      <c r="B798" s="37" t="s">
        <v>403</v>
      </c>
      <c r="C798" s="37"/>
      <c r="D798" s="71">
        <v>0</v>
      </c>
      <c r="E798" s="71">
        <v>1</v>
      </c>
      <c r="F798" s="71">
        <v>0</v>
      </c>
      <c r="G798" s="68">
        <f t="shared" si="411"/>
        <v>0</v>
      </c>
      <c r="H798" s="68">
        <f t="shared" si="412"/>
        <v>0</v>
      </c>
      <c r="I798" s="68">
        <f t="shared" si="413"/>
        <v>0</v>
      </c>
      <c r="J798" s="74">
        <f t="shared" si="409"/>
        <v>1</v>
      </c>
      <c r="K798" s="62"/>
    </row>
    <row r="799" spans="1:18" x14ac:dyDescent="0.25">
      <c r="A799" s="3"/>
      <c r="B799" s="40" t="s">
        <v>637</v>
      </c>
      <c r="C799" s="40"/>
      <c r="D799" s="72">
        <v>0</v>
      </c>
      <c r="E799" s="72">
        <v>0</v>
      </c>
      <c r="F799" s="72">
        <v>1</v>
      </c>
      <c r="G799" s="69">
        <f t="shared" si="411"/>
        <v>0</v>
      </c>
      <c r="H799" s="69">
        <f t="shared" si="412"/>
        <v>0</v>
      </c>
      <c r="I799" s="69">
        <f t="shared" si="413"/>
        <v>0</v>
      </c>
      <c r="J799" s="75">
        <f t="shared" si="409"/>
        <v>1</v>
      </c>
      <c r="K799" s="63"/>
    </row>
    <row r="800" spans="1:18" x14ac:dyDescent="0.25">
      <c r="A800" s="2" t="s">
        <v>1224</v>
      </c>
      <c r="B800" s="37" t="s">
        <v>1319</v>
      </c>
      <c r="C800" s="37"/>
      <c r="D800" s="71">
        <v>1</v>
      </c>
      <c r="E800" s="71">
        <v>1</v>
      </c>
      <c r="F800" s="71">
        <v>1</v>
      </c>
      <c r="G800" s="68">
        <f t="shared" si="411"/>
        <v>1</v>
      </c>
      <c r="H800" s="68">
        <f t="shared" si="412"/>
        <v>1</v>
      </c>
      <c r="I800" s="68">
        <f t="shared" si="413"/>
        <v>1</v>
      </c>
      <c r="J800" s="74">
        <f t="shared" ref="J800:J802" si="420">IF(B800="","",SUM(D800:F800))</f>
        <v>3</v>
      </c>
      <c r="K800" s="62"/>
    </row>
    <row r="801" spans="1:18" x14ac:dyDescent="0.25">
      <c r="A801" s="2"/>
      <c r="B801" s="37"/>
      <c r="C801" s="37"/>
      <c r="D801" s="71"/>
      <c r="E801" s="71"/>
      <c r="F801" s="71"/>
      <c r="G801" s="68" t="str">
        <f t="shared" si="411"/>
        <v/>
      </c>
      <c r="H801" s="68" t="str">
        <f t="shared" si="412"/>
        <v/>
      </c>
      <c r="I801" s="68" t="str">
        <f t="shared" si="413"/>
        <v/>
      </c>
      <c r="J801" s="74" t="str">
        <f t="shared" si="420"/>
        <v/>
      </c>
      <c r="K801" s="62"/>
    </row>
    <row r="802" spans="1:18" x14ac:dyDescent="0.25">
      <c r="A802" s="3"/>
      <c r="B802" s="40"/>
      <c r="C802" s="40"/>
      <c r="D802" s="72"/>
      <c r="E802" s="72"/>
      <c r="F802" s="72"/>
      <c r="G802" s="69" t="str">
        <f t="shared" si="411"/>
        <v/>
      </c>
      <c r="H802" s="69" t="str">
        <f t="shared" si="412"/>
        <v/>
      </c>
      <c r="I802" s="69" t="str">
        <f t="shared" si="413"/>
        <v/>
      </c>
      <c r="J802" s="75" t="str">
        <f t="shared" si="420"/>
        <v/>
      </c>
      <c r="K802" s="63"/>
    </row>
    <row r="804" spans="1:18" x14ac:dyDescent="0.25">
      <c r="A804" s="81">
        <v>41</v>
      </c>
      <c r="B804" s="49" t="s">
        <v>1158</v>
      </c>
      <c r="C804" s="31" t="s">
        <v>1436</v>
      </c>
      <c r="D804" s="76"/>
      <c r="E804" s="66"/>
      <c r="F804" s="66"/>
      <c r="G804" s="66"/>
      <c r="H804" s="66"/>
      <c r="I804" s="66"/>
      <c r="J804" s="60"/>
      <c r="K804" s="60"/>
    </row>
    <row r="805" spans="1:18" x14ac:dyDescent="0.25">
      <c r="A805" s="4" t="s">
        <v>6</v>
      </c>
      <c r="B805" s="37" t="s">
        <v>357</v>
      </c>
      <c r="C805" s="37"/>
      <c r="D805" s="70">
        <v>0</v>
      </c>
      <c r="E805" s="70">
        <v>1</v>
      </c>
      <c r="F805" s="70">
        <v>1</v>
      </c>
      <c r="G805" s="67">
        <f t="shared" ref="G805:G822" si="421">IF(B805="","",IF( AND(D805=1, E805=1),1,0))</f>
        <v>0</v>
      </c>
      <c r="H805" s="67">
        <f t="shared" ref="H805:H822" si="422">IF(B805="","",IF(AND(D805=1,F805=1),1,0))</f>
        <v>0</v>
      </c>
      <c r="I805" s="67">
        <f t="shared" ref="I805:I822" si="423">IF(B805="","",IF(AND(E805=1,F805=1),1,0))</f>
        <v>1</v>
      </c>
      <c r="J805" s="73">
        <f t="shared" ref="J805" si="424">IF(B805="","",SUM(D805:F805))</f>
        <v>2</v>
      </c>
      <c r="K805" s="61"/>
      <c r="M805" s="7">
        <f t="shared" ref="M805" si="425">SUM(G805:I805)/3</f>
        <v>0.33333333333333331</v>
      </c>
      <c r="N805" s="6">
        <f t="shared" ref="N805" si="426">SUM(G808:I808)/3</f>
        <v>1</v>
      </c>
      <c r="O805" s="7">
        <f t="shared" ref="O805" si="427">SUM(G811:I811)/3</f>
        <v>0.33333333333333331</v>
      </c>
      <c r="P805" s="6">
        <f t="shared" ref="P805" si="428">SUM(G814:I814)/3</f>
        <v>1</v>
      </c>
      <c r="Q805" s="7">
        <f t="shared" ref="Q805" si="429">SUM(G817:I817)/3</f>
        <v>1</v>
      </c>
      <c r="R805" s="7">
        <f>SUM(G820:I820)/3</f>
        <v>1</v>
      </c>
    </row>
    <row r="806" spans="1:18" x14ac:dyDescent="0.25">
      <c r="A806" s="2"/>
      <c r="B806" s="37"/>
      <c r="C806" s="37"/>
      <c r="D806" s="71"/>
      <c r="E806" s="71"/>
      <c r="F806" s="71"/>
      <c r="G806" s="68" t="str">
        <f t="shared" si="421"/>
        <v/>
      </c>
      <c r="H806" s="68" t="str">
        <f t="shared" si="422"/>
        <v/>
      </c>
      <c r="I806" s="68" t="str">
        <f t="shared" si="423"/>
        <v/>
      </c>
      <c r="J806" s="74" t="str">
        <f t="shared" si="409"/>
        <v/>
      </c>
      <c r="K806" s="62"/>
    </row>
    <row r="807" spans="1:18" x14ac:dyDescent="0.25">
      <c r="A807" s="3"/>
      <c r="B807" s="42"/>
      <c r="C807" s="42"/>
      <c r="D807" s="72"/>
      <c r="E807" s="72"/>
      <c r="F807" s="72"/>
      <c r="G807" s="69" t="str">
        <f t="shared" si="421"/>
        <v/>
      </c>
      <c r="H807" s="69" t="str">
        <f t="shared" si="422"/>
        <v/>
      </c>
      <c r="I807" s="69" t="str">
        <f t="shared" si="423"/>
        <v/>
      </c>
      <c r="J807" s="75" t="str">
        <f t="shared" si="409"/>
        <v/>
      </c>
      <c r="K807" s="63"/>
    </row>
    <row r="808" spans="1:18" x14ac:dyDescent="0.25">
      <c r="A808" s="4" t="s">
        <v>5</v>
      </c>
      <c r="B808" s="35" t="s">
        <v>174</v>
      </c>
      <c r="C808" s="35"/>
      <c r="D808" s="70">
        <v>1</v>
      </c>
      <c r="E808" s="70">
        <v>1</v>
      </c>
      <c r="F808" s="70">
        <v>1</v>
      </c>
      <c r="G808" s="67">
        <f>IF(B808="","",IF( AND(D808=1, E808=1),1,0))</f>
        <v>1</v>
      </c>
      <c r="H808" s="67">
        <f>IF(B808="","",IF(AND(D808=1,F808=1),1,0))</f>
        <v>1</v>
      </c>
      <c r="I808" s="67">
        <f>IF(B808="","",IF(AND(E808=1,F808=1),1,0))</f>
        <v>1</v>
      </c>
      <c r="J808" s="73">
        <f>IF(B808="","",SUM(D808:F808))</f>
        <v>3</v>
      </c>
      <c r="K808" s="61"/>
    </row>
    <row r="809" spans="1:18" x14ac:dyDescent="0.25">
      <c r="A809" s="2"/>
      <c r="B809" s="33" t="s">
        <v>406</v>
      </c>
      <c r="C809" s="37"/>
      <c r="D809" s="71">
        <v>1</v>
      </c>
      <c r="E809" s="71">
        <v>1</v>
      </c>
      <c r="F809" s="71">
        <v>1</v>
      </c>
      <c r="G809" s="68">
        <f>IF(B809="","",IF( AND(D809=1, E809=1),1,0))</f>
        <v>1</v>
      </c>
      <c r="H809" s="68">
        <f>IF(B809="","",IF(AND(D809=1,F809=1),1,0))</f>
        <v>1</v>
      </c>
      <c r="I809" s="68">
        <f>IF(B809="","",IF(AND(E809=1,F809=1),1,0))</f>
        <v>1</v>
      </c>
      <c r="J809" s="74">
        <f>IF(B809="","",SUM(D809:F809))</f>
        <v>3</v>
      </c>
      <c r="K809" s="62"/>
    </row>
    <row r="810" spans="1:18" x14ac:dyDescent="0.25">
      <c r="A810" s="3"/>
      <c r="B810" s="40"/>
      <c r="C810" s="37"/>
      <c r="D810" s="71"/>
      <c r="E810" s="71"/>
      <c r="F810" s="71"/>
      <c r="G810" s="69" t="str">
        <f t="shared" si="421"/>
        <v/>
      </c>
      <c r="H810" s="69" t="str">
        <f t="shared" si="422"/>
        <v/>
      </c>
      <c r="I810" s="69" t="str">
        <f t="shared" si="423"/>
        <v/>
      </c>
      <c r="J810" s="75" t="str">
        <f t="shared" si="409"/>
        <v/>
      </c>
      <c r="K810" s="63"/>
    </row>
    <row r="811" spans="1:18" x14ac:dyDescent="0.25">
      <c r="A811" s="4" t="s">
        <v>7</v>
      </c>
      <c r="B811" s="33" t="s">
        <v>38</v>
      </c>
      <c r="C811" s="33"/>
      <c r="D811" s="70">
        <v>1</v>
      </c>
      <c r="E811" s="70">
        <v>1</v>
      </c>
      <c r="F811" s="70">
        <v>0</v>
      </c>
      <c r="G811" s="67">
        <f t="shared" si="421"/>
        <v>1</v>
      </c>
      <c r="H811" s="67">
        <f t="shared" si="422"/>
        <v>0</v>
      </c>
      <c r="I811" s="67">
        <f t="shared" si="423"/>
        <v>0</v>
      </c>
      <c r="J811" s="73">
        <f t="shared" si="409"/>
        <v>2</v>
      </c>
      <c r="K811" s="61"/>
    </row>
    <row r="812" spans="1:18" x14ac:dyDescent="0.25">
      <c r="A812" s="2"/>
      <c r="B812" s="37" t="s">
        <v>90</v>
      </c>
      <c r="C812" s="37"/>
      <c r="D812" s="71">
        <v>1</v>
      </c>
      <c r="E812" s="71">
        <v>0</v>
      </c>
      <c r="F812" s="71">
        <v>1</v>
      </c>
      <c r="G812" s="68">
        <f t="shared" si="421"/>
        <v>0</v>
      </c>
      <c r="H812" s="68">
        <f t="shared" si="422"/>
        <v>1</v>
      </c>
      <c r="I812" s="68">
        <f t="shared" si="423"/>
        <v>0</v>
      </c>
      <c r="J812" s="74">
        <f t="shared" si="409"/>
        <v>2</v>
      </c>
      <c r="K812" s="62"/>
    </row>
    <row r="813" spans="1:18" x14ac:dyDescent="0.25">
      <c r="A813" s="3"/>
      <c r="B813" s="40"/>
      <c r="C813" s="40"/>
      <c r="D813" s="72"/>
      <c r="E813" s="72"/>
      <c r="F813" s="72"/>
      <c r="G813" s="69" t="str">
        <f t="shared" si="421"/>
        <v/>
      </c>
      <c r="H813" s="69" t="str">
        <f t="shared" si="422"/>
        <v/>
      </c>
      <c r="I813" s="69" t="str">
        <f t="shared" si="423"/>
        <v/>
      </c>
      <c r="J813" s="75" t="str">
        <f t="shared" si="409"/>
        <v/>
      </c>
      <c r="K813" s="63"/>
    </row>
    <row r="814" spans="1:18" x14ac:dyDescent="0.25">
      <c r="A814" s="4" t="s">
        <v>8</v>
      </c>
      <c r="B814" s="37" t="s">
        <v>360</v>
      </c>
      <c r="C814" s="37"/>
      <c r="D814" s="70">
        <v>1</v>
      </c>
      <c r="E814" s="70">
        <v>1</v>
      </c>
      <c r="F814" s="70">
        <v>1</v>
      </c>
      <c r="G814" s="67">
        <f t="shared" si="421"/>
        <v>1</v>
      </c>
      <c r="H814" s="67">
        <f t="shared" si="422"/>
        <v>1</v>
      </c>
      <c r="I814" s="67">
        <f t="shared" si="423"/>
        <v>1</v>
      </c>
      <c r="J814" s="73">
        <f t="shared" si="409"/>
        <v>3</v>
      </c>
      <c r="K814" s="61"/>
    </row>
    <row r="815" spans="1:18" x14ac:dyDescent="0.25">
      <c r="A815" s="2"/>
      <c r="B815" s="39" t="s">
        <v>85</v>
      </c>
      <c r="C815" s="39"/>
      <c r="D815" s="71">
        <v>1</v>
      </c>
      <c r="E815" s="71">
        <v>0</v>
      </c>
      <c r="F815" s="71">
        <v>1</v>
      </c>
      <c r="G815" s="68">
        <f t="shared" si="421"/>
        <v>0</v>
      </c>
      <c r="H815" s="68">
        <f t="shared" si="422"/>
        <v>1</v>
      </c>
      <c r="I815" s="68">
        <f t="shared" si="423"/>
        <v>0</v>
      </c>
      <c r="J815" s="74">
        <f t="shared" si="409"/>
        <v>2</v>
      </c>
      <c r="K815" s="62"/>
    </row>
    <row r="816" spans="1:18" x14ac:dyDescent="0.25">
      <c r="A816" s="3"/>
      <c r="B816" s="42" t="s">
        <v>627</v>
      </c>
      <c r="C816" s="42"/>
      <c r="D816" s="72">
        <v>1</v>
      </c>
      <c r="E816" s="72">
        <v>0</v>
      </c>
      <c r="F816" s="72">
        <v>1</v>
      </c>
      <c r="G816" s="69">
        <f t="shared" si="421"/>
        <v>0</v>
      </c>
      <c r="H816" s="69">
        <f t="shared" si="422"/>
        <v>1</v>
      </c>
      <c r="I816" s="69">
        <f t="shared" si="423"/>
        <v>0</v>
      </c>
      <c r="J816" s="75">
        <f t="shared" si="409"/>
        <v>2</v>
      </c>
      <c r="K816" s="63"/>
    </row>
    <row r="817" spans="1:18" x14ac:dyDescent="0.25">
      <c r="A817" s="2" t="s">
        <v>9</v>
      </c>
      <c r="B817" s="37" t="s">
        <v>409</v>
      </c>
      <c r="C817" s="37"/>
      <c r="D817" s="71">
        <v>1</v>
      </c>
      <c r="E817" s="71">
        <v>1</v>
      </c>
      <c r="F817" s="71">
        <v>1</v>
      </c>
      <c r="G817" s="68">
        <f t="shared" si="421"/>
        <v>1</v>
      </c>
      <c r="H817" s="68">
        <f t="shared" si="422"/>
        <v>1</v>
      </c>
      <c r="I817" s="68">
        <f t="shared" si="423"/>
        <v>1</v>
      </c>
      <c r="J817" s="74">
        <f t="shared" si="409"/>
        <v>3</v>
      </c>
      <c r="K817" s="62"/>
    </row>
    <row r="818" spans="1:18" x14ac:dyDescent="0.25">
      <c r="A818" s="2"/>
      <c r="B818" s="37"/>
      <c r="C818" s="37"/>
      <c r="D818" s="71"/>
      <c r="E818" s="71"/>
      <c r="F818" s="71"/>
      <c r="G818" s="68" t="str">
        <f t="shared" si="421"/>
        <v/>
      </c>
      <c r="H818" s="68" t="str">
        <f t="shared" si="422"/>
        <v/>
      </c>
      <c r="I818" s="68" t="str">
        <f t="shared" si="423"/>
        <v/>
      </c>
      <c r="J818" s="74" t="str">
        <f t="shared" si="409"/>
        <v/>
      </c>
      <c r="K818" s="62"/>
    </row>
    <row r="819" spans="1:18" x14ac:dyDescent="0.25">
      <c r="A819" s="3"/>
      <c r="B819" s="40"/>
      <c r="C819" s="40"/>
      <c r="D819" s="72"/>
      <c r="E819" s="72"/>
      <c r="F819" s="72"/>
      <c r="G819" s="69" t="str">
        <f t="shared" si="421"/>
        <v/>
      </c>
      <c r="H819" s="69" t="str">
        <f t="shared" si="422"/>
        <v/>
      </c>
      <c r="I819" s="69" t="str">
        <f t="shared" si="423"/>
        <v/>
      </c>
      <c r="J819" s="75" t="str">
        <f t="shared" si="409"/>
        <v/>
      </c>
      <c r="K819" s="63"/>
    </row>
    <row r="820" spans="1:18" x14ac:dyDescent="0.25">
      <c r="A820" s="2" t="s">
        <v>1224</v>
      </c>
      <c r="B820" s="37" t="s">
        <v>1321</v>
      </c>
      <c r="C820" s="37"/>
      <c r="D820" s="71">
        <v>1</v>
      </c>
      <c r="E820" s="71">
        <v>1</v>
      </c>
      <c r="F820" s="71">
        <v>1</v>
      </c>
      <c r="G820" s="68">
        <f t="shared" si="421"/>
        <v>1</v>
      </c>
      <c r="H820" s="68">
        <f t="shared" si="422"/>
        <v>1</v>
      </c>
      <c r="I820" s="68">
        <f t="shared" si="423"/>
        <v>1</v>
      </c>
      <c r="J820" s="74">
        <f t="shared" ref="J820:J822" si="430">IF(B820="","",SUM(D820:F820))</f>
        <v>3</v>
      </c>
      <c r="K820" s="62"/>
    </row>
    <row r="821" spans="1:18" x14ac:dyDescent="0.25">
      <c r="A821" s="2"/>
      <c r="B821" s="37" t="s">
        <v>887</v>
      </c>
      <c r="C821" s="37"/>
      <c r="D821" s="71">
        <v>1</v>
      </c>
      <c r="E821" s="71">
        <v>1</v>
      </c>
      <c r="F821" s="71"/>
      <c r="G821" s="68">
        <f t="shared" si="421"/>
        <v>1</v>
      </c>
      <c r="H821" s="68">
        <f t="shared" si="422"/>
        <v>0</v>
      </c>
      <c r="I821" s="68">
        <f t="shared" si="423"/>
        <v>0</v>
      </c>
      <c r="J821" s="74">
        <f t="shared" si="430"/>
        <v>2</v>
      </c>
      <c r="K821" s="62"/>
    </row>
    <row r="822" spans="1:18" x14ac:dyDescent="0.25">
      <c r="A822" s="3"/>
      <c r="B822" s="40"/>
      <c r="C822" s="40"/>
      <c r="D822" s="72"/>
      <c r="E822" s="72"/>
      <c r="F822" s="72"/>
      <c r="G822" s="69" t="str">
        <f t="shared" si="421"/>
        <v/>
      </c>
      <c r="H822" s="69" t="str">
        <f t="shared" si="422"/>
        <v/>
      </c>
      <c r="I822" s="69" t="str">
        <f t="shared" si="423"/>
        <v/>
      </c>
      <c r="J822" s="75" t="str">
        <f t="shared" si="430"/>
        <v/>
      </c>
      <c r="K822" s="63"/>
    </row>
    <row r="824" spans="1:18" x14ac:dyDescent="0.25">
      <c r="A824" s="81">
        <v>42</v>
      </c>
      <c r="B824" s="49" t="s">
        <v>1159</v>
      </c>
      <c r="C824" s="31" t="s">
        <v>1437</v>
      </c>
      <c r="D824" s="76"/>
      <c r="E824" s="66"/>
      <c r="F824" s="66"/>
      <c r="G824" s="66"/>
      <c r="H824" s="66"/>
      <c r="I824" s="66"/>
      <c r="J824" s="60"/>
      <c r="K824" s="60"/>
    </row>
    <row r="825" spans="1:18" x14ac:dyDescent="0.25">
      <c r="A825" s="4" t="s">
        <v>6</v>
      </c>
      <c r="B825" s="37" t="s">
        <v>642</v>
      </c>
      <c r="C825" s="37"/>
      <c r="D825" s="70">
        <v>0</v>
      </c>
      <c r="E825" s="70">
        <v>1</v>
      </c>
      <c r="F825" s="70">
        <v>1</v>
      </c>
      <c r="G825" s="67">
        <f t="shared" ref="G825:G842" si="431">IF(B825="","",IF( AND(D825=1, E825=1),1,0))</f>
        <v>0</v>
      </c>
      <c r="H825" s="67">
        <f t="shared" ref="H825:H842" si="432">IF(B825="","",IF(AND(D825=1,F825=1),1,0))</f>
        <v>0</v>
      </c>
      <c r="I825" s="67">
        <f t="shared" ref="I825:I842" si="433">IF(B825="","",IF(AND(E825=1,F825=1),1,0))</f>
        <v>1</v>
      </c>
      <c r="J825" s="73">
        <f t="shared" ref="J825" si="434">IF(B825="","",SUM(D825:F825))</f>
        <v>2</v>
      </c>
      <c r="K825" s="61"/>
      <c r="M825" s="7">
        <f t="shared" ref="M825" si="435">SUM(G825:I825)/3</f>
        <v>0.33333333333333331</v>
      </c>
      <c r="N825" s="6">
        <f t="shared" ref="N825" si="436">SUM(G828:I828)/3</f>
        <v>1</v>
      </c>
      <c r="O825" s="7">
        <f t="shared" ref="O825" si="437">SUM(G831:I831)/3</f>
        <v>1</v>
      </c>
      <c r="P825" s="6">
        <f t="shared" ref="P825" si="438">SUM(G834:I834)/3</f>
        <v>0.33333333333333331</v>
      </c>
      <c r="Q825" s="7">
        <f t="shared" ref="Q825" si="439">SUM(G837:I837)/3</f>
        <v>0</v>
      </c>
      <c r="R825" s="7">
        <f>SUM(G840:I840)/3</f>
        <v>0.33333333333333331</v>
      </c>
    </row>
    <row r="826" spans="1:18" x14ac:dyDescent="0.25">
      <c r="A826" s="2"/>
      <c r="B826" s="37" t="s">
        <v>622</v>
      </c>
      <c r="C826" s="37"/>
      <c r="D826" s="71">
        <v>1</v>
      </c>
      <c r="E826" s="71">
        <v>0</v>
      </c>
      <c r="F826" s="71">
        <v>1</v>
      </c>
      <c r="G826" s="68">
        <f t="shared" si="431"/>
        <v>0</v>
      </c>
      <c r="H826" s="68">
        <f t="shared" si="432"/>
        <v>1</v>
      </c>
      <c r="I826" s="68">
        <f t="shared" si="433"/>
        <v>0</v>
      </c>
      <c r="J826" s="74">
        <f t="shared" si="409"/>
        <v>2</v>
      </c>
      <c r="K826" s="62"/>
    </row>
    <row r="827" spans="1:18" x14ac:dyDescent="0.25">
      <c r="A827" s="3"/>
      <c r="B827" s="42"/>
      <c r="C827" s="42"/>
      <c r="D827" s="72"/>
      <c r="E827" s="72"/>
      <c r="F827" s="72"/>
      <c r="G827" s="69" t="str">
        <f t="shared" si="431"/>
        <v/>
      </c>
      <c r="H827" s="69" t="str">
        <f t="shared" si="432"/>
        <v/>
      </c>
      <c r="I827" s="69" t="str">
        <f t="shared" si="433"/>
        <v/>
      </c>
      <c r="J827" s="75" t="str">
        <f t="shared" si="409"/>
        <v/>
      </c>
      <c r="K827" s="63"/>
    </row>
    <row r="828" spans="1:18" x14ac:dyDescent="0.25">
      <c r="A828" s="4" t="s">
        <v>5</v>
      </c>
      <c r="B828" s="33" t="s">
        <v>37</v>
      </c>
      <c r="C828" s="33"/>
      <c r="D828" s="70">
        <v>1</v>
      </c>
      <c r="E828" s="70">
        <v>1</v>
      </c>
      <c r="F828" s="70">
        <v>1</v>
      </c>
      <c r="G828" s="67">
        <f t="shared" si="431"/>
        <v>1</v>
      </c>
      <c r="H828" s="67">
        <f t="shared" si="432"/>
        <v>1</v>
      </c>
      <c r="I828" s="67">
        <f t="shared" si="433"/>
        <v>1</v>
      </c>
      <c r="J828" s="73">
        <f t="shared" si="409"/>
        <v>3</v>
      </c>
      <c r="K828" s="61"/>
    </row>
    <row r="829" spans="1:18" x14ac:dyDescent="0.25">
      <c r="A829" s="2"/>
      <c r="B829" s="37"/>
      <c r="C829" s="37"/>
      <c r="D829" s="71"/>
      <c r="E829" s="71"/>
      <c r="F829" s="71"/>
      <c r="G829" s="68" t="str">
        <f t="shared" si="431"/>
        <v/>
      </c>
      <c r="H829" s="68" t="str">
        <f t="shared" si="432"/>
        <v/>
      </c>
      <c r="I829" s="68" t="str">
        <f t="shared" si="433"/>
        <v/>
      </c>
      <c r="J829" s="74" t="str">
        <f t="shared" si="409"/>
        <v/>
      </c>
      <c r="K829" s="62"/>
    </row>
    <row r="830" spans="1:18" x14ac:dyDescent="0.25">
      <c r="A830" s="3"/>
      <c r="B830" s="40"/>
      <c r="C830" s="37"/>
      <c r="D830" s="71"/>
      <c r="E830" s="71"/>
      <c r="F830" s="71"/>
      <c r="G830" s="69" t="str">
        <f t="shared" si="431"/>
        <v/>
      </c>
      <c r="H830" s="69" t="str">
        <f t="shared" si="432"/>
        <v/>
      </c>
      <c r="I830" s="69" t="str">
        <f t="shared" si="433"/>
        <v/>
      </c>
      <c r="J830" s="75" t="str">
        <f t="shared" si="409"/>
        <v/>
      </c>
      <c r="K830" s="63"/>
    </row>
    <row r="831" spans="1:18" x14ac:dyDescent="0.25">
      <c r="A831" s="4" t="s">
        <v>7</v>
      </c>
      <c r="B831" s="33" t="s">
        <v>38</v>
      </c>
      <c r="C831" s="33"/>
      <c r="D831" s="70">
        <v>1</v>
      </c>
      <c r="E831" s="70">
        <v>1</v>
      </c>
      <c r="F831" s="70">
        <v>1</v>
      </c>
      <c r="G831" s="67">
        <f t="shared" si="431"/>
        <v>1</v>
      </c>
      <c r="H831" s="67">
        <f t="shared" si="432"/>
        <v>1</v>
      </c>
      <c r="I831" s="67">
        <f t="shared" si="433"/>
        <v>1</v>
      </c>
      <c r="J831" s="73">
        <f t="shared" si="409"/>
        <v>3</v>
      </c>
      <c r="K831" s="61"/>
    </row>
    <row r="832" spans="1:18" x14ac:dyDescent="0.25">
      <c r="A832" s="2"/>
      <c r="B832" s="37"/>
      <c r="C832" s="37"/>
      <c r="D832" s="71"/>
      <c r="E832" s="71"/>
      <c r="F832" s="71"/>
      <c r="G832" s="68" t="str">
        <f t="shared" si="431"/>
        <v/>
      </c>
      <c r="H832" s="68" t="str">
        <f t="shared" si="432"/>
        <v/>
      </c>
      <c r="I832" s="68" t="str">
        <f t="shared" si="433"/>
        <v/>
      </c>
      <c r="J832" s="74" t="str">
        <f t="shared" si="409"/>
        <v/>
      </c>
      <c r="K832" s="62"/>
    </row>
    <row r="833" spans="1:18" x14ac:dyDescent="0.25">
      <c r="A833" s="3"/>
      <c r="B833" s="40"/>
      <c r="C833" s="40"/>
      <c r="D833" s="72"/>
      <c r="E833" s="72"/>
      <c r="F833" s="72"/>
      <c r="G833" s="69" t="str">
        <f t="shared" si="431"/>
        <v/>
      </c>
      <c r="H833" s="69" t="str">
        <f t="shared" si="432"/>
        <v/>
      </c>
      <c r="I833" s="69" t="str">
        <f t="shared" si="433"/>
        <v/>
      </c>
      <c r="J833" s="75" t="str">
        <f t="shared" si="409"/>
        <v/>
      </c>
      <c r="K833" s="63"/>
    </row>
    <row r="834" spans="1:18" x14ac:dyDescent="0.25">
      <c r="A834" s="4" t="s">
        <v>8</v>
      </c>
      <c r="B834" s="37" t="s">
        <v>412</v>
      </c>
      <c r="C834" s="37"/>
      <c r="D834" s="70">
        <v>1</v>
      </c>
      <c r="E834" s="70">
        <v>1</v>
      </c>
      <c r="F834" s="70">
        <v>0</v>
      </c>
      <c r="G834" s="67">
        <f t="shared" si="431"/>
        <v>1</v>
      </c>
      <c r="H834" s="67">
        <f t="shared" si="432"/>
        <v>0</v>
      </c>
      <c r="I834" s="67">
        <f t="shared" si="433"/>
        <v>0</v>
      </c>
      <c r="J834" s="73">
        <f t="shared" si="409"/>
        <v>2</v>
      </c>
      <c r="K834" s="61"/>
    </row>
    <row r="835" spans="1:18" x14ac:dyDescent="0.25">
      <c r="A835" s="2"/>
      <c r="B835" s="37" t="s">
        <v>402</v>
      </c>
      <c r="C835" s="37"/>
      <c r="D835" s="71">
        <v>0</v>
      </c>
      <c r="E835" s="71">
        <v>1</v>
      </c>
      <c r="F835" s="71">
        <v>1</v>
      </c>
      <c r="G835" s="68">
        <f t="shared" si="431"/>
        <v>0</v>
      </c>
      <c r="H835" s="68">
        <f t="shared" si="432"/>
        <v>0</v>
      </c>
      <c r="I835" s="68">
        <f t="shared" si="433"/>
        <v>1</v>
      </c>
      <c r="J835" s="74">
        <f t="shared" si="409"/>
        <v>2</v>
      </c>
      <c r="K835" s="62"/>
    </row>
    <row r="836" spans="1:18" x14ac:dyDescent="0.25">
      <c r="A836" s="3"/>
      <c r="B836" s="40"/>
      <c r="C836" s="40"/>
      <c r="D836" s="72"/>
      <c r="E836" s="72"/>
      <c r="F836" s="72"/>
      <c r="G836" s="69" t="str">
        <f t="shared" si="431"/>
        <v/>
      </c>
      <c r="H836" s="69" t="str">
        <f t="shared" si="432"/>
        <v/>
      </c>
      <c r="I836" s="69" t="str">
        <f t="shared" si="433"/>
        <v/>
      </c>
      <c r="J836" s="75" t="str">
        <f t="shared" si="409"/>
        <v/>
      </c>
      <c r="K836" s="63"/>
    </row>
    <row r="837" spans="1:18" x14ac:dyDescent="0.25">
      <c r="A837" s="2" t="s">
        <v>9</v>
      </c>
      <c r="B837" s="37" t="s">
        <v>909</v>
      </c>
      <c r="C837" s="37"/>
      <c r="D837" s="71">
        <v>1</v>
      </c>
      <c r="E837" s="71">
        <v>0</v>
      </c>
      <c r="F837" s="71">
        <v>0</v>
      </c>
      <c r="G837" s="68">
        <f t="shared" si="431"/>
        <v>0</v>
      </c>
      <c r="H837" s="68">
        <f t="shared" si="432"/>
        <v>0</v>
      </c>
      <c r="I837" s="68">
        <f t="shared" si="433"/>
        <v>0</v>
      </c>
      <c r="J837" s="74">
        <f t="shared" si="409"/>
        <v>1</v>
      </c>
      <c r="K837" s="62"/>
    </row>
    <row r="838" spans="1:18" x14ac:dyDescent="0.25">
      <c r="A838" s="2"/>
      <c r="B838" s="37" t="s">
        <v>413</v>
      </c>
      <c r="C838" s="37"/>
      <c r="D838" s="71">
        <v>0</v>
      </c>
      <c r="E838" s="71">
        <v>1</v>
      </c>
      <c r="F838" s="71">
        <v>0</v>
      </c>
      <c r="G838" s="68">
        <f t="shared" si="431"/>
        <v>0</v>
      </c>
      <c r="H838" s="68">
        <f t="shared" si="432"/>
        <v>0</v>
      </c>
      <c r="I838" s="68">
        <f t="shared" si="433"/>
        <v>0</v>
      </c>
      <c r="J838" s="74">
        <f t="shared" si="409"/>
        <v>1</v>
      </c>
      <c r="K838" s="62"/>
    </row>
    <row r="839" spans="1:18" x14ac:dyDescent="0.25">
      <c r="A839" s="3"/>
      <c r="B839" s="40" t="s">
        <v>415</v>
      </c>
      <c r="C839" s="40"/>
      <c r="D839" s="72">
        <v>0</v>
      </c>
      <c r="E839" s="72">
        <v>0</v>
      </c>
      <c r="F839" s="72">
        <v>1</v>
      </c>
      <c r="G839" s="69">
        <f t="shared" si="431"/>
        <v>0</v>
      </c>
      <c r="H839" s="69">
        <f t="shared" si="432"/>
        <v>0</v>
      </c>
      <c r="I839" s="69">
        <f t="shared" si="433"/>
        <v>0</v>
      </c>
      <c r="J839" s="75">
        <f t="shared" si="409"/>
        <v>1</v>
      </c>
      <c r="K839" s="63"/>
    </row>
    <row r="840" spans="1:18" x14ac:dyDescent="0.25">
      <c r="A840" s="2" t="s">
        <v>1224</v>
      </c>
      <c r="B840" s="39" t="s">
        <v>1376</v>
      </c>
      <c r="C840" s="39"/>
      <c r="D840" s="71">
        <v>0</v>
      </c>
      <c r="E840" s="71">
        <v>1</v>
      </c>
      <c r="F840" s="71">
        <v>1</v>
      </c>
      <c r="G840" s="68">
        <f t="shared" si="431"/>
        <v>0</v>
      </c>
      <c r="H840" s="68">
        <f t="shared" si="432"/>
        <v>0</v>
      </c>
      <c r="I840" s="68">
        <f t="shared" si="433"/>
        <v>1</v>
      </c>
      <c r="J840" s="74">
        <f t="shared" ref="J840:J842" si="440">IF(B840="","",SUM(D840:F840))</f>
        <v>2</v>
      </c>
      <c r="K840" s="62"/>
    </row>
    <row r="841" spans="1:18" x14ac:dyDescent="0.25">
      <c r="A841" s="2"/>
      <c r="B841" s="37" t="s">
        <v>641</v>
      </c>
      <c r="C841" s="37"/>
      <c r="D841" s="71">
        <v>1</v>
      </c>
      <c r="E841" s="71">
        <v>1</v>
      </c>
      <c r="F841" s="71">
        <v>0</v>
      </c>
      <c r="G841" s="68">
        <f t="shared" si="431"/>
        <v>1</v>
      </c>
      <c r="H841" s="68">
        <f t="shared" si="432"/>
        <v>0</v>
      </c>
      <c r="I841" s="68">
        <f t="shared" si="433"/>
        <v>0</v>
      </c>
      <c r="J841" s="74">
        <f t="shared" si="440"/>
        <v>2</v>
      </c>
      <c r="K841" s="62"/>
    </row>
    <row r="842" spans="1:18" x14ac:dyDescent="0.25">
      <c r="A842" s="3"/>
      <c r="B842" s="40"/>
      <c r="C842" s="40"/>
      <c r="D842" s="72"/>
      <c r="E842" s="72"/>
      <c r="F842" s="72"/>
      <c r="G842" s="69" t="str">
        <f t="shared" si="431"/>
        <v/>
      </c>
      <c r="H842" s="69" t="str">
        <f t="shared" si="432"/>
        <v/>
      </c>
      <c r="I842" s="69" t="str">
        <f t="shared" si="433"/>
        <v/>
      </c>
      <c r="J842" s="75" t="str">
        <f t="shared" si="440"/>
        <v/>
      </c>
      <c r="K842" s="63"/>
    </row>
    <row r="844" spans="1:18" x14ac:dyDescent="0.25">
      <c r="A844" s="81">
        <v>43</v>
      </c>
      <c r="B844" s="49" t="s">
        <v>1160</v>
      </c>
      <c r="C844" s="31" t="s">
        <v>1438</v>
      </c>
      <c r="D844" s="76"/>
      <c r="E844" s="66"/>
      <c r="F844" s="66"/>
      <c r="G844" s="66"/>
      <c r="H844" s="66"/>
      <c r="I844" s="66"/>
      <c r="J844" s="60"/>
      <c r="K844" s="60"/>
    </row>
    <row r="845" spans="1:18" x14ac:dyDescent="0.25">
      <c r="A845" s="4" t="s">
        <v>6</v>
      </c>
      <c r="B845" s="37" t="s">
        <v>415</v>
      </c>
      <c r="C845" s="37"/>
      <c r="D845" s="70">
        <v>1</v>
      </c>
      <c r="E845" s="70">
        <v>1</v>
      </c>
      <c r="F845" s="70">
        <v>1</v>
      </c>
      <c r="G845" s="67">
        <f t="shared" ref="G845:G862" si="441">IF(B845="","",IF( AND(D845=1, E845=1),1,0))</f>
        <v>1</v>
      </c>
      <c r="H845" s="67">
        <f t="shared" ref="H845:H862" si="442">IF(B845="","",IF(AND(D845=1,F845=1),1,0))</f>
        <v>1</v>
      </c>
      <c r="I845" s="67">
        <f t="shared" ref="I845:I862" si="443">IF(B845="","",IF(AND(E845=1,F845=1),1,0))</f>
        <v>1</v>
      </c>
      <c r="J845" s="73">
        <f t="shared" ref="J845" si="444">IF(B845="","",SUM(D845:F845))</f>
        <v>3</v>
      </c>
      <c r="K845" s="61"/>
      <c r="M845" s="7">
        <f t="shared" ref="M845" si="445">SUM(G845:I845)/3</f>
        <v>1</v>
      </c>
      <c r="N845" s="6">
        <f t="shared" ref="N845" si="446">SUM(G848:I848)/3</f>
        <v>1</v>
      </c>
      <c r="O845" s="7">
        <f t="shared" ref="O845" si="447">SUM(G851:I851)/3</f>
        <v>1</v>
      </c>
      <c r="P845" s="6">
        <f t="shared" ref="P845" si="448">SUM(G854:I854)/3</f>
        <v>1</v>
      </c>
      <c r="Q845" s="7">
        <f t="shared" ref="Q845" si="449">SUM(G857:I857)/3</f>
        <v>0.33333333333333331</v>
      </c>
      <c r="R845" s="7">
        <f>SUM(G860:I860)/3</f>
        <v>0.33333333333333331</v>
      </c>
    </row>
    <row r="846" spans="1:18" x14ac:dyDescent="0.25">
      <c r="A846" s="2"/>
      <c r="B846" s="37"/>
      <c r="C846" s="37"/>
      <c r="D846" s="71"/>
      <c r="E846" s="71"/>
      <c r="F846" s="71"/>
      <c r="G846" s="68" t="str">
        <f t="shared" si="441"/>
        <v/>
      </c>
      <c r="H846" s="68" t="str">
        <f t="shared" si="442"/>
        <v/>
      </c>
      <c r="I846" s="68" t="str">
        <f t="shared" si="443"/>
        <v/>
      </c>
      <c r="J846" s="74" t="str">
        <f t="shared" si="409"/>
        <v/>
      </c>
      <c r="K846" s="62"/>
    </row>
    <row r="847" spans="1:18" x14ac:dyDescent="0.25">
      <c r="A847" s="3"/>
      <c r="B847" s="42"/>
      <c r="C847" s="42"/>
      <c r="D847" s="72"/>
      <c r="E847" s="72"/>
      <c r="F847" s="72"/>
      <c r="G847" s="69" t="str">
        <f t="shared" si="441"/>
        <v/>
      </c>
      <c r="H847" s="69" t="str">
        <f t="shared" si="442"/>
        <v/>
      </c>
      <c r="I847" s="69" t="str">
        <f t="shared" si="443"/>
        <v/>
      </c>
      <c r="J847" s="75" t="str">
        <f t="shared" si="409"/>
        <v/>
      </c>
      <c r="K847" s="63"/>
    </row>
    <row r="848" spans="1:18" x14ac:dyDescent="0.25">
      <c r="A848" s="4" t="s">
        <v>5</v>
      </c>
      <c r="B848" s="33" t="s">
        <v>416</v>
      </c>
      <c r="C848" s="33"/>
      <c r="D848" s="70">
        <v>1</v>
      </c>
      <c r="E848" s="70">
        <v>1</v>
      </c>
      <c r="F848" s="70">
        <v>1</v>
      </c>
      <c r="G848" s="67">
        <f t="shared" si="441"/>
        <v>1</v>
      </c>
      <c r="H848" s="67">
        <f t="shared" si="442"/>
        <v>1</v>
      </c>
      <c r="I848" s="67">
        <f t="shared" si="443"/>
        <v>1</v>
      </c>
      <c r="J848" s="73">
        <f t="shared" si="409"/>
        <v>3</v>
      </c>
      <c r="K848" s="61"/>
    </row>
    <row r="849" spans="1:11" x14ac:dyDescent="0.25">
      <c r="A849" s="2"/>
      <c r="B849" s="37"/>
      <c r="C849" s="37"/>
      <c r="D849" s="71"/>
      <c r="E849" s="71"/>
      <c r="F849" s="71"/>
      <c r="G849" s="68" t="str">
        <f t="shared" si="441"/>
        <v/>
      </c>
      <c r="H849" s="68" t="str">
        <f t="shared" si="442"/>
        <v/>
      </c>
      <c r="I849" s="68" t="str">
        <f t="shared" si="443"/>
        <v/>
      </c>
      <c r="J849" s="74" t="str">
        <f t="shared" si="409"/>
        <v/>
      </c>
      <c r="K849" s="62"/>
    </row>
    <row r="850" spans="1:11" x14ac:dyDescent="0.25">
      <c r="A850" s="3"/>
      <c r="B850" s="40"/>
      <c r="C850" s="37"/>
      <c r="D850" s="71"/>
      <c r="E850" s="71"/>
      <c r="F850" s="71"/>
      <c r="G850" s="69" t="str">
        <f t="shared" si="441"/>
        <v/>
      </c>
      <c r="H850" s="69" t="str">
        <f t="shared" si="442"/>
        <v/>
      </c>
      <c r="I850" s="69" t="str">
        <f t="shared" si="443"/>
        <v/>
      </c>
      <c r="J850" s="75" t="str">
        <f t="shared" ref="J850:J919" si="450">IF(B850="","",SUM(D850:F850))</f>
        <v/>
      </c>
      <c r="K850" s="63"/>
    </row>
    <row r="851" spans="1:11" x14ac:dyDescent="0.25">
      <c r="A851" s="4" t="s">
        <v>7</v>
      </c>
      <c r="B851" s="33" t="s">
        <v>38</v>
      </c>
      <c r="C851" s="33"/>
      <c r="D851" s="70">
        <v>1</v>
      </c>
      <c r="E851" s="70">
        <v>1</v>
      </c>
      <c r="F851" s="70">
        <v>1</v>
      </c>
      <c r="G851" s="67">
        <f t="shared" si="441"/>
        <v>1</v>
      </c>
      <c r="H851" s="67">
        <f t="shared" si="442"/>
        <v>1</v>
      </c>
      <c r="I851" s="67">
        <f t="shared" si="443"/>
        <v>1</v>
      </c>
      <c r="J851" s="73">
        <f t="shared" si="450"/>
        <v>3</v>
      </c>
      <c r="K851" s="61"/>
    </row>
    <row r="852" spans="1:11" x14ac:dyDescent="0.25">
      <c r="A852" s="2"/>
      <c r="B852" s="37"/>
      <c r="C852" s="37"/>
      <c r="D852" s="71"/>
      <c r="E852" s="71"/>
      <c r="F852" s="71"/>
      <c r="G852" s="68" t="str">
        <f t="shared" si="441"/>
        <v/>
      </c>
      <c r="H852" s="68" t="str">
        <f t="shared" si="442"/>
        <v/>
      </c>
      <c r="I852" s="68" t="str">
        <f t="shared" si="443"/>
        <v/>
      </c>
      <c r="J852" s="74" t="str">
        <f t="shared" si="450"/>
        <v/>
      </c>
      <c r="K852" s="62"/>
    </row>
    <row r="853" spans="1:11" x14ac:dyDescent="0.25">
      <c r="A853" s="3"/>
      <c r="B853" s="40"/>
      <c r="C853" s="40"/>
      <c r="D853" s="72"/>
      <c r="E853" s="72"/>
      <c r="F853" s="72"/>
      <c r="G853" s="69" t="str">
        <f t="shared" si="441"/>
        <v/>
      </c>
      <c r="H853" s="69" t="str">
        <f t="shared" si="442"/>
        <v/>
      </c>
      <c r="I853" s="69" t="str">
        <f t="shared" si="443"/>
        <v/>
      </c>
      <c r="J853" s="75" t="str">
        <f t="shared" si="450"/>
        <v/>
      </c>
      <c r="K853" s="63"/>
    </row>
    <row r="854" spans="1:11" x14ac:dyDescent="0.25">
      <c r="A854" s="4" t="s">
        <v>8</v>
      </c>
      <c r="B854" s="37" t="s">
        <v>417</v>
      </c>
      <c r="C854" s="37"/>
      <c r="D854" s="70">
        <v>1</v>
      </c>
      <c r="E854" s="70">
        <v>1</v>
      </c>
      <c r="F854" s="70">
        <v>1</v>
      </c>
      <c r="G854" s="67">
        <f t="shared" si="441"/>
        <v>1</v>
      </c>
      <c r="H854" s="67">
        <f t="shared" si="442"/>
        <v>1</v>
      </c>
      <c r="I854" s="67">
        <f t="shared" si="443"/>
        <v>1</v>
      </c>
      <c r="J854" s="73">
        <f t="shared" si="450"/>
        <v>3</v>
      </c>
      <c r="K854" s="61"/>
    </row>
    <row r="855" spans="1:11" x14ac:dyDescent="0.25">
      <c r="A855" s="2"/>
      <c r="B855" s="37"/>
      <c r="C855" s="37"/>
      <c r="D855" s="71"/>
      <c r="E855" s="71"/>
      <c r="F855" s="71"/>
      <c r="G855" s="68" t="str">
        <f t="shared" si="441"/>
        <v/>
      </c>
      <c r="H855" s="68" t="str">
        <f t="shared" si="442"/>
        <v/>
      </c>
      <c r="I855" s="68" t="str">
        <f t="shared" si="443"/>
        <v/>
      </c>
      <c r="J855" s="74" t="str">
        <f t="shared" si="450"/>
        <v/>
      </c>
      <c r="K855" s="62"/>
    </row>
    <row r="856" spans="1:11" x14ac:dyDescent="0.25">
      <c r="A856" s="3"/>
      <c r="B856" s="40"/>
      <c r="C856" s="40"/>
      <c r="D856" s="72"/>
      <c r="E856" s="72"/>
      <c r="F856" s="72"/>
      <c r="G856" s="69" t="str">
        <f t="shared" si="441"/>
        <v/>
      </c>
      <c r="H856" s="69" t="str">
        <f t="shared" si="442"/>
        <v/>
      </c>
      <c r="I856" s="69" t="str">
        <f t="shared" si="443"/>
        <v/>
      </c>
      <c r="J856" s="75" t="str">
        <f t="shared" si="450"/>
        <v/>
      </c>
      <c r="K856" s="63"/>
    </row>
    <row r="857" spans="1:11" x14ac:dyDescent="0.25">
      <c r="A857" s="2" t="s">
        <v>9</v>
      </c>
      <c r="B857" s="37" t="s">
        <v>418</v>
      </c>
      <c r="C857" s="37"/>
      <c r="D857" s="71">
        <v>1</v>
      </c>
      <c r="E857" s="71">
        <v>1</v>
      </c>
      <c r="F857" s="71">
        <v>0</v>
      </c>
      <c r="G857" s="68">
        <f t="shared" si="441"/>
        <v>1</v>
      </c>
      <c r="H857" s="68">
        <f t="shared" si="442"/>
        <v>0</v>
      </c>
      <c r="I857" s="68">
        <f t="shared" si="443"/>
        <v>0</v>
      </c>
      <c r="J857" s="74">
        <f t="shared" si="450"/>
        <v>2</v>
      </c>
      <c r="K857" s="62"/>
    </row>
    <row r="858" spans="1:11" x14ac:dyDescent="0.25">
      <c r="A858" s="2"/>
      <c r="B858" s="37"/>
      <c r="C858" s="37"/>
      <c r="D858" s="71"/>
      <c r="E858" s="71"/>
      <c r="F858" s="71"/>
      <c r="G858" s="68" t="str">
        <f t="shared" si="441"/>
        <v/>
      </c>
      <c r="H858" s="68" t="str">
        <f t="shared" si="442"/>
        <v/>
      </c>
      <c r="I858" s="68" t="str">
        <f t="shared" si="443"/>
        <v/>
      </c>
      <c r="J858" s="74" t="str">
        <f t="shared" si="450"/>
        <v/>
      </c>
      <c r="K858" s="62"/>
    </row>
    <row r="859" spans="1:11" x14ac:dyDescent="0.25">
      <c r="A859" s="3"/>
      <c r="B859" s="40"/>
      <c r="C859" s="40"/>
      <c r="D859" s="72"/>
      <c r="E859" s="72"/>
      <c r="F859" s="72"/>
      <c r="G859" s="69" t="str">
        <f t="shared" si="441"/>
        <v/>
      </c>
      <c r="H859" s="69" t="str">
        <f t="shared" si="442"/>
        <v/>
      </c>
      <c r="I859" s="69" t="str">
        <f t="shared" si="443"/>
        <v/>
      </c>
      <c r="J859" s="75" t="str">
        <f t="shared" si="450"/>
        <v/>
      </c>
      <c r="K859" s="63"/>
    </row>
    <row r="860" spans="1:11" x14ac:dyDescent="0.25">
      <c r="A860" s="2" t="s">
        <v>1224</v>
      </c>
      <c r="B860" s="37" t="s">
        <v>415</v>
      </c>
      <c r="C860" s="37"/>
      <c r="D860" s="71">
        <v>1</v>
      </c>
      <c r="E860" s="71">
        <v>1</v>
      </c>
      <c r="F860" s="71">
        <v>0</v>
      </c>
      <c r="G860" s="68">
        <f t="shared" si="441"/>
        <v>1</v>
      </c>
      <c r="H860" s="68">
        <f t="shared" si="442"/>
        <v>0</v>
      </c>
      <c r="I860" s="68">
        <f t="shared" si="443"/>
        <v>0</v>
      </c>
      <c r="J860" s="74">
        <f t="shared" ref="J860:J862" si="451">IF(B860="","",SUM(D860:F860))</f>
        <v>2</v>
      </c>
      <c r="K860" s="62"/>
    </row>
    <row r="861" spans="1:11" x14ac:dyDescent="0.25">
      <c r="A861" s="2"/>
      <c r="B861" s="37" t="s">
        <v>1323</v>
      </c>
      <c r="C861" s="37"/>
      <c r="D861" s="71">
        <v>0</v>
      </c>
      <c r="E861" s="71">
        <v>1</v>
      </c>
      <c r="F861" s="71">
        <v>1</v>
      </c>
      <c r="G861" s="68">
        <f t="shared" si="441"/>
        <v>0</v>
      </c>
      <c r="H861" s="68">
        <f t="shared" si="442"/>
        <v>0</v>
      </c>
      <c r="I861" s="68">
        <f t="shared" si="443"/>
        <v>1</v>
      </c>
      <c r="J861" s="74">
        <f t="shared" si="451"/>
        <v>2</v>
      </c>
      <c r="K861" s="62"/>
    </row>
    <row r="862" spans="1:11" x14ac:dyDescent="0.25">
      <c r="A862" s="3"/>
      <c r="B862" s="40"/>
      <c r="C862" s="40"/>
      <c r="D862" s="72"/>
      <c r="E862" s="72"/>
      <c r="F862" s="72"/>
      <c r="G862" s="69" t="str">
        <f t="shared" si="441"/>
        <v/>
      </c>
      <c r="H862" s="69" t="str">
        <f t="shared" si="442"/>
        <v/>
      </c>
      <c r="I862" s="69" t="str">
        <f t="shared" si="443"/>
        <v/>
      </c>
      <c r="J862" s="75" t="str">
        <f t="shared" si="451"/>
        <v/>
      </c>
      <c r="K862" s="63"/>
    </row>
    <row r="864" spans="1:11" x14ac:dyDescent="0.25">
      <c r="A864" s="81">
        <v>44</v>
      </c>
      <c r="B864" s="49" t="s">
        <v>1161</v>
      </c>
      <c r="C864" s="31" t="s">
        <v>1439</v>
      </c>
      <c r="D864" s="76"/>
      <c r="E864" s="66"/>
      <c r="F864" s="66"/>
      <c r="G864" s="66"/>
      <c r="H864" s="66"/>
      <c r="I864" s="66"/>
      <c r="J864" s="60"/>
      <c r="K864" s="60"/>
    </row>
    <row r="865" spans="1:18" x14ac:dyDescent="0.25">
      <c r="A865" s="4" t="s">
        <v>6</v>
      </c>
      <c r="B865" s="37" t="s">
        <v>651</v>
      </c>
      <c r="C865" s="37"/>
      <c r="D865" s="70">
        <v>1</v>
      </c>
      <c r="E865" s="70">
        <v>1</v>
      </c>
      <c r="F865" s="70">
        <v>1</v>
      </c>
      <c r="G865" s="67">
        <f t="shared" ref="G865:G882" si="452">IF(B865="","",IF( AND(D865=1, E865=1),1,0))</f>
        <v>1</v>
      </c>
      <c r="H865" s="67">
        <f t="shared" ref="H865:H882" si="453">IF(B865="","",IF(AND(D865=1,F865=1),1,0))</f>
        <v>1</v>
      </c>
      <c r="I865" s="67">
        <f t="shared" ref="I865:I882" si="454">IF(B865="","",IF(AND(E865=1,F865=1),1,0))</f>
        <v>1</v>
      </c>
      <c r="J865" s="73">
        <f t="shared" ref="J865" si="455">IF(B865="","",SUM(D865:F865))</f>
        <v>3</v>
      </c>
      <c r="K865" s="61"/>
      <c r="M865" s="7">
        <f t="shared" ref="M865" si="456">SUM(G865:I865)/3</f>
        <v>1</v>
      </c>
      <c r="N865" s="6">
        <f t="shared" ref="N865" si="457">SUM(G868:I868)/3</f>
        <v>1</v>
      </c>
      <c r="O865" s="7">
        <f t="shared" ref="O865" si="458">SUM(G871:I871)/3</f>
        <v>1</v>
      </c>
      <c r="P865" s="6">
        <f t="shared" ref="P865" si="459">SUM(G874:I874)/3</f>
        <v>1</v>
      </c>
      <c r="Q865" s="7">
        <f t="shared" ref="Q865" si="460">SUM(G877:I877)/3</f>
        <v>1</v>
      </c>
      <c r="R865" s="7">
        <f>SUM(G880:I880)/3</f>
        <v>0.33333333333333331</v>
      </c>
    </row>
    <row r="866" spans="1:18" x14ac:dyDescent="0.25">
      <c r="A866" s="2"/>
      <c r="B866" s="33" t="s">
        <v>371</v>
      </c>
      <c r="C866" s="37"/>
      <c r="D866" s="71">
        <v>1</v>
      </c>
      <c r="E866" s="71">
        <v>1</v>
      </c>
      <c r="F866" s="71">
        <v>0</v>
      </c>
      <c r="G866" s="68">
        <f t="shared" si="452"/>
        <v>1</v>
      </c>
      <c r="H866" s="68">
        <f t="shared" si="453"/>
        <v>0</v>
      </c>
      <c r="I866" s="68">
        <f t="shared" si="454"/>
        <v>0</v>
      </c>
      <c r="J866" s="74">
        <f t="shared" si="450"/>
        <v>2</v>
      </c>
      <c r="K866" s="62"/>
    </row>
    <row r="867" spans="1:18" x14ac:dyDescent="0.25">
      <c r="A867" s="3"/>
      <c r="B867" s="42"/>
      <c r="C867" s="42"/>
      <c r="D867" s="72"/>
      <c r="E867" s="72"/>
      <c r="F867" s="72"/>
      <c r="G867" s="69" t="str">
        <f t="shared" si="452"/>
        <v/>
      </c>
      <c r="H867" s="69" t="str">
        <f t="shared" si="453"/>
        <v/>
      </c>
      <c r="I867" s="69" t="str">
        <f t="shared" si="454"/>
        <v/>
      </c>
      <c r="J867" s="75" t="str">
        <f t="shared" si="450"/>
        <v/>
      </c>
      <c r="K867" s="63"/>
    </row>
    <row r="868" spans="1:18" x14ac:dyDescent="0.25">
      <c r="A868" s="4" t="s">
        <v>5</v>
      </c>
      <c r="B868" s="33" t="s">
        <v>288</v>
      </c>
      <c r="C868" s="33"/>
      <c r="D868" s="70">
        <v>1</v>
      </c>
      <c r="E868" s="70">
        <v>1</v>
      </c>
      <c r="F868" s="70">
        <v>1</v>
      </c>
      <c r="G868" s="67">
        <f t="shared" si="452"/>
        <v>1</v>
      </c>
      <c r="H868" s="67">
        <f t="shared" si="453"/>
        <v>1</v>
      </c>
      <c r="I868" s="67">
        <f t="shared" si="454"/>
        <v>1</v>
      </c>
      <c r="J868" s="73">
        <f t="shared" si="450"/>
        <v>3</v>
      </c>
      <c r="K868" s="61"/>
    </row>
    <row r="869" spans="1:18" x14ac:dyDescent="0.25">
      <c r="A869" s="2"/>
      <c r="B869" s="37"/>
      <c r="C869" s="37"/>
      <c r="D869" s="71"/>
      <c r="E869" s="71"/>
      <c r="F869" s="71"/>
      <c r="G869" s="68" t="str">
        <f t="shared" si="452"/>
        <v/>
      </c>
      <c r="H869" s="68" t="str">
        <f t="shared" si="453"/>
        <v/>
      </c>
      <c r="I869" s="68" t="str">
        <f t="shared" si="454"/>
        <v/>
      </c>
      <c r="J869" s="74" t="str">
        <f t="shared" si="450"/>
        <v/>
      </c>
      <c r="K869" s="62"/>
    </row>
    <row r="870" spans="1:18" x14ac:dyDescent="0.25">
      <c r="A870" s="3"/>
      <c r="B870" s="40"/>
      <c r="C870" s="37"/>
      <c r="D870" s="71"/>
      <c r="E870" s="71"/>
      <c r="F870" s="71"/>
      <c r="G870" s="69" t="str">
        <f t="shared" si="452"/>
        <v/>
      </c>
      <c r="H870" s="69" t="str">
        <f t="shared" si="453"/>
        <v/>
      </c>
      <c r="I870" s="69" t="str">
        <f t="shared" si="454"/>
        <v/>
      </c>
      <c r="J870" s="75" t="str">
        <f t="shared" si="450"/>
        <v/>
      </c>
      <c r="K870" s="63"/>
    </row>
    <row r="871" spans="1:18" x14ac:dyDescent="0.25">
      <c r="A871" s="4" t="s">
        <v>7</v>
      </c>
      <c r="B871" s="33" t="s">
        <v>38</v>
      </c>
      <c r="C871" s="33"/>
      <c r="D871" s="70">
        <v>1</v>
      </c>
      <c r="E871" s="70">
        <v>1</v>
      </c>
      <c r="F871" s="70">
        <v>1</v>
      </c>
      <c r="G871" s="67">
        <f t="shared" si="452"/>
        <v>1</v>
      </c>
      <c r="H871" s="67">
        <f t="shared" si="453"/>
        <v>1</v>
      </c>
      <c r="I871" s="67">
        <f t="shared" si="454"/>
        <v>1</v>
      </c>
      <c r="J871" s="73">
        <f t="shared" si="450"/>
        <v>3</v>
      </c>
      <c r="K871" s="61"/>
    </row>
    <row r="872" spans="1:18" x14ac:dyDescent="0.25">
      <c r="A872" s="2"/>
      <c r="B872" s="37"/>
      <c r="C872" s="37"/>
      <c r="D872" s="71"/>
      <c r="E872" s="71"/>
      <c r="F872" s="71"/>
      <c r="G872" s="68" t="str">
        <f t="shared" si="452"/>
        <v/>
      </c>
      <c r="H872" s="68" t="str">
        <f t="shared" si="453"/>
        <v/>
      </c>
      <c r="I872" s="68" t="str">
        <f t="shared" si="454"/>
        <v/>
      </c>
      <c r="J872" s="74" t="str">
        <f t="shared" si="450"/>
        <v/>
      </c>
      <c r="K872" s="62"/>
    </row>
    <row r="873" spans="1:18" x14ac:dyDescent="0.25">
      <c r="A873" s="3"/>
      <c r="B873" s="40"/>
      <c r="C873" s="40"/>
      <c r="D873" s="72"/>
      <c r="E873" s="72"/>
      <c r="F873" s="72"/>
      <c r="G873" s="69" t="str">
        <f t="shared" si="452"/>
        <v/>
      </c>
      <c r="H873" s="69" t="str">
        <f t="shared" si="453"/>
        <v/>
      </c>
      <c r="I873" s="69" t="str">
        <f t="shared" si="454"/>
        <v/>
      </c>
      <c r="J873" s="75" t="str">
        <f t="shared" si="450"/>
        <v/>
      </c>
      <c r="K873" s="63"/>
    </row>
    <row r="874" spans="1:18" x14ac:dyDescent="0.25">
      <c r="A874" s="4" t="s">
        <v>8</v>
      </c>
      <c r="B874" s="37" t="s">
        <v>380</v>
      </c>
      <c r="C874" s="37"/>
      <c r="D874" s="70">
        <v>1</v>
      </c>
      <c r="E874" s="70">
        <v>1</v>
      </c>
      <c r="F874" s="70">
        <v>1</v>
      </c>
      <c r="G874" s="67">
        <f t="shared" si="452"/>
        <v>1</v>
      </c>
      <c r="H874" s="67">
        <f t="shared" si="453"/>
        <v>1</v>
      </c>
      <c r="I874" s="67">
        <f t="shared" si="454"/>
        <v>1</v>
      </c>
      <c r="J874" s="73">
        <f t="shared" si="450"/>
        <v>3</v>
      </c>
      <c r="K874" s="61"/>
    </row>
    <row r="875" spans="1:18" x14ac:dyDescent="0.25">
      <c r="A875" s="2"/>
      <c r="B875" s="37" t="s">
        <v>1061</v>
      </c>
      <c r="C875" s="37"/>
      <c r="D875" s="71">
        <v>1</v>
      </c>
      <c r="E875" s="71">
        <v>1</v>
      </c>
      <c r="F875" s="71">
        <v>0</v>
      </c>
      <c r="G875" s="68">
        <f t="shared" si="452"/>
        <v>1</v>
      </c>
      <c r="H875" s="68">
        <f t="shared" si="453"/>
        <v>0</v>
      </c>
      <c r="I875" s="68">
        <f t="shared" si="454"/>
        <v>0</v>
      </c>
      <c r="J875" s="74">
        <f t="shared" si="450"/>
        <v>2</v>
      </c>
      <c r="K875" s="62"/>
    </row>
    <row r="876" spans="1:18" x14ac:dyDescent="0.25">
      <c r="A876" s="3"/>
      <c r="B876" s="40"/>
      <c r="C876" s="40"/>
      <c r="D876" s="72"/>
      <c r="E876" s="72"/>
      <c r="F876" s="72"/>
      <c r="G876" s="69" t="str">
        <f t="shared" si="452"/>
        <v/>
      </c>
      <c r="H876" s="69" t="str">
        <f t="shared" si="453"/>
        <v/>
      </c>
      <c r="I876" s="69" t="str">
        <f t="shared" si="454"/>
        <v/>
      </c>
      <c r="J876" s="75" t="str">
        <f t="shared" si="450"/>
        <v/>
      </c>
      <c r="K876" s="63"/>
    </row>
    <row r="877" spans="1:18" x14ac:dyDescent="0.25">
      <c r="A877" s="2" t="s">
        <v>9</v>
      </c>
      <c r="B877" s="37" t="s">
        <v>1105</v>
      </c>
      <c r="C877" s="37"/>
      <c r="D877" s="71">
        <v>1</v>
      </c>
      <c r="E877" s="71">
        <v>1</v>
      </c>
      <c r="F877" s="71">
        <v>1</v>
      </c>
      <c r="G877" s="68">
        <f t="shared" si="452"/>
        <v>1</v>
      </c>
      <c r="H877" s="68">
        <f t="shared" si="453"/>
        <v>1</v>
      </c>
      <c r="I877" s="68">
        <f t="shared" si="454"/>
        <v>1</v>
      </c>
      <c r="J877" s="74">
        <f t="shared" si="450"/>
        <v>3</v>
      </c>
      <c r="K877" s="62"/>
    </row>
    <row r="878" spans="1:18" x14ac:dyDescent="0.25">
      <c r="A878" s="2"/>
      <c r="B878" s="37"/>
      <c r="C878" s="37"/>
      <c r="D878" s="71"/>
      <c r="E878" s="71"/>
      <c r="F878" s="71"/>
      <c r="G878" s="68" t="str">
        <f t="shared" si="452"/>
        <v/>
      </c>
      <c r="H878" s="68" t="str">
        <f t="shared" si="453"/>
        <v/>
      </c>
      <c r="I878" s="68" t="str">
        <f t="shared" si="454"/>
        <v/>
      </c>
      <c r="J878" s="74" t="str">
        <f t="shared" si="450"/>
        <v/>
      </c>
      <c r="K878" s="62"/>
    </row>
    <row r="879" spans="1:18" x14ac:dyDescent="0.25">
      <c r="A879" s="3"/>
      <c r="B879" s="40"/>
      <c r="C879" s="40"/>
      <c r="D879" s="72"/>
      <c r="E879" s="72"/>
      <c r="F879" s="72"/>
      <c r="G879" s="69" t="str">
        <f t="shared" si="452"/>
        <v/>
      </c>
      <c r="H879" s="69" t="str">
        <f t="shared" si="453"/>
        <v/>
      </c>
      <c r="I879" s="69" t="str">
        <f t="shared" si="454"/>
        <v/>
      </c>
      <c r="J879" s="75" t="str">
        <f t="shared" si="450"/>
        <v/>
      </c>
      <c r="K879" s="63"/>
    </row>
    <row r="880" spans="1:18" x14ac:dyDescent="0.25">
      <c r="A880" s="2" t="s">
        <v>1224</v>
      </c>
      <c r="B880" s="39" t="s">
        <v>1377</v>
      </c>
      <c r="C880" s="39"/>
      <c r="D880" s="71">
        <v>1</v>
      </c>
      <c r="E880" s="71">
        <v>0</v>
      </c>
      <c r="F880" s="71">
        <v>1</v>
      </c>
      <c r="G880" s="68">
        <f t="shared" si="452"/>
        <v>0</v>
      </c>
      <c r="H880" s="68">
        <f t="shared" si="453"/>
        <v>1</v>
      </c>
      <c r="I880" s="68">
        <f t="shared" si="454"/>
        <v>0</v>
      </c>
      <c r="J880" s="74">
        <f t="shared" ref="J880:J882" si="461">IF(B880="","",SUM(D880:F880))</f>
        <v>2</v>
      </c>
      <c r="K880" s="62"/>
    </row>
    <row r="881" spans="1:18" x14ac:dyDescent="0.25">
      <c r="A881" s="2"/>
      <c r="B881" s="37"/>
      <c r="C881" s="37"/>
      <c r="D881" s="71"/>
      <c r="E881" s="71"/>
      <c r="F881" s="71"/>
      <c r="G881" s="68" t="str">
        <f t="shared" si="452"/>
        <v/>
      </c>
      <c r="H881" s="68" t="str">
        <f t="shared" si="453"/>
        <v/>
      </c>
      <c r="I881" s="68" t="str">
        <f t="shared" si="454"/>
        <v/>
      </c>
      <c r="J881" s="74" t="str">
        <f t="shared" si="461"/>
        <v/>
      </c>
      <c r="K881" s="62"/>
    </row>
    <row r="882" spans="1:18" x14ac:dyDescent="0.25">
      <c r="A882" s="3"/>
      <c r="B882" s="40"/>
      <c r="C882" s="40"/>
      <c r="D882" s="72"/>
      <c r="E882" s="72"/>
      <c r="F882" s="72"/>
      <c r="G882" s="69" t="str">
        <f t="shared" si="452"/>
        <v/>
      </c>
      <c r="H882" s="69" t="str">
        <f t="shared" si="453"/>
        <v/>
      </c>
      <c r="I882" s="69" t="str">
        <f t="shared" si="454"/>
        <v/>
      </c>
      <c r="J882" s="75" t="str">
        <f t="shared" si="461"/>
        <v/>
      </c>
      <c r="K882" s="63"/>
    </row>
    <row r="884" spans="1:18" x14ac:dyDescent="0.25">
      <c r="A884" s="81">
        <v>45</v>
      </c>
      <c r="B884" s="49" t="s">
        <v>1162</v>
      </c>
      <c r="C884" s="31" t="s">
        <v>1440</v>
      </c>
      <c r="D884" s="76"/>
      <c r="E884" s="66"/>
      <c r="F884" s="66"/>
      <c r="G884" s="66"/>
      <c r="H884" s="66"/>
      <c r="I884" s="66"/>
      <c r="J884" s="60"/>
      <c r="K884" s="60"/>
    </row>
    <row r="885" spans="1:18" x14ac:dyDescent="0.25">
      <c r="A885" s="4" t="s">
        <v>6</v>
      </c>
      <c r="B885" s="37" t="s">
        <v>371</v>
      </c>
      <c r="C885" s="37"/>
      <c r="D885" s="70">
        <v>0</v>
      </c>
      <c r="E885" s="70">
        <v>1</v>
      </c>
      <c r="F885" s="70">
        <v>1</v>
      </c>
      <c r="G885" s="67">
        <f t="shared" ref="G885:G902" si="462">IF(B885="","",IF( AND(D885=1, E885=1),1,0))</f>
        <v>0</v>
      </c>
      <c r="H885" s="67">
        <f t="shared" ref="H885:H902" si="463">IF(B885="","",IF(AND(D885=1,F885=1),1,0))</f>
        <v>0</v>
      </c>
      <c r="I885" s="67">
        <f t="shared" ref="I885:I902" si="464">IF(B885="","",IF(AND(E885=1,F885=1),1,0))</f>
        <v>1</v>
      </c>
      <c r="J885" s="73">
        <f t="shared" ref="J885" si="465">IF(B885="","",SUM(D885:F885))</f>
        <v>2</v>
      </c>
      <c r="K885" s="61"/>
      <c r="M885" s="7">
        <f t="shared" ref="M885" si="466">SUM(G885:I885)/3</f>
        <v>0.33333333333333331</v>
      </c>
      <c r="N885" s="6">
        <f t="shared" ref="N885" si="467">SUM(G888:I888)/3</f>
        <v>1</v>
      </c>
      <c r="O885" s="7">
        <f t="shared" ref="O885" si="468">SUM(G891:I891)/3</f>
        <v>1</v>
      </c>
      <c r="P885" s="6">
        <f t="shared" ref="P885" si="469">SUM(G894:I894)/3</f>
        <v>1</v>
      </c>
      <c r="Q885" s="7">
        <f t="shared" ref="Q885" si="470">SUM(G897:I897)/3</f>
        <v>0.33333333333333331</v>
      </c>
      <c r="R885" s="7">
        <f>SUM(G900:I900)/3</f>
        <v>0</v>
      </c>
    </row>
    <row r="886" spans="1:18" x14ac:dyDescent="0.25">
      <c r="A886" s="2"/>
      <c r="B886" s="37" t="s">
        <v>421</v>
      </c>
      <c r="C886" s="37"/>
      <c r="D886" s="71">
        <v>0</v>
      </c>
      <c r="E886" s="71">
        <v>1</v>
      </c>
      <c r="F886" s="71">
        <v>1</v>
      </c>
      <c r="G886" s="68">
        <f t="shared" si="462"/>
        <v>0</v>
      </c>
      <c r="H886" s="68">
        <f t="shared" si="463"/>
        <v>0</v>
      </c>
      <c r="I886" s="68">
        <f t="shared" si="464"/>
        <v>1</v>
      </c>
      <c r="J886" s="74">
        <f t="shared" si="450"/>
        <v>2</v>
      </c>
      <c r="K886" s="62"/>
    </row>
    <row r="887" spans="1:18" x14ac:dyDescent="0.25">
      <c r="A887" s="3"/>
      <c r="B887" s="42"/>
      <c r="C887" s="42"/>
      <c r="D887" s="72"/>
      <c r="E887" s="72"/>
      <c r="F887" s="72"/>
      <c r="G887" s="69" t="str">
        <f t="shared" si="462"/>
        <v/>
      </c>
      <c r="H887" s="69" t="str">
        <f t="shared" si="463"/>
        <v/>
      </c>
      <c r="I887" s="69" t="str">
        <f t="shared" si="464"/>
        <v/>
      </c>
      <c r="J887" s="75" t="str">
        <f t="shared" si="450"/>
        <v/>
      </c>
      <c r="K887" s="63"/>
    </row>
    <row r="888" spans="1:18" x14ac:dyDescent="0.25">
      <c r="A888" s="4" t="s">
        <v>5</v>
      </c>
      <c r="B888" s="33" t="s">
        <v>37</v>
      </c>
      <c r="C888" s="33"/>
      <c r="D888" s="70">
        <v>1</v>
      </c>
      <c r="E888" s="70">
        <v>1</v>
      </c>
      <c r="F888" s="70">
        <v>1</v>
      </c>
      <c r="G888" s="67">
        <f t="shared" si="462"/>
        <v>1</v>
      </c>
      <c r="H888" s="67">
        <f t="shared" si="463"/>
        <v>1</v>
      </c>
      <c r="I888" s="67">
        <f t="shared" si="464"/>
        <v>1</v>
      </c>
      <c r="J888" s="73">
        <f t="shared" si="450"/>
        <v>3</v>
      </c>
      <c r="K888" s="61"/>
    </row>
    <row r="889" spans="1:18" x14ac:dyDescent="0.25">
      <c r="A889" s="2"/>
      <c r="B889" s="37"/>
      <c r="C889" s="37"/>
      <c r="D889" s="71"/>
      <c r="E889" s="71"/>
      <c r="F889" s="71"/>
      <c r="G889" s="68" t="str">
        <f t="shared" si="462"/>
        <v/>
      </c>
      <c r="H889" s="68" t="str">
        <f t="shared" si="463"/>
        <v/>
      </c>
      <c r="I889" s="68" t="str">
        <f t="shared" si="464"/>
        <v/>
      </c>
      <c r="J889" s="74" t="str">
        <f t="shared" si="450"/>
        <v/>
      </c>
      <c r="K889" s="62"/>
    </row>
    <row r="890" spans="1:18" x14ac:dyDescent="0.25">
      <c r="A890" s="3"/>
      <c r="B890" s="40"/>
      <c r="C890" s="37"/>
      <c r="D890" s="71"/>
      <c r="E890" s="71"/>
      <c r="F890" s="71"/>
      <c r="G890" s="69" t="str">
        <f t="shared" si="462"/>
        <v/>
      </c>
      <c r="H890" s="69" t="str">
        <f t="shared" si="463"/>
        <v/>
      </c>
      <c r="I890" s="69" t="str">
        <f t="shared" si="464"/>
        <v/>
      </c>
      <c r="J890" s="75" t="str">
        <f t="shared" si="450"/>
        <v/>
      </c>
      <c r="K890" s="63"/>
    </row>
    <row r="891" spans="1:18" x14ac:dyDescent="0.25">
      <c r="A891" s="4" t="s">
        <v>7</v>
      </c>
      <c r="B891" s="33" t="s">
        <v>38</v>
      </c>
      <c r="C891" s="33"/>
      <c r="D891" s="70">
        <v>1</v>
      </c>
      <c r="E891" s="70">
        <v>1</v>
      </c>
      <c r="F891" s="70">
        <v>1</v>
      </c>
      <c r="G891" s="67">
        <f t="shared" si="462"/>
        <v>1</v>
      </c>
      <c r="H891" s="67">
        <f t="shared" si="463"/>
        <v>1</v>
      </c>
      <c r="I891" s="67">
        <f t="shared" si="464"/>
        <v>1</v>
      </c>
      <c r="J891" s="73">
        <f t="shared" si="450"/>
        <v>3</v>
      </c>
      <c r="K891" s="61"/>
    </row>
    <row r="892" spans="1:18" x14ac:dyDescent="0.25">
      <c r="A892" s="2"/>
      <c r="B892" s="37"/>
      <c r="C892" s="37"/>
      <c r="D892" s="71"/>
      <c r="E892" s="71"/>
      <c r="F892" s="71"/>
      <c r="G892" s="68" t="str">
        <f t="shared" si="462"/>
        <v/>
      </c>
      <c r="H892" s="68" t="str">
        <f t="shared" si="463"/>
        <v/>
      </c>
      <c r="I892" s="68" t="str">
        <f t="shared" si="464"/>
        <v/>
      </c>
      <c r="J892" s="74" t="str">
        <f t="shared" si="450"/>
        <v/>
      </c>
      <c r="K892" s="62"/>
    </row>
    <row r="893" spans="1:18" x14ac:dyDescent="0.25">
      <c r="A893" s="3"/>
      <c r="B893" s="40"/>
      <c r="C893" s="40"/>
      <c r="D893" s="72"/>
      <c r="E893" s="72"/>
      <c r="F893" s="72"/>
      <c r="G893" s="69" t="str">
        <f t="shared" si="462"/>
        <v/>
      </c>
      <c r="H893" s="69" t="str">
        <f t="shared" si="463"/>
        <v/>
      </c>
      <c r="I893" s="69" t="str">
        <f t="shared" si="464"/>
        <v/>
      </c>
      <c r="J893" s="75" t="str">
        <f t="shared" si="450"/>
        <v/>
      </c>
      <c r="K893" s="63"/>
    </row>
    <row r="894" spans="1:18" x14ac:dyDescent="0.25">
      <c r="A894" s="4" t="s">
        <v>8</v>
      </c>
      <c r="B894" s="37" t="s">
        <v>1062</v>
      </c>
      <c r="C894" s="37"/>
      <c r="D894" s="70">
        <v>1</v>
      </c>
      <c r="E894" s="70">
        <v>1</v>
      </c>
      <c r="F894" s="70">
        <v>1</v>
      </c>
      <c r="G894" s="67">
        <f t="shared" si="462"/>
        <v>1</v>
      </c>
      <c r="H894" s="67">
        <f t="shared" si="463"/>
        <v>1</v>
      </c>
      <c r="I894" s="67">
        <f t="shared" si="464"/>
        <v>1</v>
      </c>
      <c r="J894" s="73">
        <f t="shared" si="450"/>
        <v>3</v>
      </c>
      <c r="K894" s="61"/>
    </row>
    <row r="895" spans="1:18" x14ac:dyDescent="0.25">
      <c r="A895" s="2"/>
      <c r="B895" s="37"/>
      <c r="C895" s="37"/>
      <c r="D895" s="71"/>
      <c r="E895" s="71"/>
      <c r="F895" s="71"/>
      <c r="G895" s="68" t="str">
        <f t="shared" si="462"/>
        <v/>
      </c>
      <c r="H895" s="68" t="str">
        <f t="shared" si="463"/>
        <v/>
      </c>
      <c r="I895" s="68" t="str">
        <f t="shared" si="464"/>
        <v/>
      </c>
      <c r="J895" s="74" t="str">
        <f t="shared" si="450"/>
        <v/>
      </c>
      <c r="K895" s="62"/>
    </row>
    <row r="896" spans="1:18" x14ac:dyDescent="0.25">
      <c r="A896" s="3"/>
      <c r="B896" s="40"/>
      <c r="C896" s="40"/>
      <c r="D896" s="72"/>
      <c r="E896" s="72"/>
      <c r="F896" s="72"/>
      <c r="G896" s="69" t="str">
        <f t="shared" si="462"/>
        <v/>
      </c>
      <c r="H896" s="69" t="str">
        <f t="shared" si="463"/>
        <v/>
      </c>
      <c r="I896" s="69" t="str">
        <f t="shared" si="464"/>
        <v/>
      </c>
      <c r="J896" s="75" t="str">
        <f t="shared" si="450"/>
        <v/>
      </c>
      <c r="K896" s="63"/>
    </row>
    <row r="897" spans="1:18" x14ac:dyDescent="0.25">
      <c r="A897" s="2" t="s">
        <v>9</v>
      </c>
      <c r="B897" s="37" t="s">
        <v>918</v>
      </c>
      <c r="C897" s="37"/>
      <c r="D897" s="71">
        <v>1</v>
      </c>
      <c r="E897" s="71">
        <v>1</v>
      </c>
      <c r="F897" s="71">
        <v>0</v>
      </c>
      <c r="G897" s="68">
        <f t="shared" si="462"/>
        <v>1</v>
      </c>
      <c r="H897" s="68">
        <f t="shared" si="463"/>
        <v>0</v>
      </c>
      <c r="I897" s="68">
        <f t="shared" si="464"/>
        <v>0</v>
      </c>
      <c r="J897" s="74">
        <f t="shared" si="450"/>
        <v>2</v>
      </c>
      <c r="K897" s="62"/>
    </row>
    <row r="898" spans="1:18" x14ac:dyDescent="0.25">
      <c r="A898" s="2"/>
      <c r="B898" s="37"/>
      <c r="C898" s="37"/>
      <c r="D898" s="71"/>
      <c r="E898" s="71"/>
      <c r="F898" s="71"/>
      <c r="G898" s="68" t="str">
        <f t="shared" si="462"/>
        <v/>
      </c>
      <c r="H898" s="68" t="str">
        <f t="shared" si="463"/>
        <v/>
      </c>
      <c r="I898" s="68" t="str">
        <f t="shared" si="464"/>
        <v/>
      </c>
      <c r="J898" s="74" t="str">
        <f t="shared" si="450"/>
        <v/>
      </c>
      <c r="K898" s="62"/>
    </row>
    <row r="899" spans="1:18" x14ac:dyDescent="0.25">
      <c r="A899" s="3"/>
      <c r="B899" s="40"/>
      <c r="C899" s="40"/>
      <c r="D899" s="72"/>
      <c r="E899" s="72"/>
      <c r="F899" s="72"/>
      <c r="G899" s="69" t="str">
        <f t="shared" si="462"/>
        <v/>
      </c>
      <c r="H899" s="69" t="str">
        <f t="shared" si="463"/>
        <v/>
      </c>
      <c r="I899" s="69" t="str">
        <f t="shared" si="464"/>
        <v/>
      </c>
      <c r="J899" s="75" t="str">
        <f t="shared" si="450"/>
        <v/>
      </c>
      <c r="K899" s="63"/>
    </row>
    <row r="900" spans="1:18" x14ac:dyDescent="0.25">
      <c r="A900" s="2" t="s">
        <v>1224</v>
      </c>
      <c r="B900" s="37"/>
      <c r="C900" s="37"/>
      <c r="D900" s="71"/>
      <c r="E900" s="71"/>
      <c r="F900" s="71"/>
      <c r="G900" s="68" t="str">
        <f t="shared" si="462"/>
        <v/>
      </c>
      <c r="H900" s="68" t="str">
        <f t="shared" si="463"/>
        <v/>
      </c>
      <c r="I900" s="68" t="str">
        <f t="shared" si="464"/>
        <v/>
      </c>
      <c r="J900" s="74" t="str">
        <f t="shared" ref="J900:J902" si="471">IF(B900="","",SUM(D900:F900))</f>
        <v/>
      </c>
      <c r="K900" s="62"/>
    </row>
    <row r="901" spans="1:18" x14ac:dyDescent="0.25">
      <c r="A901" s="2"/>
      <c r="B901" s="37"/>
      <c r="C901" s="37"/>
      <c r="D901" s="71"/>
      <c r="E901" s="71"/>
      <c r="F901" s="71"/>
      <c r="G901" s="68" t="str">
        <f t="shared" si="462"/>
        <v/>
      </c>
      <c r="H901" s="68" t="str">
        <f t="shared" si="463"/>
        <v/>
      </c>
      <c r="I901" s="68" t="str">
        <f t="shared" si="464"/>
        <v/>
      </c>
      <c r="J901" s="74" t="str">
        <f t="shared" si="471"/>
        <v/>
      </c>
      <c r="K901" s="62"/>
    </row>
    <row r="902" spans="1:18" x14ac:dyDescent="0.25">
      <c r="A902" s="3"/>
      <c r="B902" s="40"/>
      <c r="C902" s="40"/>
      <c r="D902" s="72"/>
      <c r="E902" s="72"/>
      <c r="F902" s="72"/>
      <c r="G902" s="69" t="str">
        <f t="shared" si="462"/>
        <v/>
      </c>
      <c r="H902" s="69" t="str">
        <f t="shared" si="463"/>
        <v/>
      </c>
      <c r="I902" s="69" t="str">
        <f t="shared" si="464"/>
        <v/>
      </c>
      <c r="J902" s="75" t="str">
        <f t="shared" si="471"/>
        <v/>
      </c>
      <c r="K902" s="63"/>
    </row>
    <row r="904" spans="1:18" x14ac:dyDescent="0.25">
      <c r="A904" s="81">
        <v>46</v>
      </c>
      <c r="B904" s="49" t="s">
        <v>1223</v>
      </c>
      <c r="C904" s="31" t="s">
        <v>1441</v>
      </c>
      <c r="D904" s="76"/>
      <c r="E904" s="66"/>
      <c r="F904" s="66"/>
      <c r="G904" s="66"/>
      <c r="H904" s="66"/>
      <c r="I904" s="66"/>
      <c r="J904" s="60"/>
      <c r="K904" s="60"/>
    </row>
    <row r="905" spans="1:18" x14ac:dyDescent="0.25">
      <c r="A905" s="4" t="s">
        <v>6</v>
      </c>
      <c r="B905" s="37" t="s">
        <v>423</v>
      </c>
      <c r="C905" s="37"/>
      <c r="D905" s="70">
        <v>1</v>
      </c>
      <c r="E905" s="70">
        <v>1</v>
      </c>
      <c r="F905" s="70">
        <v>0</v>
      </c>
      <c r="G905" s="67">
        <f t="shared" ref="G905:G922" si="472">IF(B905="","",IF( AND(D905=1, E905=1),1,0))</f>
        <v>1</v>
      </c>
      <c r="H905" s="67">
        <f t="shared" ref="H905:H922" si="473">IF(B905="","",IF(AND(D905=1,F905=1),1,0))</f>
        <v>0</v>
      </c>
      <c r="I905" s="67">
        <f t="shared" ref="I905:I922" si="474">IF(B905="","",IF(AND(E905=1,F905=1),1,0))</f>
        <v>0</v>
      </c>
      <c r="J905" s="73">
        <f t="shared" ref="J905" si="475">IF(B905="","",SUM(D905:F905))</f>
        <v>2</v>
      </c>
      <c r="K905" s="61"/>
      <c r="M905" s="7">
        <f t="shared" ref="M905" si="476">SUM(G905:I905)/3</f>
        <v>0.33333333333333331</v>
      </c>
      <c r="N905" s="6">
        <f t="shared" ref="N905" si="477">SUM(G908:I908)/3</f>
        <v>0</v>
      </c>
      <c r="O905" s="7">
        <f t="shared" ref="O905" si="478">SUM(G911:I911)/3</f>
        <v>0.33333333333333331</v>
      </c>
      <c r="P905" s="6">
        <f t="shared" ref="P905" si="479">SUM(G914:I914)/3</f>
        <v>1</v>
      </c>
      <c r="Q905" s="7">
        <f t="shared" ref="Q905" si="480">SUM(G917:I917)/3</f>
        <v>1</v>
      </c>
      <c r="R905" s="7">
        <f>SUM(G920:I920)/3</f>
        <v>0.33333333333333331</v>
      </c>
    </row>
    <row r="906" spans="1:18" x14ac:dyDescent="0.25">
      <c r="A906" s="2"/>
      <c r="B906" s="37" t="s">
        <v>921</v>
      </c>
      <c r="C906" s="37"/>
      <c r="D906" s="71">
        <v>1</v>
      </c>
      <c r="E906" s="71">
        <v>0</v>
      </c>
      <c r="F906" s="71">
        <v>1</v>
      </c>
      <c r="G906" s="68">
        <f t="shared" si="472"/>
        <v>0</v>
      </c>
      <c r="H906" s="68">
        <f t="shared" si="473"/>
        <v>1</v>
      </c>
      <c r="I906" s="68">
        <f t="shared" si="474"/>
        <v>0</v>
      </c>
      <c r="J906" s="74">
        <f t="shared" si="450"/>
        <v>2</v>
      </c>
      <c r="K906" s="62"/>
    </row>
    <row r="907" spans="1:18" x14ac:dyDescent="0.25">
      <c r="A907" s="3"/>
      <c r="B907" s="42"/>
      <c r="C907" s="42"/>
      <c r="D907" s="72"/>
      <c r="E907" s="72"/>
      <c r="F907" s="72"/>
      <c r="G907" s="69" t="str">
        <f t="shared" si="472"/>
        <v/>
      </c>
      <c r="H907" s="69" t="str">
        <f t="shared" si="473"/>
        <v/>
      </c>
      <c r="I907" s="69" t="str">
        <f t="shared" si="474"/>
        <v/>
      </c>
      <c r="J907" s="75" t="str">
        <f t="shared" si="450"/>
        <v/>
      </c>
      <c r="K907" s="63"/>
    </row>
    <row r="908" spans="1:18" x14ac:dyDescent="0.25">
      <c r="A908" s="4" t="s">
        <v>5</v>
      </c>
      <c r="B908" s="33" t="s">
        <v>922</v>
      </c>
      <c r="C908" s="33"/>
      <c r="D908" s="70">
        <v>1</v>
      </c>
      <c r="E908" s="70">
        <v>0</v>
      </c>
      <c r="F908" s="70">
        <v>0</v>
      </c>
      <c r="G908" s="67">
        <f t="shared" si="472"/>
        <v>0</v>
      </c>
      <c r="H908" s="67">
        <f t="shared" si="473"/>
        <v>0</v>
      </c>
      <c r="I908" s="67">
        <f t="shared" si="474"/>
        <v>0</v>
      </c>
      <c r="J908" s="73">
        <f t="shared" si="450"/>
        <v>1</v>
      </c>
      <c r="K908" s="61"/>
    </row>
    <row r="909" spans="1:18" x14ac:dyDescent="0.25">
      <c r="A909" s="2"/>
      <c r="B909" s="37" t="s">
        <v>61</v>
      </c>
      <c r="C909" s="37"/>
      <c r="D909" s="71">
        <v>0</v>
      </c>
      <c r="E909" s="71">
        <v>1</v>
      </c>
      <c r="F909" s="71">
        <v>0</v>
      </c>
      <c r="G909" s="68">
        <f t="shared" si="472"/>
        <v>0</v>
      </c>
      <c r="H909" s="68">
        <f t="shared" si="473"/>
        <v>0</v>
      </c>
      <c r="I909" s="68">
        <f t="shared" si="474"/>
        <v>0</v>
      </c>
      <c r="J909" s="74">
        <f t="shared" si="450"/>
        <v>1</v>
      </c>
      <c r="K909" s="62"/>
    </row>
    <row r="910" spans="1:18" x14ac:dyDescent="0.25">
      <c r="A910" s="3"/>
      <c r="B910" s="40" t="s">
        <v>1105</v>
      </c>
      <c r="C910" s="37"/>
      <c r="D910" s="71">
        <v>0</v>
      </c>
      <c r="E910" s="71">
        <v>0</v>
      </c>
      <c r="F910" s="71">
        <v>1</v>
      </c>
      <c r="G910" s="69">
        <f t="shared" si="472"/>
        <v>0</v>
      </c>
      <c r="H910" s="69">
        <f t="shared" si="473"/>
        <v>0</v>
      </c>
      <c r="I910" s="69">
        <f t="shared" si="474"/>
        <v>0</v>
      </c>
      <c r="J910" s="75">
        <f t="shared" si="450"/>
        <v>1</v>
      </c>
      <c r="K910" s="63"/>
    </row>
    <row r="911" spans="1:18" x14ac:dyDescent="0.25">
      <c r="A911" s="4" t="s">
        <v>7</v>
      </c>
      <c r="B911" s="33" t="s">
        <v>101</v>
      </c>
      <c r="C911" s="33"/>
      <c r="D911" s="70">
        <v>0</v>
      </c>
      <c r="E911" s="70">
        <v>1</v>
      </c>
      <c r="F911" s="70">
        <v>1</v>
      </c>
      <c r="G911" s="67">
        <f t="shared" si="472"/>
        <v>0</v>
      </c>
      <c r="H911" s="67">
        <f t="shared" si="473"/>
        <v>0</v>
      </c>
      <c r="I911" s="67">
        <f t="shared" si="474"/>
        <v>1</v>
      </c>
      <c r="J911" s="73">
        <f t="shared" si="450"/>
        <v>2</v>
      </c>
      <c r="K911" s="61"/>
    </row>
    <row r="912" spans="1:18" x14ac:dyDescent="0.25">
      <c r="A912" s="2"/>
      <c r="B912" s="37" t="s">
        <v>61</v>
      </c>
      <c r="C912" s="37"/>
      <c r="D912" s="71">
        <v>1</v>
      </c>
      <c r="E912" s="71">
        <v>1</v>
      </c>
      <c r="F912" s="71">
        <v>0</v>
      </c>
      <c r="G912" s="68">
        <f t="shared" si="472"/>
        <v>1</v>
      </c>
      <c r="H912" s="68">
        <f t="shared" si="473"/>
        <v>0</v>
      </c>
      <c r="I912" s="68">
        <f t="shared" si="474"/>
        <v>0</v>
      </c>
      <c r="J912" s="74">
        <f t="shared" si="450"/>
        <v>2</v>
      </c>
      <c r="K912" s="62"/>
    </row>
    <row r="913" spans="1:18" x14ac:dyDescent="0.25">
      <c r="A913" s="3"/>
      <c r="B913" s="40"/>
      <c r="C913" s="40"/>
      <c r="D913" s="72"/>
      <c r="E913" s="72"/>
      <c r="F913" s="72"/>
      <c r="G913" s="69" t="str">
        <f t="shared" si="472"/>
        <v/>
      </c>
      <c r="H913" s="69" t="str">
        <f t="shared" si="473"/>
        <v/>
      </c>
      <c r="I913" s="69" t="str">
        <f t="shared" si="474"/>
        <v/>
      </c>
      <c r="J913" s="75" t="str">
        <f t="shared" si="450"/>
        <v/>
      </c>
      <c r="K913" s="63"/>
    </row>
    <row r="914" spans="1:18" x14ac:dyDescent="0.25">
      <c r="A914" s="4" t="s">
        <v>8</v>
      </c>
      <c r="B914" s="37" t="s">
        <v>51</v>
      </c>
      <c r="C914" s="37"/>
      <c r="D914" s="70">
        <v>1</v>
      </c>
      <c r="E914" s="70">
        <v>1</v>
      </c>
      <c r="F914" s="70">
        <v>1</v>
      </c>
      <c r="G914" s="67">
        <f t="shared" si="472"/>
        <v>1</v>
      </c>
      <c r="H914" s="67">
        <f t="shared" si="473"/>
        <v>1</v>
      </c>
      <c r="I914" s="67">
        <f t="shared" si="474"/>
        <v>1</v>
      </c>
      <c r="J914" s="73">
        <f t="shared" si="450"/>
        <v>3</v>
      </c>
      <c r="K914" s="61"/>
    </row>
    <row r="915" spans="1:18" x14ac:dyDescent="0.25">
      <c r="A915" s="2"/>
      <c r="B915" s="37" t="s">
        <v>425</v>
      </c>
      <c r="C915" s="37"/>
      <c r="D915" s="71">
        <v>1</v>
      </c>
      <c r="E915" s="71">
        <v>1</v>
      </c>
      <c r="F915" s="71">
        <v>1</v>
      </c>
      <c r="G915" s="68">
        <f t="shared" si="472"/>
        <v>1</v>
      </c>
      <c r="H915" s="68">
        <f t="shared" si="473"/>
        <v>1</v>
      </c>
      <c r="I915" s="68">
        <f t="shared" si="474"/>
        <v>1</v>
      </c>
      <c r="J915" s="74">
        <f t="shared" si="450"/>
        <v>3</v>
      </c>
      <c r="K915" s="62"/>
    </row>
    <row r="916" spans="1:18" x14ac:dyDescent="0.25">
      <c r="A916" s="3"/>
      <c r="B916" s="40"/>
      <c r="C916" s="40"/>
      <c r="D916" s="72"/>
      <c r="E916" s="72"/>
      <c r="F916" s="72"/>
      <c r="G916" s="69" t="str">
        <f t="shared" si="472"/>
        <v/>
      </c>
      <c r="H916" s="69" t="str">
        <f t="shared" si="473"/>
        <v/>
      </c>
      <c r="I916" s="69" t="str">
        <f t="shared" si="474"/>
        <v/>
      </c>
      <c r="J916" s="75" t="str">
        <f t="shared" si="450"/>
        <v/>
      </c>
      <c r="K916" s="63"/>
    </row>
    <row r="917" spans="1:18" x14ac:dyDescent="0.25">
      <c r="A917" s="2" t="s">
        <v>9</v>
      </c>
      <c r="B917" s="37" t="s">
        <v>426</v>
      </c>
      <c r="C917" s="37"/>
      <c r="D917" s="71">
        <v>1</v>
      </c>
      <c r="E917" s="71">
        <v>1</v>
      </c>
      <c r="F917" s="71">
        <v>1</v>
      </c>
      <c r="G917" s="68">
        <f t="shared" si="472"/>
        <v>1</v>
      </c>
      <c r="H917" s="68">
        <f t="shared" si="473"/>
        <v>1</v>
      </c>
      <c r="I917" s="68">
        <f t="shared" si="474"/>
        <v>1</v>
      </c>
      <c r="J917" s="74">
        <f t="shared" si="450"/>
        <v>3</v>
      </c>
      <c r="K917" s="62"/>
    </row>
    <row r="918" spans="1:18" x14ac:dyDescent="0.25">
      <c r="A918" s="2"/>
      <c r="B918" s="37"/>
      <c r="C918" s="37"/>
      <c r="D918" s="71"/>
      <c r="E918" s="71"/>
      <c r="F918" s="71"/>
      <c r="G918" s="68" t="str">
        <f t="shared" si="472"/>
        <v/>
      </c>
      <c r="H918" s="68" t="str">
        <f t="shared" si="473"/>
        <v/>
      </c>
      <c r="I918" s="68" t="str">
        <f t="shared" si="474"/>
        <v/>
      </c>
      <c r="J918" s="74" t="str">
        <f t="shared" si="450"/>
        <v/>
      </c>
      <c r="K918" s="62"/>
    </row>
    <row r="919" spans="1:18" x14ac:dyDescent="0.25">
      <c r="A919" s="3"/>
      <c r="B919" s="40"/>
      <c r="C919" s="40"/>
      <c r="D919" s="72"/>
      <c r="E919" s="72"/>
      <c r="F919" s="72"/>
      <c r="G919" s="69" t="str">
        <f t="shared" si="472"/>
        <v/>
      </c>
      <c r="H919" s="69" t="str">
        <f t="shared" si="473"/>
        <v/>
      </c>
      <c r="I919" s="69" t="str">
        <f t="shared" si="474"/>
        <v/>
      </c>
      <c r="J919" s="75" t="str">
        <f t="shared" si="450"/>
        <v/>
      </c>
      <c r="K919" s="63"/>
    </row>
    <row r="920" spans="1:18" x14ac:dyDescent="0.25">
      <c r="A920" s="2" t="s">
        <v>1224</v>
      </c>
      <c r="B920" s="39" t="s">
        <v>751</v>
      </c>
      <c r="C920" s="39"/>
      <c r="D920" s="71">
        <v>1</v>
      </c>
      <c r="E920" s="71">
        <v>0</v>
      </c>
      <c r="F920" s="71">
        <v>1</v>
      </c>
      <c r="G920" s="68">
        <f t="shared" si="472"/>
        <v>0</v>
      </c>
      <c r="H920" s="68">
        <f t="shared" si="473"/>
        <v>1</v>
      </c>
      <c r="I920" s="68">
        <f t="shared" si="474"/>
        <v>0</v>
      </c>
      <c r="J920" s="74">
        <f t="shared" ref="J920:J922" si="481">IF(B920="","",SUM(D920:F920))</f>
        <v>2</v>
      </c>
      <c r="K920" s="62"/>
    </row>
    <row r="921" spans="1:18" x14ac:dyDescent="0.25">
      <c r="A921" s="2"/>
      <c r="B921" s="37" t="s">
        <v>845</v>
      </c>
      <c r="C921" s="37"/>
      <c r="D921" s="71">
        <v>0</v>
      </c>
      <c r="E921" s="71">
        <v>1</v>
      </c>
      <c r="F921" s="71">
        <v>0</v>
      </c>
      <c r="G921" s="68">
        <f t="shared" si="472"/>
        <v>0</v>
      </c>
      <c r="H921" s="68">
        <f t="shared" si="473"/>
        <v>0</v>
      </c>
      <c r="I921" s="68">
        <f t="shared" si="474"/>
        <v>0</v>
      </c>
      <c r="J921" s="74">
        <f t="shared" si="481"/>
        <v>1</v>
      </c>
      <c r="K921" s="62"/>
    </row>
    <row r="922" spans="1:18" x14ac:dyDescent="0.25">
      <c r="A922" s="3"/>
      <c r="B922" s="40"/>
      <c r="C922" s="40"/>
      <c r="D922" s="72"/>
      <c r="E922" s="72"/>
      <c r="F922" s="72"/>
      <c r="G922" s="69" t="str">
        <f t="shared" si="472"/>
        <v/>
      </c>
      <c r="H922" s="69" t="str">
        <f t="shared" si="473"/>
        <v/>
      </c>
      <c r="I922" s="69" t="str">
        <f t="shared" si="474"/>
        <v/>
      </c>
      <c r="J922" s="75" t="str">
        <f t="shared" si="481"/>
        <v/>
      </c>
      <c r="K922" s="63"/>
    </row>
    <row r="924" spans="1:18" x14ac:dyDescent="0.25">
      <c r="A924" s="81">
        <v>47</v>
      </c>
      <c r="B924" s="49" t="s">
        <v>1163</v>
      </c>
      <c r="C924" s="31" t="s">
        <v>1442</v>
      </c>
      <c r="D924" s="76"/>
      <c r="E924" s="66"/>
      <c r="F924" s="66"/>
      <c r="G924" s="66"/>
      <c r="H924" s="66"/>
      <c r="I924" s="66"/>
      <c r="J924" s="60"/>
      <c r="K924" s="60"/>
    </row>
    <row r="925" spans="1:18" x14ac:dyDescent="0.25">
      <c r="A925" s="4" t="s">
        <v>6</v>
      </c>
      <c r="B925" s="37" t="s">
        <v>660</v>
      </c>
      <c r="C925" s="37"/>
      <c r="D925" s="70">
        <v>1</v>
      </c>
      <c r="E925" s="70">
        <v>1</v>
      </c>
      <c r="F925" s="70">
        <v>1</v>
      </c>
      <c r="G925" s="67">
        <f t="shared" ref="G925:G942" si="482">IF(B925="","",IF( AND(D925=1, E925=1),1,0))</f>
        <v>1</v>
      </c>
      <c r="H925" s="67">
        <f t="shared" ref="H925:H942" si="483">IF(B925="","",IF(AND(D925=1,F925=1),1,0))</f>
        <v>1</v>
      </c>
      <c r="I925" s="67">
        <f t="shared" ref="I925:I942" si="484">IF(B925="","",IF(AND(E925=1,F925=1),1,0))</f>
        <v>1</v>
      </c>
      <c r="J925" s="73">
        <f t="shared" ref="J925:J997" si="485">IF(B925="","",SUM(D925:F925))</f>
        <v>3</v>
      </c>
      <c r="K925" s="61"/>
      <c r="M925" s="7">
        <f t="shared" ref="M925" si="486">SUM(G925:I925)/3</f>
        <v>1</v>
      </c>
      <c r="N925" s="6">
        <f t="shared" ref="N925" si="487">SUM(G928:I928)/3</f>
        <v>0</v>
      </c>
      <c r="O925" s="7">
        <f t="shared" ref="O925" si="488">SUM(G931:I931)/3</f>
        <v>0.33333333333333331</v>
      </c>
      <c r="P925" s="6">
        <f t="shared" ref="P925" si="489">SUM(G934:I934)/3</f>
        <v>1</v>
      </c>
      <c r="Q925" s="7">
        <f t="shared" ref="Q925" si="490">SUM(G937:I937)/3</f>
        <v>1</v>
      </c>
      <c r="R925" s="7">
        <f>SUM(G940:I940)/3</f>
        <v>0</v>
      </c>
    </row>
    <row r="926" spans="1:18" x14ac:dyDescent="0.25">
      <c r="A926" s="2"/>
      <c r="B926" s="37"/>
      <c r="C926" s="37"/>
      <c r="D926" s="71"/>
      <c r="E926" s="71"/>
      <c r="F926" s="71"/>
      <c r="G926" s="68" t="str">
        <f t="shared" si="482"/>
        <v/>
      </c>
      <c r="H926" s="68" t="str">
        <f t="shared" si="483"/>
        <v/>
      </c>
      <c r="I926" s="68" t="str">
        <f t="shared" si="484"/>
        <v/>
      </c>
      <c r="J926" s="74" t="str">
        <f t="shared" si="485"/>
        <v/>
      </c>
      <c r="K926" s="62"/>
    </row>
    <row r="927" spans="1:18" x14ac:dyDescent="0.25">
      <c r="A927" s="3"/>
      <c r="B927" s="42"/>
      <c r="C927" s="42"/>
      <c r="D927" s="72"/>
      <c r="E927" s="72"/>
      <c r="F927" s="72"/>
      <c r="G927" s="69" t="str">
        <f t="shared" si="482"/>
        <v/>
      </c>
      <c r="H927" s="69" t="str">
        <f t="shared" si="483"/>
        <v/>
      </c>
      <c r="I927" s="69" t="str">
        <f t="shared" si="484"/>
        <v/>
      </c>
      <c r="J927" s="75" t="str">
        <f t="shared" si="485"/>
        <v/>
      </c>
      <c r="K927" s="63"/>
    </row>
    <row r="928" spans="1:18" x14ac:dyDescent="0.25">
      <c r="A928" s="4" t="s">
        <v>5</v>
      </c>
      <c r="B928" s="33" t="s">
        <v>929</v>
      </c>
      <c r="C928" s="33"/>
      <c r="D928" s="70">
        <v>1</v>
      </c>
      <c r="E928" s="70">
        <v>0</v>
      </c>
      <c r="F928" s="70">
        <v>0</v>
      </c>
      <c r="G928" s="67">
        <f t="shared" si="482"/>
        <v>0</v>
      </c>
      <c r="H928" s="67">
        <f t="shared" si="483"/>
        <v>0</v>
      </c>
      <c r="I928" s="67">
        <f t="shared" si="484"/>
        <v>0</v>
      </c>
      <c r="J928" s="73">
        <f t="shared" si="485"/>
        <v>1</v>
      </c>
      <c r="K928" s="61"/>
    </row>
    <row r="929" spans="1:11" x14ac:dyDescent="0.25">
      <c r="A929" s="2"/>
      <c r="B929" s="37" t="s">
        <v>428</v>
      </c>
      <c r="C929" s="37"/>
      <c r="D929" s="71">
        <v>0</v>
      </c>
      <c r="E929" s="71">
        <v>1</v>
      </c>
      <c r="F929" s="71">
        <v>0</v>
      </c>
      <c r="G929" s="68">
        <f t="shared" si="482"/>
        <v>0</v>
      </c>
      <c r="H929" s="68">
        <f t="shared" si="483"/>
        <v>0</v>
      </c>
      <c r="I929" s="68">
        <f t="shared" si="484"/>
        <v>0</v>
      </c>
      <c r="J929" s="74">
        <f t="shared" si="485"/>
        <v>1</v>
      </c>
      <c r="K929" s="62"/>
    </row>
    <row r="930" spans="1:11" x14ac:dyDescent="0.25">
      <c r="A930" s="3"/>
      <c r="B930" s="40" t="s">
        <v>1105</v>
      </c>
      <c r="C930" s="37"/>
      <c r="D930" s="71">
        <v>0</v>
      </c>
      <c r="E930" s="71">
        <v>0</v>
      </c>
      <c r="F930" s="71">
        <v>1</v>
      </c>
      <c r="G930" s="69">
        <f t="shared" si="482"/>
        <v>0</v>
      </c>
      <c r="H930" s="69">
        <f t="shared" si="483"/>
        <v>0</v>
      </c>
      <c r="I930" s="69">
        <f t="shared" si="484"/>
        <v>0</v>
      </c>
      <c r="J930" s="75">
        <f t="shared" si="485"/>
        <v>1</v>
      </c>
      <c r="K930" s="63"/>
    </row>
    <row r="931" spans="1:11" x14ac:dyDescent="0.25">
      <c r="A931" s="4" t="s">
        <v>7</v>
      </c>
      <c r="B931" s="33" t="s">
        <v>101</v>
      </c>
      <c r="C931" s="33"/>
      <c r="D931" s="70">
        <v>0</v>
      </c>
      <c r="E931" s="70">
        <v>1</v>
      </c>
      <c r="F931" s="70">
        <v>1</v>
      </c>
      <c r="G931" s="67">
        <f t="shared" si="482"/>
        <v>0</v>
      </c>
      <c r="H931" s="67">
        <f t="shared" si="483"/>
        <v>0</v>
      </c>
      <c r="I931" s="67">
        <f t="shared" si="484"/>
        <v>1</v>
      </c>
      <c r="J931" s="73">
        <f t="shared" si="485"/>
        <v>2</v>
      </c>
      <c r="K931" s="61"/>
    </row>
    <row r="932" spans="1:11" x14ac:dyDescent="0.25">
      <c r="A932" s="2"/>
      <c r="B932" s="37"/>
      <c r="C932" s="37"/>
      <c r="D932" s="71"/>
      <c r="E932" s="71"/>
      <c r="F932" s="71"/>
      <c r="G932" s="68" t="str">
        <f t="shared" si="482"/>
        <v/>
      </c>
      <c r="H932" s="68" t="str">
        <f t="shared" si="483"/>
        <v/>
      </c>
      <c r="I932" s="68" t="str">
        <f t="shared" si="484"/>
        <v/>
      </c>
      <c r="J932" s="74" t="str">
        <f t="shared" si="485"/>
        <v/>
      </c>
      <c r="K932" s="62"/>
    </row>
    <row r="933" spans="1:11" x14ac:dyDescent="0.25">
      <c r="A933" s="3"/>
      <c r="B933" s="40"/>
      <c r="C933" s="40"/>
      <c r="D933" s="72"/>
      <c r="E933" s="72"/>
      <c r="F933" s="72"/>
      <c r="G933" s="69" t="str">
        <f t="shared" si="482"/>
        <v/>
      </c>
      <c r="H933" s="69" t="str">
        <f t="shared" si="483"/>
        <v/>
      </c>
      <c r="I933" s="69" t="str">
        <f t="shared" si="484"/>
        <v/>
      </c>
      <c r="J933" s="75" t="str">
        <f t="shared" si="485"/>
        <v/>
      </c>
      <c r="K933" s="63"/>
    </row>
    <row r="934" spans="1:11" x14ac:dyDescent="0.25">
      <c r="A934" s="4" t="s">
        <v>8</v>
      </c>
      <c r="B934" s="37" t="s">
        <v>53</v>
      </c>
      <c r="C934" s="37"/>
      <c r="D934" s="70">
        <v>1</v>
      </c>
      <c r="E934" s="70">
        <v>1</v>
      </c>
      <c r="F934" s="70">
        <v>1</v>
      </c>
      <c r="G934" s="67">
        <f t="shared" si="482"/>
        <v>1</v>
      </c>
      <c r="H934" s="67">
        <f t="shared" si="483"/>
        <v>1</v>
      </c>
      <c r="I934" s="67">
        <f t="shared" si="484"/>
        <v>1</v>
      </c>
      <c r="J934" s="73">
        <f t="shared" si="485"/>
        <v>3</v>
      </c>
      <c r="K934" s="61"/>
    </row>
    <row r="935" spans="1:11" x14ac:dyDescent="0.25">
      <c r="A935" s="2"/>
      <c r="B935" s="37"/>
      <c r="C935" s="37"/>
      <c r="D935" s="71"/>
      <c r="E935" s="71"/>
      <c r="F935" s="71"/>
      <c r="G935" s="68" t="str">
        <f t="shared" si="482"/>
        <v/>
      </c>
      <c r="H935" s="68" t="str">
        <f t="shared" si="483"/>
        <v/>
      </c>
      <c r="I935" s="68" t="str">
        <f t="shared" si="484"/>
        <v/>
      </c>
      <c r="J935" s="74" t="str">
        <f t="shared" si="485"/>
        <v/>
      </c>
      <c r="K935" s="62"/>
    </row>
    <row r="936" spans="1:11" x14ac:dyDescent="0.25">
      <c r="A936" s="3"/>
      <c r="B936" s="40"/>
      <c r="C936" s="40"/>
      <c r="D936" s="72"/>
      <c r="E936" s="72"/>
      <c r="F936" s="72"/>
      <c r="G936" s="69" t="str">
        <f t="shared" si="482"/>
        <v/>
      </c>
      <c r="H936" s="69" t="str">
        <f t="shared" si="483"/>
        <v/>
      </c>
      <c r="I936" s="69" t="str">
        <f t="shared" si="484"/>
        <v/>
      </c>
      <c r="J936" s="75" t="str">
        <f t="shared" si="485"/>
        <v/>
      </c>
      <c r="K936" s="63"/>
    </row>
    <row r="937" spans="1:11" x14ac:dyDescent="0.25">
      <c r="A937" s="2" t="s">
        <v>9</v>
      </c>
      <c r="B937" s="37" t="s">
        <v>429</v>
      </c>
      <c r="C937" s="37"/>
      <c r="D937" s="71">
        <v>1</v>
      </c>
      <c r="E937" s="71">
        <v>1</v>
      </c>
      <c r="F937" s="71">
        <v>1</v>
      </c>
      <c r="G937" s="68">
        <f t="shared" si="482"/>
        <v>1</v>
      </c>
      <c r="H937" s="68">
        <f t="shared" si="483"/>
        <v>1</v>
      </c>
      <c r="I937" s="68">
        <f t="shared" si="484"/>
        <v>1</v>
      </c>
      <c r="J937" s="74">
        <f t="shared" si="485"/>
        <v>3</v>
      </c>
      <c r="K937" s="62"/>
    </row>
    <row r="938" spans="1:11" x14ac:dyDescent="0.25">
      <c r="A938" s="2"/>
      <c r="B938" s="37"/>
      <c r="C938" s="37"/>
      <c r="D938" s="71"/>
      <c r="E938" s="71"/>
      <c r="F938" s="71"/>
      <c r="G938" s="68" t="str">
        <f t="shared" si="482"/>
        <v/>
      </c>
      <c r="H938" s="68" t="str">
        <f t="shared" si="483"/>
        <v/>
      </c>
      <c r="I938" s="68" t="str">
        <f t="shared" si="484"/>
        <v/>
      </c>
      <c r="J938" s="74" t="str">
        <f t="shared" si="485"/>
        <v/>
      </c>
      <c r="K938" s="62"/>
    </row>
    <row r="939" spans="1:11" x14ac:dyDescent="0.25">
      <c r="A939" s="3"/>
      <c r="B939" s="40"/>
      <c r="C939" s="40"/>
      <c r="D939" s="72"/>
      <c r="E939" s="72"/>
      <c r="F939" s="72"/>
      <c r="G939" s="69" t="str">
        <f t="shared" si="482"/>
        <v/>
      </c>
      <c r="H939" s="69" t="str">
        <f t="shared" si="483"/>
        <v/>
      </c>
      <c r="I939" s="69" t="str">
        <f t="shared" si="484"/>
        <v/>
      </c>
      <c r="J939" s="75" t="str">
        <f t="shared" si="485"/>
        <v/>
      </c>
      <c r="K939" s="63"/>
    </row>
    <row r="940" spans="1:11" x14ac:dyDescent="0.25">
      <c r="A940" s="2" t="s">
        <v>1224</v>
      </c>
      <c r="B940" s="37" t="s">
        <v>1266</v>
      </c>
      <c r="C940" s="37"/>
      <c r="D940" s="71">
        <v>1</v>
      </c>
      <c r="E940" s="71">
        <v>0</v>
      </c>
      <c r="F940" s="71">
        <v>0</v>
      </c>
      <c r="G940" s="68">
        <f t="shared" si="482"/>
        <v>0</v>
      </c>
      <c r="H940" s="68">
        <f t="shared" si="483"/>
        <v>0</v>
      </c>
      <c r="I940" s="68">
        <f t="shared" si="484"/>
        <v>0</v>
      </c>
      <c r="J940" s="74">
        <f t="shared" si="485"/>
        <v>1</v>
      </c>
      <c r="K940" s="62"/>
    </row>
    <row r="941" spans="1:11" x14ac:dyDescent="0.25">
      <c r="A941" s="2"/>
      <c r="B941" s="37"/>
      <c r="C941" s="37"/>
      <c r="D941" s="71"/>
      <c r="E941" s="71"/>
      <c r="F941" s="71"/>
      <c r="G941" s="68" t="str">
        <f t="shared" si="482"/>
        <v/>
      </c>
      <c r="H941" s="68" t="str">
        <f t="shared" si="483"/>
        <v/>
      </c>
      <c r="I941" s="68" t="str">
        <f t="shared" si="484"/>
        <v/>
      </c>
      <c r="J941" s="74" t="str">
        <f t="shared" si="485"/>
        <v/>
      </c>
      <c r="K941" s="62"/>
    </row>
    <row r="942" spans="1:11" x14ac:dyDescent="0.25">
      <c r="A942" s="3"/>
      <c r="B942" s="40"/>
      <c r="C942" s="40"/>
      <c r="D942" s="72"/>
      <c r="E942" s="72"/>
      <c r="F942" s="72"/>
      <c r="G942" s="69" t="str">
        <f t="shared" si="482"/>
        <v/>
      </c>
      <c r="H942" s="69" t="str">
        <f t="shared" si="483"/>
        <v/>
      </c>
      <c r="I942" s="69" t="str">
        <f t="shared" si="484"/>
        <v/>
      </c>
      <c r="J942" s="75" t="str">
        <f t="shared" si="485"/>
        <v/>
      </c>
      <c r="K942" s="63"/>
    </row>
    <row r="944" spans="1:11" x14ac:dyDescent="0.25">
      <c r="A944" s="81">
        <v>48</v>
      </c>
      <c r="B944" s="49" t="s">
        <v>1164</v>
      </c>
      <c r="C944" s="31" t="s">
        <v>1443</v>
      </c>
      <c r="D944" s="76"/>
      <c r="E944" s="66"/>
      <c r="F944" s="66"/>
      <c r="G944" s="66"/>
      <c r="H944" s="66"/>
      <c r="I944" s="66"/>
      <c r="J944" s="60"/>
      <c r="K944" s="60"/>
    </row>
    <row r="945" spans="1:18" x14ac:dyDescent="0.25">
      <c r="A945" s="4" t="s">
        <v>6</v>
      </c>
      <c r="B945" s="37" t="s">
        <v>430</v>
      </c>
      <c r="C945" s="37"/>
      <c r="D945" s="70">
        <v>1</v>
      </c>
      <c r="E945" s="70">
        <v>1</v>
      </c>
      <c r="F945" s="70">
        <v>1</v>
      </c>
      <c r="G945" s="67">
        <f t="shared" ref="G945:G962" si="491">IF(B945="","",IF( AND(D945=1, E945=1),1,0))</f>
        <v>1</v>
      </c>
      <c r="H945" s="67">
        <f t="shared" ref="H945:H962" si="492">IF(B945="","",IF(AND(D945=1,F945=1),1,0))</f>
        <v>1</v>
      </c>
      <c r="I945" s="67">
        <f t="shared" ref="I945:I962" si="493">IF(B945="","",IF(AND(E945=1,F945=1),1,0))</f>
        <v>1</v>
      </c>
      <c r="J945" s="73">
        <f t="shared" ref="J945" si="494">IF(B945="","",SUM(D945:F945))</f>
        <v>3</v>
      </c>
      <c r="K945" s="61"/>
      <c r="M945" s="7">
        <f t="shared" ref="M945" si="495">SUM(G945:I945)/3</f>
        <v>1</v>
      </c>
      <c r="N945" s="6">
        <f t="shared" ref="N945" si="496">SUM(G948:I948)/3</f>
        <v>1</v>
      </c>
      <c r="O945" s="7">
        <f t="shared" ref="O945" si="497">SUM(G951:I951)/3</f>
        <v>0</v>
      </c>
      <c r="P945" s="6">
        <f t="shared" ref="P945" si="498">SUM(G954:I954)/3</f>
        <v>0.33333333333333331</v>
      </c>
      <c r="Q945" s="7">
        <f t="shared" ref="Q945" si="499">SUM(G957:I957)/3</f>
        <v>1</v>
      </c>
      <c r="R945" s="7">
        <f>SUM(G960:I960)/3</f>
        <v>0.33333333333333331</v>
      </c>
    </row>
    <row r="946" spans="1:18" x14ac:dyDescent="0.25">
      <c r="A946" s="2"/>
      <c r="B946" s="37"/>
      <c r="C946" s="37"/>
      <c r="D946" s="71"/>
      <c r="E946" s="71"/>
      <c r="F946" s="71"/>
      <c r="G946" s="68" t="str">
        <f t="shared" si="491"/>
        <v/>
      </c>
      <c r="H946" s="68" t="str">
        <f t="shared" si="492"/>
        <v/>
      </c>
      <c r="I946" s="68" t="str">
        <f t="shared" si="493"/>
        <v/>
      </c>
      <c r="J946" s="74" t="str">
        <f t="shared" si="485"/>
        <v/>
      </c>
      <c r="K946" s="62"/>
    </row>
    <row r="947" spans="1:18" x14ac:dyDescent="0.25">
      <c r="A947" s="3"/>
      <c r="B947" s="42"/>
      <c r="C947" s="42"/>
      <c r="D947" s="72"/>
      <c r="E947" s="72"/>
      <c r="F947" s="72"/>
      <c r="G947" s="69" t="str">
        <f t="shared" si="491"/>
        <v/>
      </c>
      <c r="H947" s="69" t="str">
        <f t="shared" si="492"/>
        <v/>
      </c>
      <c r="I947" s="69" t="str">
        <f t="shared" si="493"/>
        <v/>
      </c>
      <c r="J947" s="75" t="str">
        <f t="shared" si="485"/>
        <v/>
      </c>
      <c r="K947" s="63"/>
    </row>
    <row r="948" spans="1:18" x14ac:dyDescent="0.25">
      <c r="A948" s="4" t="s">
        <v>5</v>
      </c>
      <c r="B948" s="33" t="s">
        <v>23</v>
      </c>
      <c r="C948" s="33"/>
      <c r="D948" s="70">
        <v>1</v>
      </c>
      <c r="E948" s="70">
        <v>1</v>
      </c>
      <c r="F948" s="70">
        <v>1</v>
      </c>
      <c r="G948" s="67">
        <f t="shared" si="491"/>
        <v>1</v>
      </c>
      <c r="H948" s="67">
        <f t="shared" si="492"/>
        <v>1</v>
      </c>
      <c r="I948" s="67">
        <f t="shared" si="493"/>
        <v>1</v>
      </c>
      <c r="J948" s="73">
        <f t="shared" si="485"/>
        <v>3</v>
      </c>
      <c r="K948" s="61"/>
    </row>
    <row r="949" spans="1:18" x14ac:dyDescent="0.25">
      <c r="A949" s="2"/>
      <c r="B949" s="37"/>
      <c r="C949" s="37"/>
      <c r="D949" s="71"/>
      <c r="E949" s="71"/>
      <c r="F949" s="71"/>
      <c r="G949" s="68" t="str">
        <f t="shared" si="491"/>
        <v/>
      </c>
      <c r="H949" s="68" t="str">
        <f t="shared" si="492"/>
        <v/>
      </c>
      <c r="I949" s="68" t="str">
        <f t="shared" si="493"/>
        <v/>
      </c>
      <c r="J949" s="74" t="str">
        <f t="shared" si="485"/>
        <v/>
      </c>
      <c r="K949" s="62"/>
    </row>
    <row r="950" spans="1:18" x14ac:dyDescent="0.25">
      <c r="A950" s="3"/>
      <c r="B950" s="40"/>
      <c r="C950" s="37"/>
      <c r="D950" s="71"/>
      <c r="E950" s="71"/>
      <c r="F950" s="71"/>
      <c r="G950" s="69" t="str">
        <f t="shared" si="491"/>
        <v/>
      </c>
      <c r="H950" s="69" t="str">
        <f t="shared" si="492"/>
        <v/>
      </c>
      <c r="I950" s="69" t="str">
        <f t="shared" si="493"/>
        <v/>
      </c>
      <c r="J950" s="75" t="str">
        <f t="shared" si="485"/>
        <v/>
      </c>
      <c r="K950" s="63"/>
    </row>
    <row r="951" spans="1:18" x14ac:dyDescent="0.25">
      <c r="A951" s="4" t="s">
        <v>7</v>
      </c>
      <c r="B951" s="33" t="s">
        <v>57</v>
      </c>
      <c r="C951" s="33"/>
      <c r="D951" s="70">
        <v>1</v>
      </c>
      <c r="E951" s="70">
        <v>0</v>
      </c>
      <c r="F951" s="70">
        <v>0</v>
      </c>
      <c r="G951" s="67">
        <f t="shared" si="491"/>
        <v>0</v>
      </c>
      <c r="H951" s="67">
        <f t="shared" si="492"/>
        <v>0</v>
      </c>
      <c r="I951" s="67">
        <f t="shared" si="493"/>
        <v>0</v>
      </c>
      <c r="J951" s="73">
        <f t="shared" si="485"/>
        <v>1</v>
      </c>
      <c r="K951" s="61"/>
    </row>
    <row r="952" spans="1:18" x14ac:dyDescent="0.25">
      <c r="A952" s="2"/>
      <c r="B952" s="37" t="s">
        <v>61</v>
      </c>
      <c r="C952" s="37"/>
      <c r="D952" s="71">
        <v>0</v>
      </c>
      <c r="E952" s="71">
        <v>1</v>
      </c>
      <c r="F952" s="71">
        <v>0</v>
      </c>
      <c r="G952" s="68">
        <f t="shared" si="491"/>
        <v>0</v>
      </c>
      <c r="H952" s="68">
        <f t="shared" si="492"/>
        <v>0</v>
      </c>
      <c r="I952" s="68">
        <f t="shared" si="493"/>
        <v>0</v>
      </c>
      <c r="J952" s="74">
        <f t="shared" si="485"/>
        <v>1</v>
      </c>
      <c r="K952" s="62"/>
    </row>
    <row r="953" spans="1:18" x14ac:dyDescent="0.25">
      <c r="A953" s="3"/>
      <c r="B953" s="40" t="s">
        <v>1105</v>
      </c>
      <c r="C953" s="40"/>
      <c r="D953" s="72">
        <v>0</v>
      </c>
      <c r="E953" s="72">
        <v>0</v>
      </c>
      <c r="F953" s="72">
        <v>1</v>
      </c>
      <c r="G953" s="69">
        <f t="shared" si="491"/>
        <v>0</v>
      </c>
      <c r="H953" s="69">
        <f t="shared" si="492"/>
        <v>0</v>
      </c>
      <c r="I953" s="69">
        <f t="shared" si="493"/>
        <v>0</v>
      </c>
      <c r="J953" s="75">
        <f t="shared" si="485"/>
        <v>1</v>
      </c>
      <c r="K953" s="63"/>
    </row>
    <row r="954" spans="1:18" x14ac:dyDescent="0.25">
      <c r="A954" s="4" t="s">
        <v>8</v>
      </c>
      <c r="B954" s="37" t="s">
        <v>51</v>
      </c>
      <c r="C954" s="37"/>
      <c r="D954" s="70">
        <v>1</v>
      </c>
      <c r="E954" s="70">
        <v>1</v>
      </c>
      <c r="F954" s="70">
        <v>0</v>
      </c>
      <c r="G954" s="67">
        <f t="shared" si="491"/>
        <v>1</v>
      </c>
      <c r="H954" s="67">
        <f t="shared" si="492"/>
        <v>0</v>
      </c>
      <c r="I954" s="67">
        <f t="shared" si="493"/>
        <v>0</v>
      </c>
      <c r="J954" s="73">
        <f t="shared" si="485"/>
        <v>2</v>
      </c>
      <c r="K954" s="61"/>
    </row>
    <row r="955" spans="1:18" x14ac:dyDescent="0.25">
      <c r="A955" s="2"/>
      <c r="B955" s="37"/>
      <c r="C955" s="37"/>
      <c r="D955" s="71"/>
      <c r="E955" s="71"/>
      <c r="F955" s="71"/>
      <c r="G955" s="68" t="str">
        <f t="shared" si="491"/>
        <v/>
      </c>
      <c r="H955" s="68" t="str">
        <f t="shared" si="492"/>
        <v/>
      </c>
      <c r="I955" s="68" t="str">
        <f t="shared" si="493"/>
        <v/>
      </c>
      <c r="J955" s="74" t="str">
        <f t="shared" si="485"/>
        <v/>
      </c>
      <c r="K955" s="62"/>
    </row>
    <row r="956" spans="1:18" x14ac:dyDescent="0.25">
      <c r="A956" s="3"/>
      <c r="B956" s="40"/>
      <c r="C956" s="40"/>
      <c r="D956" s="72"/>
      <c r="E956" s="72"/>
      <c r="F956" s="72"/>
      <c r="G956" s="69" t="str">
        <f t="shared" si="491"/>
        <v/>
      </c>
      <c r="H956" s="69" t="str">
        <f t="shared" si="492"/>
        <v/>
      </c>
      <c r="I956" s="69" t="str">
        <f t="shared" si="493"/>
        <v/>
      </c>
      <c r="J956" s="75" t="str">
        <f t="shared" si="485"/>
        <v/>
      </c>
      <c r="K956" s="63"/>
    </row>
    <row r="957" spans="1:18" x14ac:dyDescent="0.25">
      <c r="A957" s="2" t="s">
        <v>9</v>
      </c>
      <c r="B957" s="37" t="s">
        <v>431</v>
      </c>
      <c r="C957" s="37"/>
      <c r="D957" s="71">
        <v>1</v>
      </c>
      <c r="E957" s="71">
        <v>1</v>
      </c>
      <c r="F957" s="71">
        <v>1</v>
      </c>
      <c r="G957" s="68">
        <f t="shared" si="491"/>
        <v>1</v>
      </c>
      <c r="H957" s="68">
        <f t="shared" si="492"/>
        <v>1</v>
      </c>
      <c r="I957" s="68">
        <f t="shared" si="493"/>
        <v>1</v>
      </c>
      <c r="J957" s="74">
        <f t="shared" si="485"/>
        <v>3</v>
      </c>
      <c r="K957" s="62"/>
    </row>
    <row r="958" spans="1:18" x14ac:dyDescent="0.25">
      <c r="A958" s="2"/>
      <c r="B958" s="37"/>
      <c r="C958" s="37"/>
      <c r="D958" s="71"/>
      <c r="E958" s="71"/>
      <c r="F958" s="71"/>
      <c r="G958" s="68" t="str">
        <f t="shared" si="491"/>
        <v/>
      </c>
      <c r="H958" s="68" t="str">
        <f t="shared" si="492"/>
        <v/>
      </c>
      <c r="I958" s="68" t="str">
        <f t="shared" si="493"/>
        <v/>
      </c>
      <c r="J958" s="74" t="str">
        <f t="shared" si="485"/>
        <v/>
      </c>
      <c r="K958" s="62"/>
    </row>
    <row r="959" spans="1:18" x14ac:dyDescent="0.25">
      <c r="A959" s="3"/>
      <c r="B959" s="40"/>
      <c r="C959" s="40"/>
      <c r="D959" s="72"/>
      <c r="E959" s="72"/>
      <c r="F959" s="72"/>
      <c r="G959" s="69" t="str">
        <f t="shared" si="491"/>
        <v/>
      </c>
      <c r="H959" s="69" t="str">
        <f t="shared" si="492"/>
        <v/>
      </c>
      <c r="I959" s="69" t="str">
        <f t="shared" si="493"/>
        <v/>
      </c>
      <c r="J959" s="75" t="str">
        <f t="shared" si="485"/>
        <v/>
      </c>
      <c r="K959" s="63"/>
    </row>
    <row r="960" spans="1:18" x14ac:dyDescent="0.25">
      <c r="A960" s="2" t="s">
        <v>1224</v>
      </c>
      <c r="B960" s="37" t="s">
        <v>845</v>
      </c>
      <c r="C960" s="37"/>
      <c r="D960" s="71">
        <v>1</v>
      </c>
      <c r="E960" s="71">
        <v>1</v>
      </c>
      <c r="F960" s="71">
        <v>0</v>
      </c>
      <c r="G960" s="68">
        <f t="shared" si="491"/>
        <v>1</v>
      </c>
      <c r="H960" s="68">
        <f t="shared" si="492"/>
        <v>0</v>
      </c>
      <c r="I960" s="68">
        <f t="shared" si="493"/>
        <v>0</v>
      </c>
      <c r="J960" s="74">
        <f t="shared" ref="J960:J962" si="500">IF(B960="","",SUM(D960:F960))</f>
        <v>2</v>
      </c>
      <c r="K960" s="62"/>
    </row>
    <row r="961" spans="1:18" x14ac:dyDescent="0.25">
      <c r="A961" s="2"/>
      <c r="B961" s="39" t="s">
        <v>1379</v>
      </c>
      <c r="C961" s="39"/>
      <c r="D961" s="71">
        <v>0</v>
      </c>
      <c r="E961" s="71">
        <v>1</v>
      </c>
      <c r="F961" s="71">
        <v>0</v>
      </c>
      <c r="G961" s="68">
        <f t="shared" si="491"/>
        <v>0</v>
      </c>
      <c r="H961" s="68">
        <f t="shared" si="492"/>
        <v>0</v>
      </c>
      <c r="I961" s="68">
        <f t="shared" si="493"/>
        <v>0</v>
      </c>
      <c r="J961" s="74">
        <f t="shared" si="500"/>
        <v>1</v>
      </c>
      <c r="K961" s="62"/>
    </row>
    <row r="962" spans="1:18" x14ac:dyDescent="0.25">
      <c r="A962" s="3"/>
      <c r="B962" s="40"/>
      <c r="C962" s="40"/>
      <c r="D962" s="72">
        <v>0</v>
      </c>
      <c r="E962" s="72">
        <v>0</v>
      </c>
      <c r="F962" s="72">
        <v>1</v>
      </c>
      <c r="G962" s="69" t="str">
        <f t="shared" si="491"/>
        <v/>
      </c>
      <c r="H962" s="69" t="str">
        <f t="shared" si="492"/>
        <v/>
      </c>
      <c r="I962" s="69" t="str">
        <f t="shared" si="493"/>
        <v/>
      </c>
      <c r="J962" s="75" t="str">
        <f t="shared" si="500"/>
        <v/>
      </c>
      <c r="K962" s="63"/>
    </row>
    <row r="964" spans="1:18" x14ac:dyDescent="0.25">
      <c r="A964" s="81">
        <v>49</v>
      </c>
      <c r="B964" s="49" t="s">
        <v>1165</v>
      </c>
      <c r="C964" s="31" t="s">
        <v>1444</v>
      </c>
      <c r="D964" s="76"/>
      <c r="E964" s="66"/>
      <c r="F964" s="66"/>
      <c r="G964" s="66"/>
      <c r="H964" s="66"/>
      <c r="I964" s="66"/>
      <c r="J964" s="60"/>
      <c r="K964" s="60"/>
    </row>
    <row r="965" spans="1:18" x14ac:dyDescent="0.25">
      <c r="A965" s="4" t="s">
        <v>6</v>
      </c>
      <c r="B965" s="37" t="s">
        <v>432</v>
      </c>
      <c r="C965" s="37"/>
      <c r="D965" s="70">
        <v>1</v>
      </c>
      <c r="E965" s="70">
        <v>1</v>
      </c>
      <c r="F965" s="70">
        <v>1</v>
      </c>
      <c r="G965" s="67">
        <f t="shared" ref="G965:G982" si="501">IF(B965="","",IF( AND(D965=1, E965=1),1,0))</f>
        <v>1</v>
      </c>
      <c r="H965" s="67">
        <f t="shared" ref="H965:H982" si="502">IF(B965="","",IF(AND(D965=1,F965=1),1,0))</f>
        <v>1</v>
      </c>
      <c r="I965" s="67">
        <f t="shared" ref="I965:I982" si="503">IF(B965="","",IF(AND(E965=1,F965=1),1,0))</f>
        <v>1</v>
      </c>
      <c r="J965" s="73">
        <f t="shared" ref="J965" si="504">IF(B965="","",SUM(D965:F965))</f>
        <v>3</v>
      </c>
      <c r="K965" s="61"/>
      <c r="M965" s="7">
        <f t="shared" ref="M965" si="505">SUM(G965:I965)/3</f>
        <v>1</v>
      </c>
      <c r="N965" s="6">
        <f t="shared" ref="N965" si="506">SUM(G968:I968)/3</f>
        <v>0</v>
      </c>
      <c r="O965" s="7">
        <f t="shared" ref="O965" si="507">SUM(G971:I971)/3</f>
        <v>0.33333333333333331</v>
      </c>
      <c r="P965" s="6">
        <f t="shared" ref="P965" si="508">SUM(G974:I974)/3</f>
        <v>1</v>
      </c>
      <c r="Q965" s="7">
        <f t="shared" ref="Q965" si="509">SUM(G977:I977)/3</f>
        <v>1</v>
      </c>
      <c r="R965" s="7">
        <f>SUM(G980:I980)/3</f>
        <v>1</v>
      </c>
    </row>
    <row r="966" spans="1:18" x14ac:dyDescent="0.25">
      <c r="A966" s="2"/>
      <c r="B966" s="37"/>
      <c r="C966" s="37"/>
      <c r="D966" s="71"/>
      <c r="E966" s="71"/>
      <c r="F966" s="71"/>
      <c r="G966" s="68" t="str">
        <f t="shared" si="501"/>
        <v/>
      </c>
      <c r="H966" s="68" t="str">
        <f t="shared" si="502"/>
        <v/>
      </c>
      <c r="I966" s="68" t="str">
        <f t="shared" si="503"/>
        <v/>
      </c>
      <c r="J966" s="74" t="str">
        <f t="shared" si="485"/>
        <v/>
      </c>
      <c r="K966" s="62"/>
    </row>
    <row r="967" spans="1:18" x14ac:dyDescent="0.25">
      <c r="A967" s="3"/>
      <c r="B967" s="42"/>
      <c r="C967" s="42"/>
      <c r="D967" s="72"/>
      <c r="E967" s="72"/>
      <c r="F967" s="72"/>
      <c r="G967" s="69" t="str">
        <f t="shared" si="501"/>
        <v/>
      </c>
      <c r="H967" s="69" t="str">
        <f t="shared" si="502"/>
        <v/>
      </c>
      <c r="I967" s="69" t="str">
        <f t="shared" si="503"/>
        <v/>
      </c>
      <c r="J967" s="75" t="str">
        <f t="shared" si="485"/>
        <v/>
      </c>
      <c r="K967" s="63"/>
    </row>
    <row r="968" spans="1:18" x14ac:dyDescent="0.25">
      <c r="A968" s="4" t="s">
        <v>5</v>
      </c>
      <c r="B968" s="33" t="s">
        <v>938</v>
      </c>
      <c r="C968" s="33"/>
      <c r="D968" s="70">
        <v>1</v>
      </c>
      <c r="E968" s="70">
        <v>0</v>
      </c>
      <c r="F968" s="70">
        <v>0</v>
      </c>
      <c r="G968" s="67">
        <f t="shared" si="501"/>
        <v>0</v>
      </c>
      <c r="H968" s="67">
        <f t="shared" si="502"/>
        <v>0</v>
      </c>
      <c r="I968" s="67">
        <f t="shared" si="503"/>
        <v>0</v>
      </c>
      <c r="J968" s="73">
        <f t="shared" si="485"/>
        <v>1</v>
      </c>
      <c r="K968" s="61"/>
    </row>
    <row r="969" spans="1:18" x14ac:dyDescent="0.25">
      <c r="A969" s="2"/>
      <c r="B969" s="37" t="s">
        <v>433</v>
      </c>
      <c r="C969" s="37"/>
      <c r="D969" s="71">
        <v>0</v>
      </c>
      <c r="E969" s="71">
        <v>1</v>
      </c>
      <c r="F969" s="71">
        <v>0</v>
      </c>
      <c r="G969" s="68">
        <f t="shared" si="501"/>
        <v>0</v>
      </c>
      <c r="H969" s="68">
        <f t="shared" si="502"/>
        <v>0</v>
      </c>
      <c r="I969" s="68">
        <f t="shared" si="503"/>
        <v>0</v>
      </c>
      <c r="J969" s="74">
        <f t="shared" si="485"/>
        <v>1</v>
      </c>
      <c r="K969" s="62"/>
    </row>
    <row r="970" spans="1:18" x14ac:dyDescent="0.25">
      <c r="A970" s="3"/>
      <c r="B970" s="40" t="s">
        <v>1105</v>
      </c>
      <c r="C970" s="37"/>
      <c r="D970" s="71">
        <v>0</v>
      </c>
      <c r="E970" s="71">
        <v>0</v>
      </c>
      <c r="F970" s="71">
        <v>1</v>
      </c>
      <c r="G970" s="69">
        <f t="shared" si="501"/>
        <v>0</v>
      </c>
      <c r="H970" s="69">
        <f t="shared" si="502"/>
        <v>0</v>
      </c>
      <c r="I970" s="69">
        <f t="shared" si="503"/>
        <v>0</v>
      </c>
      <c r="J970" s="75">
        <f t="shared" si="485"/>
        <v>1</v>
      </c>
      <c r="K970" s="63"/>
    </row>
    <row r="971" spans="1:18" x14ac:dyDescent="0.25">
      <c r="A971" s="4" t="s">
        <v>7</v>
      </c>
      <c r="B971" s="33" t="s">
        <v>101</v>
      </c>
      <c r="C971" s="33"/>
      <c r="D971" s="70">
        <v>0</v>
      </c>
      <c r="E971" s="70">
        <v>1</v>
      </c>
      <c r="F971" s="70">
        <v>1</v>
      </c>
      <c r="G971" s="67">
        <f t="shared" si="501"/>
        <v>0</v>
      </c>
      <c r="H971" s="67">
        <f t="shared" si="502"/>
        <v>0</v>
      </c>
      <c r="I971" s="67">
        <f t="shared" si="503"/>
        <v>1</v>
      </c>
      <c r="J971" s="73">
        <f t="shared" si="485"/>
        <v>2</v>
      </c>
      <c r="K971" s="61"/>
    </row>
    <row r="972" spans="1:18" x14ac:dyDescent="0.25">
      <c r="A972" s="2"/>
      <c r="B972" s="37"/>
      <c r="C972" s="37"/>
      <c r="D972" s="71"/>
      <c r="E972" s="71"/>
      <c r="F972" s="71"/>
      <c r="G972" s="68" t="str">
        <f t="shared" si="501"/>
        <v/>
      </c>
      <c r="H972" s="68" t="str">
        <f t="shared" si="502"/>
        <v/>
      </c>
      <c r="I972" s="68" t="str">
        <f t="shared" si="503"/>
        <v/>
      </c>
      <c r="J972" s="74" t="str">
        <f t="shared" si="485"/>
        <v/>
      </c>
      <c r="K972" s="62"/>
    </row>
    <row r="973" spans="1:18" x14ac:dyDescent="0.25">
      <c r="A973" s="3"/>
      <c r="B973" s="40"/>
      <c r="C973" s="40"/>
      <c r="D973" s="72"/>
      <c r="E973" s="72"/>
      <c r="F973" s="72"/>
      <c r="G973" s="69" t="str">
        <f t="shared" si="501"/>
        <v/>
      </c>
      <c r="H973" s="69" t="str">
        <f t="shared" si="502"/>
        <v/>
      </c>
      <c r="I973" s="69" t="str">
        <f t="shared" si="503"/>
        <v/>
      </c>
      <c r="J973" s="75" t="str">
        <f t="shared" si="485"/>
        <v/>
      </c>
      <c r="K973" s="63"/>
    </row>
    <row r="974" spans="1:18" x14ac:dyDescent="0.25">
      <c r="A974" s="4" t="s">
        <v>8</v>
      </c>
      <c r="B974" s="37" t="s">
        <v>434</v>
      </c>
      <c r="C974" s="37"/>
      <c r="D974" s="70">
        <v>1</v>
      </c>
      <c r="E974" s="70">
        <v>1</v>
      </c>
      <c r="F974" s="70">
        <v>1</v>
      </c>
      <c r="G974" s="67">
        <f t="shared" si="501"/>
        <v>1</v>
      </c>
      <c r="H974" s="67">
        <f t="shared" si="502"/>
        <v>1</v>
      </c>
      <c r="I974" s="67">
        <f t="shared" si="503"/>
        <v>1</v>
      </c>
      <c r="J974" s="73">
        <f t="shared" si="485"/>
        <v>3</v>
      </c>
      <c r="K974" s="61"/>
    </row>
    <row r="975" spans="1:18" x14ac:dyDescent="0.25">
      <c r="A975" s="2"/>
      <c r="B975" s="37"/>
      <c r="C975" s="37"/>
      <c r="D975" s="71">
        <v>1</v>
      </c>
      <c r="E975" s="71">
        <v>1</v>
      </c>
      <c r="F975" s="71">
        <v>1</v>
      </c>
      <c r="G975" s="68" t="str">
        <f t="shared" si="501"/>
        <v/>
      </c>
      <c r="H975" s="68" t="str">
        <f t="shared" si="502"/>
        <v/>
      </c>
      <c r="I975" s="68" t="str">
        <f t="shared" si="503"/>
        <v/>
      </c>
      <c r="J975" s="74" t="str">
        <f t="shared" si="485"/>
        <v/>
      </c>
      <c r="K975" s="62"/>
    </row>
    <row r="976" spans="1:18" x14ac:dyDescent="0.25">
      <c r="A976" s="3"/>
      <c r="B976" s="40"/>
      <c r="C976" s="40"/>
      <c r="D976" s="72">
        <v>1</v>
      </c>
      <c r="E976" s="72">
        <v>1</v>
      </c>
      <c r="F976" s="72">
        <v>1</v>
      </c>
      <c r="G976" s="69" t="str">
        <f t="shared" si="501"/>
        <v/>
      </c>
      <c r="H976" s="69" t="str">
        <f t="shared" si="502"/>
        <v/>
      </c>
      <c r="I976" s="69" t="str">
        <f t="shared" si="503"/>
        <v/>
      </c>
      <c r="J976" s="75" t="str">
        <f t="shared" si="485"/>
        <v/>
      </c>
      <c r="K976" s="63"/>
    </row>
    <row r="977" spans="1:18" x14ac:dyDescent="0.25">
      <c r="A977" s="2" t="s">
        <v>9</v>
      </c>
      <c r="B977" s="37" t="s">
        <v>1097</v>
      </c>
      <c r="C977" s="37"/>
      <c r="D977" s="71">
        <v>1</v>
      </c>
      <c r="E977" s="71">
        <v>1</v>
      </c>
      <c r="F977" s="71">
        <v>1</v>
      </c>
      <c r="G977" s="68">
        <f t="shared" si="501"/>
        <v>1</v>
      </c>
      <c r="H977" s="68">
        <f t="shared" si="502"/>
        <v>1</v>
      </c>
      <c r="I977" s="68">
        <f t="shared" si="503"/>
        <v>1</v>
      </c>
      <c r="J977" s="74">
        <f t="shared" si="485"/>
        <v>3</v>
      </c>
      <c r="K977" s="62"/>
    </row>
    <row r="978" spans="1:18" x14ac:dyDescent="0.25">
      <c r="A978" s="2"/>
      <c r="B978" s="37" t="s">
        <v>939</v>
      </c>
      <c r="C978" s="37"/>
      <c r="D978" s="71">
        <v>1</v>
      </c>
      <c r="E978" s="71">
        <v>1</v>
      </c>
      <c r="F978" s="71">
        <v>0</v>
      </c>
      <c r="G978" s="68">
        <f t="shared" si="501"/>
        <v>1</v>
      </c>
      <c r="H978" s="68">
        <f t="shared" si="502"/>
        <v>0</v>
      </c>
      <c r="I978" s="68">
        <f t="shared" si="503"/>
        <v>0</v>
      </c>
      <c r="J978" s="74">
        <f t="shared" si="485"/>
        <v>2</v>
      </c>
      <c r="K978" s="62"/>
    </row>
    <row r="979" spans="1:18" x14ac:dyDescent="0.25">
      <c r="A979" s="3"/>
      <c r="B979" s="40"/>
      <c r="C979" s="40"/>
      <c r="D979" s="72"/>
      <c r="E979" s="72"/>
      <c r="F979" s="72"/>
      <c r="G979" s="69" t="str">
        <f t="shared" si="501"/>
        <v/>
      </c>
      <c r="H979" s="69" t="str">
        <f t="shared" si="502"/>
        <v/>
      </c>
      <c r="I979" s="69" t="str">
        <f t="shared" si="503"/>
        <v/>
      </c>
      <c r="J979" s="75" t="str">
        <f t="shared" si="485"/>
        <v/>
      </c>
      <c r="K979" s="63"/>
    </row>
    <row r="980" spans="1:18" x14ac:dyDescent="0.25">
      <c r="A980" s="2" t="s">
        <v>1224</v>
      </c>
      <c r="B980" s="37" t="s">
        <v>1105</v>
      </c>
      <c r="C980" s="37"/>
      <c r="D980" s="71">
        <v>1</v>
      </c>
      <c r="E980" s="71">
        <v>1</v>
      </c>
      <c r="F980" s="71">
        <v>1</v>
      </c>
      <c r="G980" s="68">
        <f t="shared" si="501"/>
        <v>1</v>
      </c>
      <c r="H980" s="68">
        <f t="shared" si="502"/>
        <v>1</v>
      </c>
      <c r="I980" s="68">
        <f t="shared" si="503"/>
        <v>1</v>
      </c>
      <c r="J980" s="74">
        <f t="shared" si="485"/>
        <v>3</v>
      </c>
      <c r="K980" s="62"/>
    </row>
    <row r="981" spans="1:18" x14ac:dyDescent="0.25">
      <c r="A981" s="2"/>
      <c r="B981" s="37"/>
      <c r="C981" s="37"/>
      <c r="D981" s="71"/>
      <c r="E981" s="71"/>
      <c r="F981" s="71"/>
      <c r="G981" s="68" t="str">
        <f t="shared" si="501"/>
        <v/>
      </c>
      <c r="H981" s="68" t="str">
        <f t="shared" si="502"/>
        <v/>
      </c>
      <c r="I981" s="68" t="str">
        <f t="shared" si="503"/>
        <v/>
      </c>
      <c r="J981" s="74" t="str">
        <f t="shared" si="485"/>
        <v/>
      </c>
      <c r="K981" s="62"/>
    </row>
    <row r="982" spans="1:18" x14ac:dyDescent="0.25">
      <c r="A982" s="3"/>
      <c r="B982" s="40"/>
      <c r="C982" s="40"/>
      <c r="D982" s="72"/>
      <c r="E982" s="72"/>
      <c r="F982" s="72"/>
      <c r="G982" s="69" t="str">
        <f t="shared" si="501"/>
        <v/>
      </c>
      <c r="H982" s="69" t="str">
        <f t="shared" si="502"/>
        <v/>
      </c>
      <c r="I982" s="69" t="str">
        <f t="shared" si="503"/>
        <v/>
      </c>
      <c r="J982" s="75" t="str">
        <f t="shared" si="485"/>
        <v/>
      </c>
      <c r="K982" s="63"/>
    </row>
    <row r="984" spans="1:18" x14ac:dyDescent="0.25">
      <c r="A984" s="81">
        <v>50</v>
      </c>
      <c r="B984" s="49" t="s">
        <v>1166</v>
      </c>
      <c r="C984" s="31" t="s">
        <v>1445</v>
      </c>
      <c r="D984" s="76"/>
      <c r="E984" s="66"/>
      <c r="F984" s="66"/>
      <c r="G984" s="66"/>
      <c r="H984" s="66"/>
      <c r="I984" s="66"/>
      <c r="J984" s="60"/>
      <c r="K984" s="60"/>
    </row>
    <row r="985" spans="1:18" x14ac:dyDescent="0.25">
      <c r="A985" s="4" t="s">
        <v>6</v>
      </c>
      <c r="B985" s="37" t="s">
        <v>666</v>
      </c>
      <c r="C985" s="37"/>
      <c r="D985" s="70">
        <v>1</v>
      </c>
      <c r="E985" s="70">
        <v>1</v>
      </c>
      <c r="F985" s="70">
        <v>1</v>
      </c>
      <c r="G985" s="67">
        <f t="shared" ref="G985:G1002" si="510">IF(B985="","",IF( AND(D985=1, E985=1),1,0))</f>
        <v>1</v>
      </c>
      <c r="H985" s="67">
        <f t="shared" ref="H985:H1002" si="511">IF(B985="","",IF(AND(D985=1,F985=1),1,0))</f>
        <v>1</v>
      </c>
      <c r="I985" s="67">
        <f t="shared" ref="I985:I1002" si="512">IF(B985="","",IF(AND(E985=1,F985=1),1,0))</f>
        <v>1</v>
      </c>
      <c r="J985" s="73">
        <f t="shared" ref="J985" si="513">IF(B985="","",SUM(D985:F985))</f>
        <v>3</v>
      </c>
      <c r="K985" s="61"/>
      <c r="M985" s="7">
        <f t="shared" ref="M985" si="514">SUM(G985:I985)/3</f>
        <v>1</v>
      </c>
      <c r="N985" s="6">
        <f t="shared" ref="N985" si="515">SUM(G988:I988)/3</f>
        <v>1</v>
      </c>
      <c r="O985" s="7">
        <f t="shared" ref="O985" si="516">SUM(G991:I991)/3</f>
        <v>0</v>
      </c>
      <c r="P985" s="6">
        <f t="shared" ref="P985" si="517">SUM(G994:I994)/3</f>
        <v>1</v>
      </c>
      <c r="Q985" s="7">
        <f t="shared" ref="Q985:R985" si="518">SUM(G997:I997)/3</f>
        <v>0</v>
      </c>
      <c r="R985" s="7">
        <f t="shared" si="518"/>
        <v>0.33333333333333331</v>
      </c>
    </row>
    <row r="986" spans="1:18" x14ac:dyDescent="0.25">
      <c r="A986" s="2"/>
      <c r="B986" s="39" t="s">
        <v>667</v>
      </c>
      <c r="C986" s="39"/>
      <c r="D986" s="71">
        <v>1</v>
      </c>
      <c r="E986" s="71">
        <v>0</v>
      </c>
      <c r="F986" s="71">
        <v>1</v>
      </c>
      <c r="G986" s="68">
        <f t="shared" si="510"/>
        <v>0</v>
      </c>
      <c r="H986" s="68">
        <f t="shared" si="511"/>
        <v>1</v>
      </c>
      <c r="I986" s="68">
        <f t="shared" si="512"/>
        <v>0</v>
      </c>
      <c r="J986" s="74">
        <f t="shared" si="485"/>
        <v>2</v>
      </c>
      <c r="K986" s="62"/>
    </row>
    <row r="987" spans="1:18" x14ac:dyDescent="0.25">
      <c r="A987" s="3"/>
      <c r="B987" s="42"/>
      <c r="C987" s="42"/>
      <c r="D987" s="72"/>
      <c r="E987" s="72"/>
      <c r="F987" s="72"/>
      <c r="G987" s="69" t="str">
        <f t="shared" si="510"/>
        <v/>
      </c>
      <c r="H987" s="69" t="str">
        <f t="shared" si="511"/>
        <v/>
      </c>
      <c r="I987" s="69" t="str">
        <f t="shared" si="512"/>
        <v/>
      </c>
      <c r="J987" s="75" t="str">
        <f t="shared" si="485"/>
        <v/>
      </c>
      <c r="K987" s="63"/>
    </row>
    <row r="988" spans="1:18" x14ac:dyDescent="0.25">
      <c r="A988" s="4" t="s">
        <v>5</v>
      </c>
      <c r="B988" s="33" t="s">
        <v>23</v>
      </c>
      <c r="C988" s="33"/>
      <c r="D988" s="70">
        <v>1</v>
      </c>
      <c r="E988" s="70">
        <v>1</v>
      </c>
      <c r="F988" s="70">
        <v>1</v>
      </c>
      <c r="G988" s="67">
        <f t="shared" si="510"/>
        <v>1</v>
      </c>
      <c r="H988" s="67">
        <f t="shared" si="511"/>
        <v>1</v>
      </c>
      <c r="I988" s="67">
        <f t="shared" si="512"/>
        <v>1</v>
      </c>
      <c r="J988" s="73">
        <f t="shared" si="485"/>
        <v>3</v>
      </c>
      <c r="K988" s="61"/>
    </row>
    <row r="989" spans="1:18" x14ac:dyDescent="0.25">
      <c r="A989" s="2"/>
      <c r="B989" s="37"/>
      <c r="C989" s="37"/>
      <c r="D989" s="71"/>
      <c r="E989" s="71"/>
      <c r="F989" s="71"/>
      <c r="G989" s="68" t="str">
        <f t="shared" si="510"/>
        <v/>
      </c>
      <c r="H989" s="68" t="str">
        <f t="shared" si="511"/>
        <v/>
      </c>
      <c r="I989" s="68" t="str">
        <f t="shared" si="512"/>
        <v/>
      </c>
      <c r="J989" s="74" t="str">
        <f t="shared" si="485"/>
        <v/>
      </c>
      <c r="K989" s="62"/>
    </row>
    <row r="990" spans="1:18" x14ac:dyDescent="0.25">
      <c r="A990" s="3"/>
      <c r="B990" s="40"/>
      <c r="C990" s="37"/>
      <c r="D990" s="71"/>
      <c r="E990" s="71"/>
      <c r="F990" s="71"/>
      <c r="G990" s="69" t="str">
        <f t="shared" si="510"/>
        <v/>
      </c>
      <c r="H990" s="69" t="str">
        <f t="shared" si="511"/>
        <v/>
      </c>
      <c r="I990" s="69" t="str">
        <f t="shared" si="512"/>
        <v/>
      </c>
      <c r="J990" s="75" t="str">
        <f t="shared" si="485"/>
        <v/>
      </c>
      <c r="K990" s="63"/>
    </row>
    <row r="991" spans="1:18" x14ac:dyDescent="0.25">
      <c r="A991" s="4" t="s">
        <v>7</v>
      </c>
      <c r="B991" s="33" t="s">
        <v>57</v>
      </c>
      <c r="C991" s="33"/>
      <c r="D991" s="70">
        <v>1</v>
      </c>
      <c r="E991" s="70">
        <v>0</v>
      </c>
      <c r="F991" s="70">
        <v>0</v>
      </c>
      <c r="G991" s="67">
        <f t="shared" si="510"/>
        <v>0</v>
      </c>
      <c r="H991" s="67">
        <f t="shared" si="511"/>
        <v>0</v>
      </c>
      <c r="I991" s="67">
        <f t="shared" si="512"/>
        <v>0</v>
      </c>
      <c r="J991" s="73">
        <f t="shared" si="485"/>
        <v>1</v>
      </c>
      <c r="K991" s="61"/>
    </row>
    <row r="992" spans="1:18" x14ac:dyDescent="0.25">
      <c r="A992" s="2"/>
      <c r="B992" s="37" t="s">
        <v>61</v>
      </c>
      <c r="C992" s="37"/>
      <c r="D992" s="71">
        <v>0</v>
      </c>
      <c r="E992" s="71">
        <v>1</v>
      </c>
      <c r="F992" s="71">
        <v>0</v>
      </c>
      <c r="G992" s="68">
        <f t="shared" si="510"/>
        <v>0</v>
      </c>
      <c r="H992" s="68">
        <f t="shared" si="511"/>
        <v>0</v>
      </c>
      <c r="I992" s="68">
        <f t="shared" si="512"/>
        <v>0</v>
      </c>
      <c r="J992" s="74">
        <f t="shared" si="485"/>
        <v>1</v>
      </c>
      <c r="K992" s="62"/>
    </row>
    <row r="993" spans="1:18" x14ac:dyDescent="0.25">
      <c r="A993" s="3"/>
      <c r="B993" s="40" t="s">
        <v>101</v>
      </c>
      <c r="C993" s="40"/>
      <c r="D993" s="72">
        <v>0</v>
      </c>
      <c r="E993" s="72">
        <v>0</v>
      </c>
      <c r="F993" s="72">
        <v>1</v>
      </c>
      <c r="G993" s="69">
        <f t="shared" si="510"/>
        <v>0</v>
      </c>
      <c r="H993" s="69">
        <f t="shared" si="511"/>
        <v>0</v>
      </c>
      <c r="I993" s="69">
        <f t="shared" si="512"/>
        <v>0</v>
      </c>
      <c r="J993" s="75">
        <f t="shared" si="485"/>
        <v>1</v>
      </c>
      <c r="K993" s="63"/>
    </row>
    <row r="994" spans="1:18" x14ac:dyDescent="0.25">
      <c r="A994" s="4" t="s">
        <v>8</v>
      </c>
      <c r="B994" s="37" t="s">
        <v>62</v>
      </c>
      <c r="C994" s="37"/>
      <c r="D994" s="70">
        <v>1</v>
      </c>
      <c r="E994" s="70">
        <v>1</v>
      </c>
      <c r="F994" s="70">
        <v>1</v>
      </c>
      <c r="G994" s="67">
        <f t="shared" si="510"/>
        <v>1</v>
      </c>
      <c r="H994" s="67">
        <f t="shared" si="511"/>
        <v>1</v>
      </c>
      <c r="I994" s="67">
        <f t="shared" si="512"/>
        <v>1</v>
      </c>
      <c r="J994" s="73">
        <f t="shared" si="485"/>
        <v>3</v>
      </c>
      <c r="K994" s="61"/>
    </row>
    <row r="995" spans="1:18" x14ac:dyDescent="0.25">
      <c r="A995" s="2"/>
      <c r="B995" s="37" t="s">
        <v>439</v>
      </c>
      <c r="C995" s="37"/>
      <c r="D995" s="71">
        <v>1</v>
      </c>
      <c r="E995" s="71">
        <v>1</v>
      </c>
      <c r="F995" s="71">
        <v>1</v>
      </c>
      <c r="G995" s="68">
        <f t="shared" si="510"/>
        <v>1</v>
      </c>
      <c r="H995" s="68">
        <f t="shared" si="511"/>
        <v>1</v>
      </c>
      <c r="I995" s="68">
        <f t="shared" si="512"/>
        <v>1</v>
      </c>
      <c r="J995" s="74">
        <f t="shared" si="485"/>
        <v>3</v>
      </c>
      <c r="K995" s="62"/>
    </row>
    <row r="996" spans="1:18" x14ac:dyDescent="0.25">
      <c r="A996" s="3"/>
      <c r="B996" s="40"/>
      <c r="C996" s="40"/>
      <c r="D996" s="72"/>
      <c r="E996" s="72"/>
      <c r="F996" s="72"/>
      <c r="G996" s="69" t="str">
        <f t="shared" si="510"/>
        <v/>
      </c>
      <c r="H996" s="69" t="str">
        <f t="shared" si="511"/>
        <v/>
      </c>
      <c r="I996" s="69" t="str">
        <f t="shared" si="512"/>
        <v/>
      </c>
      <c r="J996" s="75" t="str">
        <f t="shared" si="485"/>
        <v/>
      </c>
      <c r="K996" s="63"/>
    </row>
    <row r="997" spans="1:18" x14ac:dyDescent="0.25">
      <c r="A997" s="2" t="s">
        <v>9</v>
      </c>
      <c r="B997" s="37" t="s">
        <v>437</v>
      </c>
      <c r="C997" s="37"/>
      <c r="D997" s="71">
        <v>1</v>
      </c>
      <c r="E997" s="71">
        <v>0</v>
      </c>
      <c r="F997" s="71">
        <v>0</v>
      </c>
      <c r="G997" s="68">
        <f t="shared" si="510"/>
        <v>0</v>
      </c>
      <c r="H997" s="68">
        <f t="shared" si="511"/>
        <v>0</v>
      </c>
      <c r="I997" s="68">
        <f t="shared" si="512"/>
        <v>0</v>
      </c>
      <c r="J997" s="74">
        <f t="shared" si="485"/>
        <v>1</v>
      </c>
      <c r="K997" s="62"/>
    </row>
    <row r="998" spans="1:18" x14ac:dyDescent="0.25">
      <c r="A998" s="2"/>
      <c r="B998" s="37" t="s">
        <v>441</v>
      </c>
      <c r="C998" s="37"/>
      <c r="D998" s="71">
        <v>0</v>
      </c>
      <c r="E998" s="71">
        <v>1</v>
      </c>
      <c r="F998" s="71">
        <v>0</v>
      </c>
      <c r="G998" s="68">
        <f t="shared" si="510"/>
        <v>0</v>
      </c>
      <c r="H998" s="68">
        <f t="shared" si="511"/>
        <v>0</v>
      </c>
      <c r="I998" s="68">
        <f t="shared" si="512"/>
        <v>0</v>
      </c>
      <c r="J998" s="74">
        <f t="shared" ref="J998:J1073" si="519">IF(B998="","",SUM(D998:F998))</f>
        <v>1</v>
      </c>
      <c r="K998" s="62"/>
    </row>
    <row r="999" spans="1:18" x14ac:dyDescent="0.25">
      <c r="A999" s="3"/>
      <c r="B999" s="40" t="s">
        <v>668</v>
      </c>
      <c r="C999" s="40"/>
      <c r="D999" s="72">
        <v>0</v>
      </c>
      <c r="E999" s="72">
        <v>0</v>
      </c>
      <c r="F999" s="72">
        <v>1</v>
      </c>
      <c r="G999" s="69">
        <f t="shared" si="510"/>
        <v>0</v>
      </c>
      <c r="H999" s="69">
        <f t="shared" si="511"/>
        <v>0</v>
      </c>
      <c r="I999" s="69">
        <f t="shared" si="512"/>
        <v>0</v>
      </c>
      <c r="J999" s="75">
        <f t="shared" si="519"/>
        <v>1</v>
      </c>
      <c r="K999" s="63"/>
    </row>
    <row r="1000" spans="1:18" x14ac:dyDescent="0.25">
      <c r="A1000" s="2" t="s">
        <v>1224</v>
      </c>
      <c r="B1000" s="37" t="s">
        <v>1268</v>
      </c>
      <c r="C1000" s="37"/>
      <c r="D1000" s="71">
        <v>1</v>
      </c>
      <c r="E1000" s="71">
        <v>0</v>
      </c>
      <c r="F1000" s="71">
        <v>0</v>
      </c>
      <c r="G1000" s="68">
        <f t="shared" si="510"/>
        <v>0</v>
      </c>
      <c r="H1000" s="68">
        <f t="shared" si="511"/>
        <v>0</v>
      </c>
      <c r="I1000" s="68">
        <f t="shared" si="512"/>
        <v>0</v>
      </c>
      <c r="J1000" s="74">
        <f t="shared" ref="J1000:J1002" si="520">IF(B1000="","",SUM(D1000:F1000))</f>
        <v>1</v>
      </c>
      <c r="K1000" s="62"/>
    </row>
    <row r="1001" spans="1:18" x14ac:dyDescent="0.25">
      <c r="A1001" s="2"/>
      <c r="B1001" s="37" t="s">
        <v>1324</v>
      </c>
      <c r="C1001" s="37"/>
      <c r="D1001" s="71">
        <v>0</v>
      </c>
      <c r="E1001" s="71">
        <v>1</v>
      </c>
      <c r="F1001" s="71">
        <v>0</v>
      </c>
      <c r="G1001" s="68">
        <f t="shared" si="510"/>
        <v>0</v>
      </c>
      <c r="H1001" s="68">
        <f t="shared" si="511"/>
        <v>0</v>
      </c>
      <c r="I1001" s="68">
        <f t="shared" si="512"/>
        <v>0</v>
      </c>
      <c r="J1001" s="74">
        <f t="shared" si="520"/>
        <v>1</v>
      </c>
      <c r="K1001" s="62"/>
    </row>
    <row r="1002" spans="1:18" x14ac:dyDescent="0.25">
      <c r="A1002" s="3"/>
      <c r="B1002" s="40"/>
      <c r="C1002" s="40"/>
      <c r="D1002" s="72"/>
      <c r="E1002" s="72"/>
      <c r="F1002" s="72"/>
      <c r="G1002" s="69" t="str">
        <f t="shared" si="510"/>
        <v/>
      </c>
      <c r="H1002" s="69" t="str">
        <f t="shared" si="511"/>
        <v/>
      </c>
      <c r="I1002" s="69" t="str">
        <f t="shared" si="512"/>
        <v/>
      </c>
      <c r="J1002" s="75" t="str">
        <f t="shared" si="520"/>
        <v/>
      </c>
      <c r="K1002" s="63"/>
    </row>
    <row r="1004" spans="1:18" x14ac:dyDescent="0.25">
      <c r="A1004" s="81">
        <v>51</v>
      </c>
      <c r="B1004" s="49" t="s">
        <v>1167</v>
      </c>
      <c r="C1004" s="31" t="s">
        <v>1446</v>
      </c>
      <c r="D1004" s="76"/>
      <c r="E1004" s="66"/>
      <c r="F1004" s="66"/>
      <c r="G1004" s="66"/>
      <c r="H1004" s="66"/>
      <c r="I1004" s="66"/>
      <c r="J1004" s="60"/>
      <c r="K1004" s="60"/>
    </row>
    <row r="1005" spans="1:18" x14ac:dyDescent="0.25">
      <c r="A1005" s="4" t="s">
        <v>6</v>
      </c>
      <c r="B1005" s="37" t="s">
        <v>442</v>
      </c>
      <c r="C1005" s="37"/>
      <c r="D1005" s="70">
        <v>1</v>
      </c>
      <c r="E1005" s="70">
        <v>1</v>
      </c>
      <c r="F1005" s="70">
        <v>1</v>
      </c>
      <c r="G1005" s="67">
        <f t="shared" ref="G1005:G1022" si="521">IF(B1005="","",IF( AND(D1005=1, E1005=1),1,0))</f>
        <v>1</v>
      </c>
      <c r="H1005" s="67">
        <f t="shared" ref="H1005:H1022" si="522">IF(B1005="","",IF(AND(D1005=1,F1005=1),1,0))</f>
        <v>1</v>
      </c>
      <c r="I1005" s="67">
        <f t="shared" ref="I1005:I1022" si="523">IF(B1005="","",IF(AND(E1005=1,F1005=1),1,0))</f>
        <v>1</v>
      </c>
      <c r="J1005" s="73">
        <f t="shared" ref="J1005" si="524">IF(B1005="","",SUM(D1005:F1005))</f>
        <v>3</v>
      </c>
      <c r="K1005" s="61"/>
      <c r="M1005" s="7">
        <f t="shared" ref="M1005" si="525">SUM(G1005:I1005)/3</f>
        <v>1</v>
      </c>
      <c r="N1005" s="6">
        <f t="shared" ref="N1005" si="526">SUM(G1008:I1008)/3</f>
        <v>0.33333333333333331</v>
      </c>
      <c r="O1005" s="7">
        <f t="shared" ref="O1005" si="527">SUM(G1011:I1011)/3</f>
        <v>0.33333333333333331</v>
      </c>
      <c r="P1005" s="6">
        <f t="shared" ref="P1005" si="528">SUM(G1014:I1014)/3</f>
        <v>1</v>
      </c>
      <c r="Q1005" s="7">
        <f t="shared" ref="Q1005:R1005" si="529">SUM(G1017:I1017)/3</f>
        <v>0.33333333333333331</v>
      </c>
      <c r="R1005" s="7">
        <f t="shared" si="529"/>
        <v>1</v>
      </c>
    </row>
    <row r="1006" spans="1:18" x14ac:dyDescent="0.25">
      <c r="A1006" s="2"/>
      <c r="B1006" s="37"/>
      <c r="C1006" s="37"/>
      <c r="D1006" s="71"/>
      <c r="E1006" s="71"/>
      <c r="F1006" s="71"/>
      <c r="G1006" s="68" t="str">
        <f t="shared" si="521"/>
        <v/>
      </c>
      <c r="H1006" s="68" t="str">
        <f t="shared" si="522"/>
        <v/>
      </c>
      <c r="I1006" s="68" t="str">
        <f t="shared" si="523"/>
        <v/>
      </c>
      <c r="J1006" s="74" t="str">
        <f t="shared" si="519"/>
        <v/>
      </c>
      <c r="K1006" s="62"/>
    </row>
    <row r="1007" spans="1:18" x14ac:dyDescent="0.25">
      <c r="A1007" s="3"/>
      <c r="B1007" s="42"/>
      <c r="C1007" s="42"/>
      <c r="D1007" s="72"/>
      <c r="E1007" s="72"/>
      <c r="F1007" s="72"/>
      <c r="G1007" s="69" t="str">
        <f t="shared" si="521"/>
        <v/>
      </c>
      <c r="H1007" s="69" t="str">
        <f t="shared" si="522"/>
        <v/>
      </c>
      <c r="I1007" s="69" t="str">
        <f t="shared" si="523"/>
        <v/>
      </c>
      <c r="J1007" s="75" t="str">
        <f t="shared" si="519"/>
        <v/>
      </c>
      <c r="K1007" s="63"/>
    </row>
    <row r="1008" spans="1:18" x14ac:dyDescent="0.25">
      <c r="A1008" s="4" t="s">
        <v>5</v>
      </c>
      <c r="B1008" s="33" t="s">
        <v>61</v>
      </c>
      <c r="C1008" s="33"/>
      <c r="D1008" s="70">
        <v>0</v>
      </c>
      <c r="E1008" s="70">
        <v>1</v>
      </c>
      <c r="F1008" s="70">
        <v>1</v>
      </c>
      <c r="G1008" s="67">
        <f t="shared" si="521"/>
        <v>0</v>
      </c>
      <c r="H1008" s="67">
        <f t="shared" si="522"/>
        <v>0</v>
      </c>
      <c r="I1008" s="67">
        <f t="shared" si="523"/>
        <v>1</v>
      </c>
      <c r="J1008" s="73">
        <f t="shared" si="519"/>
        <v>2</v>
      </c>
      <c r="K1008" s="61"/>
    </row>
    <row r="1009" spans="1:11" x14ac:dyDescent="0.25">
      <c r="A1009" s="2"/>
      <c r="B1009" s="37"/>
      <c r="C1009" s="37"/>
      <c r="D1009" s="71"/>
      <c r="E1009" s="71"/>
      <c r="F1009" s="71"/>
      <c r="G1009" s="68" t="str">
        <f t="shared" si="521"/>
        <v/>
      </c>
      <c r="H1009" s="68" t="str">
        <f t="shared" si="522"/>
        <v/>
      </c>
      <c r="I1009" s="68" t="str">
        <f t="shared" si="523"/>
        <v/>
      </c>
      <c r="J1009" s="74" t="str">
        <f t="shared" si="519"/>
        <v/>
      </c>
      <c r="K1009" s="62"/>
    </row>
    <row r="1010" spans="1:11" x14ac:dyDescent="0.25">
      <c r="A1010" s="3"/>
      <c r="B1010" s="40"/>
      <c r="C1010" s="37"/>
      <c r="D1010" s="71"/>
      <c r="E1010" s="71"/>
      <c r="F1010" s="71"/>
      <c r="G1010" s="69" t="str">
        <f t="shared" si="521"/>
        <v/>
      </c>
      <c r="H1010" s="69" t="str">
        <f t="shared" si="522"/>
        <v/>
      </c>
      <c r="I1010" s="69" t="str">
        <f t="shared" si="523"/>
        <v/>
      </c>
      <c r="J1010" s="75" t="str">
        <f t="shared" si="519"/>
        <v/>
      </c>
      <c r="K1010" s="63"/>
    </row>
    <row r="1011" spans="1:11" x14ac:dyDescent="0.25">
      <c r="A1011" s="4" t="s">
        <v>7</v>
      </c>
      <c r="B1011" s="33" t="s">
        <v>522</v>
      </c>
      <c r="C1011" s="33"/>
      <c r="D1011" s="70">
        <v>1</v>
      </c>
      <c r="E1011" s="70">
        <v>0</v>
      </c>
      <c r="F1011" s="70">
        <v>1</v>
      </c>
      <c r="G1011" s="67">
        <f t="shared" si="521"/>
        <v>0</v>
      </c>
      <c r="H1011" s="67">
        <f t="shared" si="522"/>
        <v>1</v>
      </c>
      <c r="I1011" s="67">
        <f t="shared" si="523"/>
        <v>0</v>
      </c>
      <c r="J1011" s="73">
        <f t="shared" si="519"/>
        <v>2</v>
      </c>
      <c r="K1011" s="61"/>
    </row>
    <row r="1012" spans="1:11" x14ac:dyDescent="0.25">
      <c r="A1012" s="2"/>
      <c r="B1012" s="33" t="s">
        <v>61</v>
      </c>
      <c r="C1012" s="37"/>
      <c r="D1012" s="71">
        <v>1</v>
      </c>
      <c r="E1012" s="71">
        <v>0</v>
      </c>
      <c r="F1012" s="71">
        <v>1</v>
      </c>
      <c r="G1012" s="68">
        <f t="shared" si="521"/>
        <v>0</v>
      </c>
      <c r="H1012" s="68">
        <f t="shared" si="522"/>
        <v>1</v>
      </c>
      <c r="I1012" s="68">
        <f t="shared" si="523"/>
        <v>0</v>
      </c>
      <c r="J1012" s="74">
        <f t="shared" si="519"/>
        <v>2</v>
      </c>
      <c r="K1012" s="62"/>
    </row>
    <row r="1013" spans="1:11" x14ac:dyDescent="0.25">
      <c r="A1013" s="3"/>
      <c r="B1013" s="42" t="s">
        <v>57</v>
      </c>
      <c r="C1013" s="42"/>
      <c r="D1013" s="72">
        <v>0</v>
      </c>
      <c r="E1013" s="72">
        <v>1</v>
      </c>
      <c r="F1013" s="72">
        <v>1</v>
      </c>
      <c r="G1013" s="69">
        <f t="shared" si="521"/>
        <v>0</v>
      </c>
      <c r="H1013" s="69">
        <f t="shared" si="522"/>
        <v>0</v>
      </c>
      <c r="I1013" s="69">
        <f t="shared" si="523"/>
        <v>1</v>
      </c>
      <c r="J1013" s="75">
        <f t="shared" si="519"/>
        <v>2</v>
      </c>
      <c r="K1013" s="63"/>
    </row>
    <row r="1014" spans="1:11" x14ac:dyDescent="0.25">
      <c r="A1014" s="4" t="s">
        <v>8</v>
      </c>
      <c r="B1014" s="37" t="s">
        <v>62</v>
      </c>
      <c r="C1014" s="37"/>
      <c r="D1014" s="70">
        <v>1</v>
      </c>
      <c r="E1014" s="70">
        <v>1</v>
      </c>
      <c r="F1014" s="70">
        <v>1</v>
      </c>
      <c r="G1014" s="67">
        <f t="shared" si="521"/>
        <v>1</v>
      </c>
      <c r="H1014" s="67">
        <f t="shared" si="522"/>
        <v>1</v>
      </c>
      <c r="I1014" s="67">
        <f t="shared" si="523"/>
        <v>1</v>
      </c>
      <c r="J1014" s="73">
        <f t="shared" si="519"/>
        <v>3</v>
      </c>
      <c r="K1014" s="61"/>
    </row>
    <row r="1015" spans="1:11" x14ac:dyDescent="0.25">
      <c r="A1015" s="2"/>
      <c r="B1015" s="37"/>
      <c r="C1015" s="37"/>
      <c r="D1015" s="71"/>
      <c r="E1015" s="71"/>
      <c r="F1015" s="71"/>
      <c r="G1015" s="68" t="str">
        <f t="shared" si="521"/>
        <v/>
      </c>
      <c r="H1015" s="68" t="str">
        <f t="shared" si="522"/>
        <v/>
      </c>
      <c r="I1015" s="68" t="str">
        <f t="shared" si="523"/>
        <v/>
      </c>
      <c r="J1015" s="74" t="str">
        <f t="shared" si="519"/>
        <v/>
      </c>
      <c r="K1015" s="62"/>
    </row>
    <row r="1016" spans="1:11" x14ac:dyDescent="0.25">
      <c r="A1016" s="3"/>
      <c r="B1016" s="40"/>
      <c r="C1016" s="40"/>
      <c r="D1016" s="72"/>
      <c r="E1016" s="72"/>
      <c r="F1016" s="72"/>
      <c r="G1016" s="69" t="str">
        <f t="shared" si="521"/>
        <v/>
      </c>
      <c r="H1016" s="69" t="str">
        <f t="shared" si="522"/>
        <v/>
      </c>
      <c r="I1016" s="69" t="str">
        <f t="shared" si="523"/>
        <v/>
      </c>
      <c r="J1016" s="75" t="str">
        <f t="shared" si="519"/>
        <v/>
      </c>
      <c r="K1016" s="63"/>
    </row>
    <row r="1017" spans="1:11" x14ac:dyDescent="0.25">
      <c r="A1017" s="2" t="s">
        <v>9</v>
      </c>
      <c r="B1017" s="37" t="s">
        <v>751</v>
      </c>
      <c r="C1017" s="37"/>
      <c r="D1017" s="71">
        <v>0</v>
      </c>
      <c r="E1017" s="71">
        <v>1</v>
      </c>
      <c r="F1017" s="71">
        <v>1</v>
      </c>
      <c r="G1017" s="68">
        <f t="shared" si="521"/>
        <v>0</v>
      </c>
      <c r="H1017" s="68">
        <f t="shared" si="522"/>
        <v>0</v>
      </c>
      <c r="I1017" s="68">
        <f t="shared" si="523"/>
        <v>1</v>
      </c>
      <c r="J1017" s="74">
        <f t="shared" si="519"/>
        <v>2</v>
      </c>
      <c r="K1017" s="62"/>
    </row>
    <row r="1018" spans="1:11" x14ac:dyDescent="0.25">
      <c r="A1018" s="2"/>
      <c r="B1018" s="37"/>
      <c r="C1018" s="37"/>
      <c r="D1018" s="71"/>
      <c r="E1018" s="71"/>
      <c r="F1018" s="71"/>
      <c r="G1018" s="68" t="str">
        <f t="shared" si="521"/>
        <v/>
      </c>
      <c r="H1018" s="68" t="str">
        <f t="shared" si="522"/>
        <v/>
      </c>
      <c r="I1018" s="68" t="str">
        <f t="shared" si="523"/>
        <v/>
      </c>
      <c r="J1018" s="74" t="str">
        <f t="shared" si="519"/>
        <v/>
      </c>
      <c r="K1018" s="62"/>
    </row>
    <row r="1019" spans="1:11" x14ac:dyDescent="0.25">
      <c r="A1019" s="3"/>
      <c r="B1019" s="40"/>
      <c r="C1019" s="40"/>
      <c r="D1019" s="72"/>
      <c r="E1019" s="72"/>
      <c r="F1019" s="72"/>
      <c r="G1019" s="69" t="str">
        <f t="shared" si="521"/>
        <v/>
      </c>
      <c r="H1019" s="69" t="str">
        <f t="shared" si="522"/>
        <v/>
      </c>
      <c r="I1019" s="69" t="str">
        <f t="shared" si="523"/>
        <v/>
      </c>
      <c r="J1019" s="75" t="str">
        <f t="shared" si="519"/>
        <v/>
      </c>
      <c r="K1019" s="63"/>
    </row>
    <row r="1020" spans="1:11" x14ac:dyDescent="0.25">
      <c r="A1020" s="2" t="s">
        <v>1224</v>
      </c>
      <c r="B1020" s="37" t="s">
        <v>1269</v>
      </c>
      <c r="C1020" s="37"/>
      <c r="D1020" s="71">
        <v>1</v>
      </c>
      <c r="E1020" s="71">
        <v>0</v>
      </c>
      <c r="F1020" s="71">
        <v>1</v>
      </c>
      <c r="G1020" s="68">
        <f t="shared" si="521"/>
        <v>0</v>
      </c>
      <c r="H1020" s="68">
        <f t="shared" si="522"/>
        <v>1</v>
      </c>
      <c r="I1020" s="68">
        <f t="shared" si="523"/>
        <v>0</v>
      </c>
      <c r="J1020" s="74">
        <f t="shared" ref="J1020:J1022" si="530">IF(B1020="","",SUM(D1020:F1020))</f>
        <v>2</v>
      </c>
      <c r="K1020" s="62"/>
    </row>
    <row r="1021" spans="1:11" x14ac:dyDescent="0.25">
      <c r="A1021" s="2"/>
      <c r="B1021" s="37" t="s">
        <v>1325</v>
      </c>
      <c r="C1021" s="37"/>
      <c r="D1021" s="71">
        <v>0</v>
      </c>
      <c r="E1021" s="71">
        <v>1</v>
      </c>
      <c r="F1021" s="71">
        <v>0</v>
      </c>
      <c r="G1021" s="68">
        <f t="shared" si="521"/>
        <v>0</v>
      </c>
      <c r="H1021" s="68">
        <f t="shared" si="522"/>
        <v>0</v>
      </c>
      <c r="I1021" s="68">
        <f t="shared" si="523"/>
        <v>0</v>
      </c>
      <c r="J1021" s="74">
        <f t="shared" si="530"/>
        <v>1</v>
      </c>
      <c r="K1021" s="62"/>
    </row>
    <row r="1022" spans="1:11" x14ac:dyDescent="0.25">
      <c r="A1022" s="3"/>
      <c r="B1022" s="40"/>
      <c r="C1022" s="40"/>
      <c r="D1022" s="72"/>
      <c r="E1022" s="72"/>
      <c r="F1022" s="72"/>
      <c r="G1022" s="69" t="str">
        <f t="shared" si="521"/>
        <v/>
      </c>
      <c r="H1022" s="69" t="str">
        <f t="shared" si="522"/>
        <v/>
      </c>
      <c r="I1022" s="69" t="str">
        <f t="shared" si="523"/>
        <v/>
      </c>
      <c r="J1022" s="75" t="str">
        <f t="shared" si="530"/>
        <v/>
      </c>
      <c r="K1022" s="63"/>
    </row>
    <row r="1024" spans="1:11" x14ac:dyDescent="0.25">
      <c r="A1024" s="81">
        <v>52</v>
      </c>
      <c r="B1024" s="49" t="s">
        <v>1168</v>
      </c>
      <c r="C1024" s="31" t="s">
        <v>1447</v>
      </c>
      <c r="D1024" s="76"/>
      <c r="E1024" s="66"/>
      <c r="F1024" s="66"/>
      <c r="G1024" s="66"/>
      <c r="H1024" s="66"/>
      <c r="I1024" s="66"/>
      <c r="J1024" s="60"/>
      <c r="K1024" s="60"/>
    </row>
    <row r="1025" spans="1:18" x14ac:dyDescent="0.25">
      <c r="A1025" s="4" t="s">
        <v>6</v>
      </c>
      <c r="B1025" s="37" t="s">
        <v>448</v>
      </c>
      <c r="C1025" s="37"/>
      <c r="D1025" s="70">
        <v>1</v>
      </c>
      <c r="E1025" s="70">
        <v>1</v>
      </c>
      <c r="F1025" s="70">
        <v>1</v>
      </c>
      <c r="G1025" s="67">
        <f t="shared" ref="G1025:G1042" si="531">IF(B1025="","",IF( AND(D1025=1, E1025=1),1,0))</f>
        <v>1</v>
      </c>
      <c r="H1025" s="67">
        <f t="shared" ref="H1025:H1042" si="532">IF(B1025="","",IF(AND(D1025=1,F1025=1),1,0))</f>
        <v>1</v>
      </c>
      <c r="I1025" s="67">
        <f t="shared" ref="I1025:I1042" si="533">IF(B1025="","",IF(AND(E1025=1,F1025=1),1,0))</f>
        <v>1</v>
      </c>
      <c r="J1025" s="73">
        <f t="shared" ref="J1025" si="534">IF(B1025="","",SUM(D1025:F1025))</f>
        <v>3</v>
      </c>
      <c r="K1025" s="61"/>
      <c r="M1025" s="7">
        <f t="shared" ref="M1025" si="535">SUM(G1025:I1025)/3</f>
        <v>1</v>
      </c>
      <c r="N1025" s="6">
        <f t="shared" ref="N1025" si="536">SUM(G1028:I1028)/3</f>
        <v>1</v>
      </c>
      <c r="O1025" s="7">
        <f t="shared" ref="O1025" si="537">SUM(G1031:I1031)/3</f>
        <v>1</v>
      </c>
      <c r="P1025" s="6">
        <f t="shared" ref="P1025" si="538">SUM(G1034:I1034)/3</f>
        <v>1</v>
      </c>
      <c r="Q1025" s="7">
        <f t="shared" ref="Q1025" si="539">SUM(G1037:I1037)/3</f>
        <v>0.33333333333333331</v>
      </c>
      <c r="R1025" s="7">
        <f>SUM(G1040:I1040)/3</f>
        <v>1</v>
      </c>
    </row>
    <row r="1026" spans="1:18" x14ac:dyDescent="0.25">
      <c r="A1026" s="2"/>
      <c r="B1026" s="37"/>
      <c r="C1026" s="37"/>
      <c r="D1026" s="71">
        <v>1</v>
      </c>
      <c r="E1026" s="71">
        <v>1</v>
      </c>
      <c r="F1026" s="71">
        <v>1</v>
      </c>
      <c r="G1026" s="68" t="str">
        <f t="shared" si="531"/>
        <v/>
      </c>
      <c r="H1026" s="68" t="str">
        <f t="shared" si="532"/>
        <v/>
      </c>
      <c r="I1026" s="68" t="str">
        <f t="shared" si="533"/>
        <v/>
      </c>
      <c r="J1026" s="74" t="str">
        <f t="shared" si="519"/>
        <v/>
      </c>
      <c r="K1026" s="62"/>
    </row>
    <row r="1027" spans="1:18" x14ac:dyDescent="0.25">
      <c r="A1027" s="3"/>
      <c r="B1027" s="42"/>
      <c r="C1027" s="42"/>
      <c r="D1027" s="72">
        <v>1</v>
      </c>
      <c r="E1027" s="72">
        <v>1</v>
      </c>
      <c r="F1027" s="72">
        <v>1</v>
      </c>
      <c r="G1027" s="69" t="str">
        <f t="shared" si="531"/>
        <v/>
      </c>
      <c r="H1027" s="69" t="str">
        <f t="shared" si="532"/>
        <v/>
      </c>
      <c r="I1027" s="69" t="str">
        <f t="shared" si="533"/>
        <v/>
      </c>
      <c r="J1027" s="75" t="str">
        <f t="shared" si="519"/>
        <v/>
      </c>
      <c r="K1027" s="63"/>
    </row>
    <row r="1028" spans="1:18" x14ac:dyDescent="0.25">
      <c r="A1028" s="4" t="s">
        <v>5</v>
      </c>
      <c r="B1028" s="33" t="s">
        <v>438</v>
      </c>
      <c r="C1028" s="33"/>
      <c r="D1028" s="70">
        <v>1</v>
      </c>
      <c r="E1028" s="70">
        <v>1</v>
      </c>
      <c r="F1028" s="70">
        <v>1</v>
      </c>
      <c r="G1028" s="67">
        <f t="shared" si="531"/>
        <v>1</v>
      </c>
      <c r="H1028" s="67">
        <f t="shared" si="532"/>
        <v>1</v>
      </c>
      <c r="I1028" s="67">
        <f t="shared" si="533"/>
        <v>1</v>
      </c>
      <c r="J1028" s="73">
        <f t="shared" si="519"/>
        <v>3</v>
      </c>
      <c r="K1028" s="61"/>
    </row>
    <row r="1029" spans="1:18" x14ac:dyDescent="0.25">
      <c r="A1029" s="2"/>
      <c r="B1029" s="37"/>
      <c r="C1029" s="37"/>
      <c r="D1029" s="71"/>
      <c r="E1029" s="71"/>
      <c r="F1029" s="71"/>
      <c r="G1029" s="68" t="str">
        <f t="shared" si="531"/>
        <v/>
      </c>
      <c r="H1029" s="68" t="str">
        <f t="shared" si="532"/>
        <v/>
      </c>
      <c r="I1029" s="68" t="str">
        <f t="shared" si="533"/>
        <v/>
      </c>
      <c r="J1029" s="74" t="str">
        <f t="shared" si="519"/>
        <v/>
      </c>
      <c r="K1029" s="62"/>
    </row>
    <row r="1030" spans="1:18" x14ac:dyDescent="0.25">
      <c r="A1030" s="3"/>
      <c r="B1030" s="40"/>
      <c r="C1030" s="37"/>
      <c r="D1030" s="71"/>
      <c r="E1030" s="71"/>
      <c r="F1030" s="71"/>
      <c r="G1030" s="69" t="str">
        <f t="shared" si="531"/>
        <v/>
      </c>
      <c r="H1030" s="69" t="str">
        <f t="shared" si="532"/>
        <v/>
      </c>
      <c r="I1030" s="69" t="str">
        <f t="shared" si="533"/>
        <v/>
      </c>
      <c r="J1030" s="75" t="str">
        <f t="shared" si="519"/>
        <v/>
      </c>
      <c r="K1030" s="63"/>
    </row>
    <row r="1031" spans="1:18" x14ac:dyDescent="0.25">
      <c r="A1031" s="4" t="s">
        <v>7</v>
      </c>
      <c r="B1031" s="33" t="s">
        <v>57</v>
      </c>
      <c r="C1031" s="33"/>
      <c r="D1031" s="70">
        <v>1</v>
      </c>
      <c r="E1031" s="70">
        <v>1</v>
      </c>
      <c r="F1031" s="70">
        <v>1</v>
      </c>
      <c r="G1031" s="67">
        <f t="shared" si="531"/>
        <v>1</v>
      </c>
      <c r="H1031" s="67">
        <f t="shared" si="532"/>
        <v>1</v>
      </c>
      <c r="I1031" s="67">
        <f t="shared" si="533"/>
        <v>1</v>
      </c>
      <c r="J1031" s="73">
        <f t="shared" si="519"/>
        <v>3</v>
      </c>
      <c r="K1031" s="61"/>
    </row>
    <row r="1032" spans="1:18" x14ac:dyDescent="0.25">
      <c r="A1032" s="2"/>
      <c r="B1032" s="37" t="s">
        <v>61</v>
      </c>
      <c r="C1032" s="37"/>
      <c r="D1032" s="71">
        <v>1</v>
      </c>
      <c r="E1032" s="71">
        <v>0</v>
      </c>
      <c r="F1032" s="71">
        <v>1</v>
      </c>
      <c r="G1032" s="68">
        <f t="shared" si="531"/>
        <v>0</v>
      </c>
      <c r="H1032" s="68">
        <f t="shared" si="532"/>
        <v>1</v>
      </c>
      <c r="I1032" s="68">
        <f t="shared" si="533"/>
        <v>0</v>
      </c>
      <c r="J1032" s="74">
        <f t="shared" si="519"/>
        <v>2</v>
      </c>
      <c r="K1032" s="62"/>
    </row>
    <row r="1033" spans="1:18" x14ac:dyDescent="0.25">
      <c r="A1033" s="3"/>
      <c r="B1033" s="40"/>
      <c r="C1033" s="40"/>
      <c r="D1033" s="72"/>
      <c r="E1033" s="72"/>
      <c r="F1033" s="72"/>
      <c r="G1033" s="69" t="str">
        <f t="shared" si="531"/>
        <v/>
      </c>
      <c r="H1033" s="69" t="str">
        <f t="shared" si="532"/>
        <v/>
      </c>
      <c r="I1033" s="69" t="str">
        <f t="shared" si="533"/>
        <v/>
      </c>
      <c r="J1033" s="75" t="str">
        <f t="shared" si="519"/>
        <v/>
      </c>
      <c r="K1033" s="63"/>
    </row>
    <row r="1034" spans="1:18" x14ac:dyDescent="0.25">
      <c r="A1034" s="4" t="s">
        <v>8</v>
      </c>
      <c r="B1034" s="37" t="s">
        <v>449</v>
      </c>
      <c r="C1034" s="37"/>
      <c r="D1034" s="70">
        <v>1</v>
      </c>
      <c r="E1034" s="70">
        <v>1</v>
      </c>
      <c r="F1034" s="70">
        <v>1</v>
      </c>
      <c r="G1034" s="67">
        <f t="shared" si="531"/>
        <v>1</v>
      </c>
      <c r="H1034" s="67">
        <f t="shared" si="532"/>
        <v>1</v>
      </c>
      <c r="I1034" s="67">
        <f t="shared" si="533"/>
        <v>1</v>
      </c>
      <c r="J1034" s="73">
        <f t="shared" si="519"/>
        <v>3</v>
      </c>
      <c r="K1034" s="61"/>
    </row>
    <row r="1035" spans="1:18" x14ac:dyDescent="0.25">
      <c r="A1035" s="2"/>
      <c r="B1035" s="37"/>
      <c r="C1035" s="37"/>
      <c r="D1035" s="71"/>
      <c r="E1035" s="71"/>
      <c r="F1035" s="71"/>
      <c r="G1035" s="68" t="str">
        <f t="shared" si="531"/>
        <v/>
      </c>
      <c r="H1035" s="68" t="str">
        <f t="shared" si="532"/>
        <v/>
      </c>
      <c r="I1035" s="68" t="str">
        <f t="shared" si="533"/>
        <v/>
      </c>
      <c r="J1035" s="74" t="str">
        <f t="shared" si="519"/>
        <v/>
      </c>
      <c r="K1035" s="62"/>
    </row>
    <row r="1036" spans="1:18" x14ac:dyDescent="0.25">
      <c r="A1036" s="3"/>
      <c r="B1036" s="40"/>
      <c r="C1036" s="40"/>
      <c r="D1036" s="72"/>
      <c r="E1036" s="72"/>
      <c r="F1036" s="72"/>
      <c r="G1036" s="69" t="str">
        <f t="shared" si="531"/>
        <v/>
      </c>
      <c r="H1036" s="69" t="str">
        <f t="shared" si="532"/>
        <v/>
      </c>
      <c r="I1036" s="69" t="str">
        <f t="shared" si="533"/>
        <v/>
      </c>
      <c r="J1036" s="75" t="str">
        <f t="shared" si="519"/>
        <v/>
      </c>
      <c r="K1036" s="63"/>
    </row>
    <row r="1037" spans="1:18" x14ac:dyDescent="0.25">
      <c r="A1037" s="2" t="s">
        <v>9</v>
      </c>
      <c r="B1037" s="37" t="s">
        <v>525</v>
      </c>
      <c r="C1037" s="37"/>
      <c r="D1037" s="71">
        <v>1</v>
      </c>
      <c r="E1037" s="71">
        <v>0</v>
      </c>
      <c r="F1037" s="71">
        <v>1</v>
      </c>
      <c r="G1037" s="68">
        <f t="shared" si="531"/>
        <v>0</v>
      </c>
      <c r="H1037" s="68">
        <f t="shared" si="532"/>
        <v>1</v>
      </c>
      <c r="I1037" s="68">
        <f t="shared" si="533"/>
        <v>0</v>
      </c>
      <c r="J1037" s="74">
        <f t="shared" si="519"/>
        <v>2</v>
      </c>
      <c r="K1037" s="62"/>
    </row>
    <row r="1038" spans="1:18" x14ac:dyDescent="0.25">
      <c r="A1038" s="2"/>
      <c r="B1038" s="37" t="s">
        <v>450</v>
      </c>
      <c r="C1038" s="37"/>
      <c r="D1038" s="71">
        <v>0</v>
      </c>
      <c r="E1038" s="71">
        <v>1</v>
      </c>
      <c r="F1038" s="71">
        <v>1</v>
      </c>
      <c r="G1038" s="68">
        <f t="shared" si="531"/>
        <v>0</v>
      </c>
      <c r="H1038" s="68">
        <f t="shared" si="532"/>
        <v>0</v>
      </c>
      <c r="I1038" s="68">
        <f t="shared" si="533"/>
        <v>1</v>
      </c>
      <c r="J1038" s="74">
        <f t="shared" si="519"/>
        <v>2</v>
      </c>
      <c r="K1038" s="62"/>
    </row>
    <row r="1039" spans="1:18" x14ac:dyDescent="0.25">
      <c r="A1039" s="3"/>
      <c r="B1039" s="40"/>
      <c r="C1039" s="40"/>
      <c r="D1039" s="72"/>
      <c r="E1039" s="72"/>
      <c r="F1039" s="72"/>
      <c r="G1039" s="69" t="str">
        <f t="shared" si="531"/>
        <v/>
      </c>
      <c r="H1039" s="69" t="str">
        <f t="shared" si="532"/>
        <v/>
      </c>
      <c r="I1039" s="69" t="str">
        <f t="shared" si="533"/>
        <v/>
      </c>
      <c r="J1039" s="75" t="str">
        <f t="shared" si="519"/>
        <v/>
      </c>
      <c r="K1039" s="63"/>
    </row>
    <row r="1040" spans="1:18" x14ac:dyDescent="0.25">
      <c r="A1040" s="2" t="s">
        <v>1224</v>
      </c>
      <c r="B1040" s="37" t="s">
        <v>441</v>
      </c>
      <c r="C1040" s="37"/>
      <c r="D1040" s="71">
        <v>1</v>
      </c>
      <c r="E1040" s="71">
        <v>1</v>
      </c>
      <c r="F1040" s="71">
        <v>1</v>
      </c>
      <c r="G1040" s="68">
        <f t="shared" si="531"/>
        <v>1</v>
      </c>
      <c r="H1040" s="68">
        <f t="shared" si="532"/>
        <v>1</v>
      </c>
      <c r="I1040" s="68">
        <f t="shared" si="533"/>
        <v>1</v>
      </c>
      <c r="J1040" s="74">
        <f t="shared" ref="J1040:J1042" si="540">IF(B1040="","",SUM(D1040:F1040))</f>
        <v>3</v>
      </c>
      <c r="K1040" s="62"/>
    </row>
    <row r="1041" spans="1:18" x14ac:dyDescent="0.25">
      <c r="A1041" s="2"/>
      <c r="B1041" s="37"/>
      <c r="C1041" s="37"/>
      <c r="D1041" s="71"/>
      <c r="E1041" s="71"/>
      <c r="F1041" s="71"/>
      <c r="G1041" s="68" t="str">
        <f t="shared" si="531"/>
        <v/>
      </c>
      <c r="H1041" s="68" t="str">
        <f t="shared" si="532"/>
        <v/>
      </c>
      <c r="I1041" s="68" t="str">
        <f t="shared" si="533"/>
        <v/>
      </c>
      <c r="J1041" s="74" t="str">
        <f t="shared" si="540"/>
        <v/>
      </c>
      <c r="K1041" s="62"/>
    </row>
    <row r="1042" spans="1:18" x14ac:dyDescent="0.25">
      <c r="A1042" s="3"/>
      <c r="B1042" s="40"/>
      <c r="C1042" s="40"/>
      <c r="D1042" s="72"/>
      <c r="E1042" s="72"/>
      <c r="F1042" s="72"/>
      <c r="G1042" s="69" t="str">
        <f t="shared" si="531"/>
        <v/>
      </c>
      <c r="H1042" s="69" t="str">
        <f t="shared" si="532"/>
        <v/>
      </c>
      <c r="I1042" s="69" t="str">
        <f t="shared" si="533"/>
        <v/>
      </c>
      <c r="J1042" s="75" t="str">
        <f t="shared" si="540"/>
        <v/>
      </c>
      <c r="K1042" s="63"/>
    </row>
    <row r="1044" spans="1:18" x14ac:dyDescent="0.25">
      <c r="A1044" s="81">
        <v>53</v>
      </c>
      <c r="B1044" s="49" t="s">
        <v>1169</v>
      </c>
      <c r="C1044" s="31" t="s">
        <v>1448</v>
      </c>
      <c r="D1044" s="76"/>
      <c r="E1044" s="66"/>
      <c r="F1044" s="66"/>
      <c r="G1044" s="66"/>
      <c r="H1044" s="66"/>
      <c r="I1044" s="66"/>
      <c r="J1044" s="60"/>
      <c r="K1044" s="60"/>
    </row>
    <row r="1045" spans="1:18" x14ac:dyDescent="0.25">
      <c r="A1045" s="4" t="s">
        <v>6</v>
      </c>
      <c r="B1045" s="37" t="s">
        <v>451</v>
      </c>
      <c r="C1045" s="37"/>
      <c r="D1045" s="70">
        <v>1</v>
      </c>
      <c r="E1045" s="70">
        <v>1</v>
      </c>
      <c r="F1045" s="70">
        <v>1</v>
      </c>
      <c r="G1045" s="67">
        <f t="shared" ref="G1045:G1062" si="541">IF(B1045="","",IF( AND(D1045=1, E1045=1),1,0))</f>
        <v>1</v>
      </c>
      <c r="H1045" s="67">
        <f t="shared" ref="H1045:H1062" si="542">IF(B1045="","",IF(AND(D1045=1,F1045=1),1,0))</f>
        <v>1</v>
      </c>
      <c r="I1045" s="67">
        <f t="shared" ref="I1045:I1062" si="543">IF(B1045="","",IF(AND(E1045=1,F1045=1),1,0))</f>
        <v>1</v>
      </c>
      <c r="J1045" s="73">
        <f t="shared" ref="J1045" si="544">IF(B1045="","",SUM(D1045:F1045))</f>
        <v>3</v>
      </c>
      <c r="K1045" s="61"/>
      <c r="M1045" s="7">
        <f t="shared" ref="M1045" si="545">SUM(G1045:I1045)/3</f>
        <v>1</v>
      </c>
      <c r="N1045" s="6">
        <f t="shared" ref="N1045" si="546">SUM(G1048:I1048)/3</f>
        <v>1</v>
      </c>
      <c r="O1045" s="7">
        <f t="shared" ref="O1045" si="547">SUM(G1051:I1051)/3</f>
        <v>0.33333333333333331</v>
      </c>
      <c r="P1045" s="6">
        <f t="shared" ref="P1045" si="548">SUM(G1054:I1054)/3</f>
        <v>1</v>
      </c>
      <c r="Q1045" s="7">
        <f t="shared" ref="Q1045" si="549">SUM(G1057:I1057)/3</f>
        <v>0.33333333333333331</v>
      </c>
      <c r="R1045" s="7">
        <f>SUM(G1060:I1060)/3</f>
        <v>0.33333333333333331</v>
      </c>
    </row>
    <row r="1046" spans="1:18" x14ac:dyDescent="0.25">
      <c r="A1046" s="2"/>
      <c r="B1046" s="37"/>
      <c r="C1046" s="37"/>
      <c r="D1046" s="71"/>
      <c r="E1046" s="71"/>
      <c r="F1046" s="71"/>
      <c r="G1046" s="68" t="str">
        <f t="shared" si="541"/>
        <v/>
      </c>
      <c r="H1046" s="68" t="str">
        <f t="shared" si="542"/>
        <v/>
      </c>
      <c r="I1046" s="68" t="str">
        <f t="shared" si="543"/>
        <v/>
      </c>
      <c r="J1046" s="74" t="str">
        <f t="shared" si="519"/>
        <v/>
      </c>
      <c r="K1046" s="62"/>
    </row>
    <row r="1047" spans="1:18" x14ac:dyDescent="0.25">
      <c r="A1047" s="3"/>
      <c r="B1047" s="42"/>
      <c r="C1047" s="42"/>
      <c r="D1047" s="72"/>
      <c r="E1047" s="72"/>
      <c r="F1047" s="72"/>
      <c r="G1047" s="69" t="str">
        <f t="shared" si="541"/>
        <v/>
      </c>
      <c r="H1047" s="69" t="str">
        <f t="shared" si="542"/>
        <v/>
      </c>
      <c r="I1047" s="69" t="str">
        <f t="shared" si="543"/>
        <v/>
      </c>
      <c r="J1047" s="75" t="str">
        <f t="shared" si="519"/>
        <v/>
      </c>
      <c r="K1047" s="63"/>
    </row>
    <row r="1048" spans="1:18" x14ac:dyDescent="0.25">
      <c r="A1048" s="4" t="s">
        <v>5</v>
      </c>
      <c r="B1048" s="33" t="s">
        <v>438</v>
      </c>
      <c r="C1048" s="33"/>
      <c r="D1048" s="70">
        <v>1</v>
      </c>
      <c r="E1048" s="70">
        <v>1</v>
      </c>
      <c r="F1048" s="70">
        <v>1</v>
      </c>
      <c r="G1048" s="67">
        <f t="shared" si="541"/>
        <v>1</v>
      </c>
      <c r="H1048" s="67">
        <f t="shared" si="542"/>
        <v>1</v>
      </c>
      <c r="I1048" s="67">
        <f t="shared" si="543"/>
        <v>1</v>
      </c>
      <c r="J1048" s="73">
        <f t="shared" si="519"/>
        <v>3</v>
      </c>
      <c r="K1048" s="61"/>
    </row>
    <row r="1049" spans="1:18" x14ac:dyDescent="0.25">
      <c r="A1049" s="2"/>
      <c r="B1049" s="37"/>
      <c r="C1049" s="37"/>
      <c r="D1049" s="71"/>
      <c r="E1049" s="71"/>
      <c r="F1049" s="71"/>
      <c r="G1049" s="68" t="str">
        <f t="shared" si="541"/>
        <v/>
      </c>
      <c r="H1049" s="68" t="str">
        <f t="shared" si="542"/>
        <v/>
      </c>
      <c r="I1049" s="68" t="str">
        <f t="shared" si="543"/>
        <v/>
      </c>
      <c r="J1049" s="74" t="str">
        <f t="shared" si="519"/>
        <v/>
      </c>
      <c r="K1049" s="62"/>
    </row>
    <row r="1050" spans="1:18" x14ac:dyDescent="0.25">
      <c r="A1050" s="3"/>
      <c r="B1050" s="40"/>
      <c r="C1050" s="37"/>
      <c r="D1050" s="71"/>
      <c r="E1050" s="71"/>
      <c r="F1050" s="71"/>
      <c r="G1050" s="69" t="str">
        <f t="shared" si="541"/>
        <v/>
      </c>
      <c r="H1050" s="69" t="str">
        <f t="shared" si="542"/>
        <v/>
      </c>
      <c r="I1050" s="69" t="str">
        <f t="shared" si="543"/>
        <v/>
      </c>
      <c r="J1050" s="75" t="str">
        <f t="shared" si="519"/>
        <v/>
      </c>
      <c r="K1050" s="63"/>
    </row>
    <row r="1051" spans="1:18" x14ac:dyDescent="0.25">
      <c r="A1051" s="4" t="s">
        <v>7</v>
      </c>
      <c r="B1051" s="33" t="s">
        <v>61</v>
      </c>
      <c r="C1051" s="33"/>
      <c r="D1051" s="70">
        <v>1</v>
      </c>
      <c r="E1051" s="70">
        <v>0</v>
      </c>
      <c r="F1051" s="70">
        <v>1</v>
      </c>
      <c r="G1051" s="67">
        <f t="shared" si="541"/>
        <v>0</v>
      </c>
      <c r="H1051" s="67">
        <f t="shared" si="542"/>
        <v>1</v>
      </c>
      <c r="I1051" s="67">
        <f t="shared" si="543"/>
        <v>0</v>
      </c>
      <c r="J1051" s="73">
        <f t="shared" si="519"/>
        <v>2</v>
      </c>
      <c r="K1051" s="61"/>
    </row>
    <row r="1052" spans="1:18" x14ac:dyDescent="0.25">
      <c r="A1052" s="2"/>
      <c r="B1052" s="37"/>
      <c r="C1052" s="37"/>
      <c r="D1052" s="71"/>
      <c r="E1052" s="71"/>
      <c r="F1052" s="71"/>
      <c r="G1052" s="68" t="str">
        <f t="shared" si="541"/>
        <v/>
      </c>
      <c r="H1052" s="68" t="str">
        <f t="shared" si="542"/>
        <v/>
      </c>
      <c r="I1052" s="68" t="str">
        <f t="shared" si="543"/>
        <v/>
      </c>
      <c r="J1052" s="74" t="str">
        <f t="shared" si="519"/>
        <v/>
      </c>
      <c r="K1052" s="62"/>
    </row>
    <row r="1053" spans="1:18" x14ac:dyDescent="0.25">
      <c r="A1053" s="3"/>
      <c r="B1053" s="40"/>
      <c r="C1053" s="40"/>
      <c r="D1053" s="72"/>
      <c r="E1053" s="72"/>
      <c r="F1053" s="72"/>
      <c r="G1053" s="69" t="str">
        <f t="shared" si="541"/>
        <v/>
      </c>
      <c r="H1053" s="69" t="str">
        <f t="shared" si="542"/>
        <v/>
      </c>
      <c r="I1053" s="69" t="str">
        <f t="shared" si="543"/>
        <v/>
      </c>
      <c r="J1053" s="75" t="str">
        <f t="shared" si="519"/>
        <v/>
      </c>
      <c r="K1053" s="63"/>
    </row>
    <row r="1054" spans="1:18" x14ac:dyDescent="0.25">
      <c r="A1054" s="4" t="s">
        <v>8</v>
      </c>
      <c r="B1054" s="37" t="s">
        <v>62</v>
      </c>
      <c r="C1054" s="37"/>
      <c r="D1054" s="70">
        <v>1</v>
      </c>
      <c r="E1054" s="70">
        <v>1</v>
      </c>
      <c r="F1054" s="70">
        <v>1</v>
      </c>
      <c r="G1054" s="67">
        <f t="shared" si="541"/>
        <v>1</v>
      </c>
      <c r="H1054" s="67">
        <f t="shared" si="542"/>
        <v>1</v>
      </c>
      <c r="I1054" s="67">
        <f t="shared" si="543"/>
        <v>1</v>
      </c>
      <c r="J1054" s="73">
        <f t="shared" si="519"/>
        <v>3</v>
      </c>
      <c r="K1054" s="61"/>
    </row>
    <row r="1055" spans="1:18" x14ac:dyDescent="0.25">
      <c r="A1055" s="2"/>
      <c r="B1055" s="37" t="s">
        <v>527</v>
      </c>
      <c r="C1055" s="37"/>
      <c r="D1055" s="71">
        <v>1</v>
      </c>
      <c r="E1055" s="71">
        <v>0</v>
      </c>
      <c r="F1055" s="71">
        <v>1</v>
      </c>
      <c r="G1055" s="68">
        <f t="shared" si="541"/>
        <v>0</v>
      </c>
      <c r="H1055" s="68">
        <f t="shared" si="542"/>
        <v>1</v>
      </c>
      <c r="I1055" s="68">
        <f t="shared" si="543"/>
        <v>0</v>
      </c>
      <c r="J1055" s="74">
        <f t="shared" si="519"/>
        <v>2</v>
      </c>
      <c r="K1055" s="62"/>
    </row>
    <row r="1056" spans="1:18" x14ac:dyDescent="0.25">
      <c r="A1056" s="3"/>
      <c r="B1056" s="40"/>
      <c r="C1056" s="40"/>
      <c r="D1056" s="72"/>
      <c r="E1056" s="72"/>
      <c r="F1056" s="72"/>
      <c r="G1056" s="69" t="str">
        <f t="shared" si="541"/>
        <v/>
      </c>
      <c r="H1056" s="69" t="str">
        <f t="shared" si="542"/>
        <v/>
      </c>
      <c r="I1056" s="69" t="str">
        <f t="shared" si="543"/>
        <v/>
      </c>
      <c r="J1056" s="75" t="str">
        <f t="shared" si="519"/>
        <v/>
      </c>
      <c r="K1056" s="63"/>
    </row>
    <row r="1057" spans="1:18" x14ac:dyDescent="0.25">
      <c r="A1057" s="2" t="s">
        <v>9</v>
      </c>
      <c r="B1057" s="37" t="s">
        <v>453</v>
      </c>
      <c r="C1057" s="37"/>
      <c r="D1057" s="71">
        <v>0</v>
      </c>
      <c r="E1057" s="71">
        <v>1</v>
      </c>
      <c r="F1057" s="71">
        <v>1</v>
      </c>
      <c r="G1057" s="68">
        <f t="shared" si="541"/>
        <v>0</v>
      </c>
      <c r="H1057" s="68">
        <f t="shared" si="542"/>
        <v>0</v>
      </c>
      <c r="I1057" s="68">
        <f t="shared" si="543"/>
        <v>1</v>
      </c>
      <c r="J1057" s="74">
        <f t="shared" si="519"/>
        <v>2</v>
      </c>
      <c r="K1057" s="62"/>
    </row>
    <row r="1058" spans="1:18" x14ac:dyDescent="0.25">
      <c r="A1058" s="2"/>
      <c r="B1058" s="37"/>
      <c r="C1058" s="37"/>
      <c r="D1058" s="71"/>
      <c r="E1058" s="71"/>
      <c r="F1058" s="71"/>
      <c r="G1058" s="68" t="str">
        <f t="shared" si="541"/>
        <v/>
      </c>
      <c r="H1058" s="68" t="str">
        <f t="shared" si="542"/>
        <v/>
      </c>
      <c r="I1058" s="68" t="str">
        <f t="shared" si="543"/>
        <v/>
      </c>
      <c r="J1058" s="74" t="str">
        <f t="shared" si="519"/>
        <v/>
      </c>
      <c r="K1058" s="62"/>
    </row>
    <row r="1059" spans="1:18" x14ac:dyDescent="0.25">
      <c r="A1059" s="3"/>
      <c r="B1059" s="40"/>
      <c r="C1059" s="40"/>
      <c r="D1059" s="72"/>
      <c r="E1059" s="72"/>
      <c r="F1059" s="72"/>
      <c r="G1059" s="69" t="str">
        <f t="shared" si="541"/>
        <v/>
      </c>
      <c r="H1059" s="69" t="str">
        <f t="shared" si="542"/>
        <v/>
      </c>
      <c r="I1059" s="69" t="str">
        <f t="shared" si="543"/>
        <v/>
      </c>
      <c r="J1059" s="75" t="str">
        <f t="shared" si="519"/>
        <v/>
      </c>
      <c r="K1059" s="63"/>
    </row>
    <row r="1060" spans="1:18" x14ac:dyDescent="0.25">
      <c r="A1060" s="2" t="s">
        <v>1224</v>
      </c>
      <c r="B1060" s="37" t="s">
        <v>1326</v>
      </c>
      <c r="C1060" s="37"/>
      <c r="D1060" s="71">
        <v>0</v>
      </c>
      <c r="E1060" s="71">
        <v>1</v>
      </c>
      <c r="F1060" s="71">
        <v>1</v>
      </c>
      <c r="G1060" s="68">
        <f t="shared" si="541"/>
        <v>0</v>
      </c>
      <c r="H1060" s="68">
        <f t="shared" si="542"/>
        <v>0</v>
      </c>
      <c r="I1060" s="68">
        <f t="shared" si="543"/>
        <v>1</v>
      </c>
      <c r="J1060" s="74">
        <f t="shared" ref="J1060:J1062" si="550">IF(B1060="","",SUM(D1060:F1060))</f>
        <v>2</v>
      </c>
      <c r="K1060" s="62"/>
    </row>
    <row r="1061" spans="1:18" x14ac:dyDescent="0.25">
      <c r="A1061" s="2"/>
      <c r="B1061" s="37" t="s">
        <v>453</v>
      </c>
      <c r="C1061" s="37"/>
      <c r="D1061" s="71">
        <v>1</v>
      </c>
      <c r="E1061" s="71">
        <v>0</v>
      </c>
      <c r="F1061" s="71">
        <v>0</v>
      </c>
      <c r="G1061" s="68">
        <f t="shared" si="541"/>
        <v>0</v>
      </c>
      <c r="H1061" s="68">
        <f t="shared" si="542"/>
        <v>0</v>
      </c>
      <c r="I1061" s="68">
        <f t="shared" si="543"/>
        <v>0</v>
      </c>
      <c r="J1061" s="74">
        <f t="shared" si="550"/>
        <v>1</v>
      </c>
      <c r="K1061" s="62"/>
    </row>
    <row r="1062" spans="1:18" x14ac:dyDescent="0.25">
      <c r="A1062" s="3"/>
      <c r="B1062" s="40"/>
      <c r="C1062" s="40"/>
      <c r="D1062" s="72"/>
      <c r="E1062" s="72"/>
      <c r="F1062" s="72"/>
      <c r="G1062" s="69" t="str">
        <f t="shared" si="541"/>
        <v/>
      </c>
      <c r="H1062" s="69" t="str">
        <f t="shared" si="542"/>
        <v/>
      </c>
      <c r="I1062" s="69" t="str">
        <f t="shared" si="543"/>
        <v/>
      </c>
      <c r="J1062" s="75" t="str">
        <f t="shared" si="550"/>
        <v/>
      </c>
      <c r="K1062" s="63"/>
    </row>
    <row r="1064" spans="1:18" x14ac:dyDescent="0.25">
      <c r="A1064" s="81">
        <v>54</v>
      </c>
      <c r="B1064" s="49" t="s">
        <v>1170</v>
      </c>
      <c r="C1064" s="31" t="s">
        <v>1449</v>
      </c>
      <c r="D1064" s="76"/>
      <c r="E1064" s="66"/>
      <c r="F1064" s="66"/>
      <c r="G1064" s="66"/>
      <c r="H1064" s="66"/>
      <c r="I1064" s="66"/>
      <c r="J1064" s="60"/>
      <c r="K1064" s="60"/>
    </row>
    <row r="1065" spans="1:18" x14ac:dyDescent="0.25">
      <c r="A1065" s="4" t="s">
        <v>6</v>
      </c>
      <c r="B1065" s="37" t="s">
        <v>454</v>
      </c>
      <c r="C1065" s="37"/>
      <c r="D1065" s="70">
        <v>1</v>
      </c>
      <c r="E1065" s="70">
        <v>1</v>
      </c>
      <c r="F1065" s="70">
        <v>1</v>
      </c>
      <c r="G1065" s="67">
        <f t="shared" ref="G1065:G1082" si="551">IF(B1065="","",IF( AND(D1065=1, E1065=1),1,0))</f>
        <v>1</v>
      </c>
      <c r="H1065" s="67">
        <f t="shared" ref="H1065:H1082" si="552">IF(B1065="","",IF(AND(D1065=1,F1065=1),1,0))</f>
        <v>1</v>
      </c>
      <c r="I1065" s="67">
        <f t="shared" ref="I1065:I1082" si="553">IF(B1065="","",IF(AND(E1065=1,F1065=1),1,0))</f>
        <v>1</v>
      </c>
      <c r="J1065" s="73">
        <f t="shared" ref="J1065" si="554">IF(B1065="","",SUM(D1065:F1065))</f>
        <v>3</v>
      </c>
      <c r="K1065" s="61"/>
      <c r="M1065" s="7">
        <f t="shared" ref="M1065" si="555">SUM(G1065:I1065)/3</f>
        <v>1</v>
      </c>
      <c r="N1065" s="6">
        <f t="shared" ref="N1065" si="556">SUM(G1068:I1068)/3</f>
        <v>1</v>
      </c>
      <c r="O1065" s="7">
        <f t="shared" ref="O1065" si="557">SUM(G1071:I1071)/3</f>
        <v>1</v>
      </c>
      <c r="P1065" s="6">
        <f t="shared" ref="P1065" si="558">SUM(G1074:I1074)/3</f>
        <v>1</v>
      </c>
      <c r="Q1065" s="7">
        <f t="shared" ref="Q1065" si="559">SUM(G1077:I1077)/3</f>
        <v>0</v>
      </c>
      <c r="R1065" s="7">
        <f>SUM(G1080:I1080)/3</f>
        <v>0.33333333333333331</v>
      </c>
    </row>
    <row r="1066" spans="1:18" x14ac:dyDescent="0.25">
      <c r="A1066" s="2"/>
      <c r="B1066" s="37"/>
      <c r="C1066" s="37"/>
      <c r="D1066" s="71"/>
      <c r="E1066" s="71"/>
      <c r="F1066" s="71"/>
      <c r="G1066" s="68" t="str">
        <f t="shared" si="551"/>
        <v/>
      </c>
      <c r="H1066" s="68" t="str">
        <f t="shared" si="552"/>
        <v/>
      </c>
      <c r="I1066" s="68" t="str">
        <f t="shared" si="553"/>
        <v/>
      </c>
      <c r="J1066" s="74" t="str">
        <f t="shared" si="519"/>
        <v/>
      </c>
      <c r="K1066" s="62"/>
    </row>
    <row r="1067" spans="1:18" x14ac:dyDescent="0.25">
      <c r="A1067" s="3"/>
      <c r="B1067" s="42"/>
      <c r="C1067" s="42"/>
      <c r="D1067" s="72"/>
      <c r="E1067" s="72"/>
      <c r="F1067" s="72"/>
      <c r="G1067" s="69" t="str">
        <f t="shared" si="551"/>
        <v/>
      </c>
      <c r="H1067" s="69" t="str">
        <f t="shared" si="552"/>
        <v/>
      </c>
      <c r="I1067" s="69" t="str">
        <f t="shared" si="553"/>
        <v/>
      </c>
      <c r="J1067" s="75" t="str">
        <f t="shared" si="519"/>
        <v/>
      </c>
      <c r="K1067" s="63"/>
    </row>
    <row r="1068" spans="1:18" x14ac:dyDescent="0.25">
      <c r="A1068" s="4" t="s">
        <v>5</v>
      </c>
      <c r="B1068" s="33" t="s">
        <v>1110</v>
      </c>
      <c r="C1068" s="33"/>
      <c r="D1068" s="70">
        <v>1</v>
      </c>
      <c r="E1068" s="70">
        <v>1</v>
      </c>
      <c r="F1068" s="70">
        <v>1</v>
      </c>
      <c r="G1068" s="67">
        <f t="shared" si="551"/>
        <v>1</v>
      </c>
      <c r="H1068" s="67">
        <f t="shared" si="552"/>
        <v>1</v>
      </c>
      <c r="I1068" s="67">
        <f t="shared" si="553"/>
        <v>1</v>
      </c>
      <c r="J1068" s="73">
        <f t="shared" si="519"/>
        <v>3</v>
      </c>
      <c r="K1068" s="61"/>
    </row>
    <row r="1069" spans="1:18" x14ac:dyDescent="0.25">
      <c r="A1069" s="2"/>
      <c r="B1069" s="37"/>
      <c r="C1069" s="37"/>
      <c r="D1069" s="71"/>
      <c r="E1069" s="71"/>
      <c r="F1069" s="71"/>
      <c r="G1069" s="68" t="str">
        <f t="shared" si="551"/>
        <v/>
      </c>
      <c r="H1069" s="68" t="str">
        <f t="shared" si="552"/>
        <v/>
      </c>
      <c r="I1069" s="68" t="str">
        <f t="shared" si="553"/>
        <v/>
      </c>
      <c r="J1069" s="74" t="str">
        <f t="shared" si="519"/>
        <v/>
      </c>
      <c r="K1069" s="62"/>
    </row>
    <row r="1070" spans="1:18" x14ac:dyDescent="0.25">
      <c r="A1070" s="3"/>
      <c r="B1070" s="40"/>
      <c r="C1070" s="37"/>
      <c r="D1070" s="71"/>
      <c r="E1070" s="71"/>
      <c r="F1070" s="71"/>
      <c r="G1070" s="69" t="str">
        <f t="shared" si="551"/>
        <v/>
      </c>
      <c r="H1070" s="69" t="str">
        <f t="shared" si="552"/>
        <v/>
      </c>
      <c r="I1070" s="69" t="str">
        <f t="shared" si="553"/>
        <v/>
      </c>
      <c r="J1070" s="75" t="str">
        <f t="shared" si="519"/>
        <v/>
      </c>
      <c r="K1070" s="63"/>
    </row>
    <row r="1071" spans="1:18" x14ac:dyDescent="0.25">
      <c r="A1071" s="4" t="s">
        <v>7</v>
      </c>
      <c r="B1071" s="33" t="s">
        <v>529</v>
      </c>
      <c r="C1071" s="33"/>
      <c r="D1071" s="70">
        <v>1</v>
      </c>
      <c r="E1071" s="70">
        <v>1</v>
      </c>
      <c r="F1071" s="70">
        <v>1</v>
      </c>
      <c r="G1071" s="67">
        <f t="shared" si="551"/>
        <v>1</v>
      </c>
      <c r="H1071" s="67">
        <f t="shared" si="552"/>
        <v>1</v>
      </c>
      <c r="I1071" s="67">
        <f t="shared" si="553"/>
        <v>1</v>
      </c>
      <c r="J1071" s="73">
        <f t="shared" si="519"/>
        <v>3</v>
      </c>
      <c r="K1071" s="61"/>
    </row>
    <row r="1072" spans="1:18" x14ac:dyDescent="0.25">
      <c r="A1072" s="2"/>
      <c r="B1072" s="37"/>
      <c r="C1072" s="37"/>
      <c r="D1072" s="71"/>
      <c r="E1072" s="71"/>
      <c r="F1072" s="71"/>
      <c r="G1072" s="68" t="str">
        <f t="shared" si="551"/>
        <v/>
      </c>
      <c r="H1072" s="68" t="str">
        <f t="shared" si="552"/>
        <v/>
      </c>
      <c r="I1072" s="68" t="str">
        <f t="shared" si="553"/>
        <v/>
      </c>
      <c r="J1072" s="74" t="str">
        <f t="shared" si="519"/>
        <v/>
      </c>
      <c r="K1072" s="62"/>
    </row>
    <row r="1073" spans="1:18" x14ac:dyDescent="0.25">
      <c r="A1073" s="3"/>
      <c r="B1073" s="40"/>
      <c r="C1073" s="40"/>
      <c r="D1073" s="72"/>
      <c r="E1073" s="72"/>
      <c r="F1073" s="72"/>
      <c r="G1073" s="69" t="str">
        <f t="shared" si="551"/>
        <v/>
      </c>
      <c r="H1073" s="69" t="str">
        <f t="shared" si="552"/>
        <v/>
      </c>
      <c r="I1073" s="69" t="str">
        <f t="shared" si="553"/>
        <v/>
      </c>
      <c r="J1073" s="75" t="str">
        <f t="shared" si="519"/>
        <v/>
      </c>
      <c r="K1073" s="63"/>
    </row>
    <row r="1074" spans="1:18" x14ac:dyDescent="0.25">
      <c r="A1074" s="4" t="s">
        <v>8</v>
      </c>
      <c r="B1074" s="37" t="s">
        <v>152</v>
      </c>
      <c r="C1074" s="37"/>
      <c r="D1074" s="70">
        <v>1</v>
      </c>
      <c r="E1074" s="70">
        <v>1</v>
      </c>
      <c r="F1074" s="70">
        <v>1</v>
      </c>
      <c r="G1074" s="67">
        <f t="shared" si="551"/>
        <v>1</v>
      </c>
      <c r="H1074" s="67">
        <f t="shared" si="552"/>
        <v>1</v>
      </c>
      <c r="I1074" s="67">
        <f t="shared" si="553"/>
        <v>1</v>
      </c>
      <c r="J1074" s="73">
        <f t="shared" ref="J1074:J1149" si="560">IF(B1074="","",SUM(D1074:F1074))</f>
        <v>3</v>
      </c>
      <c r="K1074" s="61"/>
    </row>
    <row r="1075" spans="1:18" x14ac:dyDescent="0.25">
      <c r="A1075" s="2"/>
      <c r="B1075" s="37"/>
      <c r="C1075" s="37"/>
      <c r="D1075" s="71"/>
      <c r="E1075" s="71"/>
      <c r="F1075" s="71"/>
      <c r="G1075" s="68" t="str">
        <f t="shared" si="551"/>
        <v/>
      </c>
      <c r="H1075" s="68" t="str">
        <f t="shared" si="552"/>
        <v/>
      </c>
      <c r="I1075" s="68" t="str">
        <f t="shared" si="553"/>
        <v/>
      </c>
      <c r="J1075" s="74" t="str">
        <f t="shared" si="560"/>
        <v/>
      </c>
      <c r="K1075" s="62"/>
    </row>
    <row r="1076" spans="1:18" x14ac:dyDescent="0.25">
      <c r="A1076" s="3"/>
      <c r="B1076" s="40"/>
      <c r="C1076" s="40"/>
      <c r="D1076" s="72"/>
      <c r="E1076" s="72"/>
      <c r="F1076" s="72"/>
      <c r="G1076" s="69" t="str">
        <f t="shared" si="551"/>
        <v/>
      </c>
      <c r="H1076" s="69" t="str">
        <f t="shared" si="552"/>
        <v/>
      </c>
      <c r="I1076" s="69" t="str">
        <f t="shared" si="553"/>
        <v/>
      </c>
      <c r="J1076" s="75" t="str">
        <f t="shared" si="560"/>
        <v/>
      </c>
      <c r="K1076" s="63"/>
    </row>
    <row r="1077" spans="1:18" x14ac:dyDescent="0.25">
      <c r="A1077" s="2" t="s">
        <v>9</v>
      </c>
      <c r="B1077" s="37" t="s">
        <v>457</v>
      </c>
      <c r="C1077" s="37"/>
      <c r="D1077" s="71">
        <v>1</v>
      </c>
      <c r="E1077" s="71">
        <v>0</v>
      </c>
      <c r="F1077" s="71">
        <v>0</v>
      </c>
      <c r="G1077" s="68">
        <f t="shared" si="551"/>
        <v>0</v>
      </c>
      <c r="H1077" s="68">
        <f t="shared" si="552"/>
        <v>0</v>
      </c>
      <c r="I1077" s="68">
        <f t="shared" si="553"/>
        <v>0</v>
      </c>
      <c r="J1077" s="74">
        <f t="shared" si="560"/>
        <v>1</v>
      </c>
      <c r="K1077" s="62"/>
    </row>
    <row r="1078" spans="1:18" x14ac:dyDescent="0.25">
      <c r="A1078" s="2"/>
      <c r="B1078" s="37" t="s">
        <v>761</v>
      </c>
      <c r="C1078" s="37"/>
      <c r="D1078" s="71">
        <v>0</v>
      </c>
      <c r="E1078" s="71">
        <v>1</v>
      </c>
      <c r="F1078" s="71">
        <v>0</v>
      </c>
      <c r="G1078" s="68">
        <f t="shared" si="551"/>
        <v>0</v>
      </c>
      <c r="H1078" s="68">
        <f t="shared" si="552"/>
        <v>0</v>
      </c>
      <c r="I1078" s="68">
        <f t="shared" si="553"/>
        <v>0</v>
      </c>
      <c r="J1078" s="74">
        <f t="shared" si="560"/>
        <v>1</v>
      </c>
      <c r="K1078" s="62"/>
    </row>
    <row r="1079" spans="1:18" x14ac:dyDescent="0.25">
      <c r="A1079" s="3"/>
      <c r="B1079" s="40" t="s">
        <v>1105</v>
      </c>
      <c r="C1079" s="40"/>
      <c r="D1079" s="72">
        <v>0</v>
      </c>
      <c r="E1079" s="72">
        <v>0</v>
      </c>
      <c r="F1079" s="72">
        <v>1</v>
      </c>
      <c r="G1079" s="69">
        <f t="shared" si="551"/>
        <v>0</v>
      </c>
      <c r="H1079" s="69">
        <f t="shared" si="552"/>
        <v>0</v>
      </c>
      <c r="I1079" s="69">
        <f t="shared" si="553"/>
        <v>0</v>
      </c>
      <c r="J1079" s="75">
        <f t="shared" si="560"/>
        <v>1</v>
      </c>
      <c r="K1079" s="63"/>
    </row>
    <row r="1080" spans="1:18" x14ac:dyDescent="0.25">
      <c r="A1080" s="2" t="s">
        <v>1224</v>
      </c>
      <c r="B1080" s="37" t="s">
        <v>1327</v>
      </c>
      <c r="C1080" s="37"/>
      <c r="D1080" s="71">
        <v>0</v>
      </c>
      <c r="E1080" s="71">
        <v>1</v>
      </c>
      <c r="F1080" s="71">
        <v>1</v>
      </c>
      <c r="G1080" s="68">
        <f t="shared" si="551"/>
        <v>0</v>
      </c>
      <c r="H1080" s="68">
        <f t="shared" si="552"/>
        <v>0</v>
      </c>
      <c r="I1080" s="68">
        <f t="shared" si="553"/>
        <v>1</v>
      </c>
      <c r="J1080" s="74">
        <f t="shared" ref="J1080:J1082" si="561">IF(B1080="","",SUM(D1080:F1080))</f>
        <v>2</v>
      </c>
      <c r="K1080" s="62"/>
    </row>
    <row r="1081" spans="1:18" x14ac:dyDescent="0.25">
      <c r="A1081" s="2"/>
      <c r="B1081" s="37"/>
      <c r="C1081" s="37"/>
      <c r="D1081" s="71"/>
      <c r="E1081" s="71"/>
      <c r="F1081" s="71"/>
      <c r="G1081" s="68" t="str">
        <f t="shared" si="551"/>
        <v/>
      </c>
      <c r="H1081" s="68" t="str">
        <f t="shared" si="552"/>
        <v/>
      </c>
      <c r="I1081" s="68" t="str">
        <f t="shared" si="553"/>
        <v/>
      </c>
      <c r="J1081" s="74" t="str">
        <f t="shared" si="561"/>
        <v/>
      </c>
      <c r="K1081" s="62"/>
    </row>
    <row r="1082" spans="1:18" x14ac:dyDescent="0.25">
      <c r="A1082" s="3"/>
      <c r="B1082" s="40"/>
      <c r="C1082" s="40"/>
      <c r="D1082" s="72"/>
      <c r="E1082" s="72"/>
      <c r="F1082" s="72"/>
      <c r="G1082" s="69" t="str">
        <f t="shared" si="551"/>
        <v/>
      </c>
      <c r="H1082" s="69" t="str">
        <f t="shared" si="552"/>
        <v/>
      </c>
      <c r="I1082" s="69" t="str">
        <f t="shared" si="553"/>
        <v/>
      </c>
      <c r="J1082" s="75" t="str">
        <f t="shared" si="561"/>
        <v/>
      </c>
      <c r="K1082" s="63"/>
    </row>
    <row r="1084" spans="1:18" x14ac:dyDescent="0.25">
      <c r="A1084" s="81">
        <v>55</v>
      </c>
      <c r="B1084" s="49" t="s">
        <v>1171</v>
      </c>
      <c r="C1084" s="31" t="s">
        <v>1450</v>
      </c>
      <c r="D1084" s="76"/>
      <c r="E1084" s="66"/>
      <c r="F1084" s="66"/>
      <c r="G1084" s="66"/>
      <c r="H1084" s="66"/>
      <c r="I1084" s="66"/>
      <c r="J1084" s="60"/>
      <c r="K1084" s="60"/>
    </row>
    <row r="1085" spans="1:18" x14ac:dyDescent="0.25">
      <c r="A1085" s="4" t="s">
        <v>6</v>
      </c>
      <c r="B1085" s="37" t="s">
        <v>458</v>
      </c>
      <c r="C1085" s="37"/>
      <c r="D1085" s="70">
        <v>1</v>
      </c>
      <c r="E1085" s="70">
        <v>1</v>
      </c>
      <c r="F1085" s="70">
        <v>1</v>
      </c>
      <c r="G1085" s="67">
        <f t="shared" ref="G1085:G1102" si="562">IF(B1085="","",IF( AND(D1085=1, E1085=1),1,0))</f>
        <v>1</v>
      </c>
      <c r="H1085" s="67">
        <f t="shared" ref="H1085:H1102" si="563">IF(B1085="","",IF(AND(D1085=1,F1085=1),1,0))</f>
        <v>1</v>
      </c>
      <c r="I1085" s="67">
        <f t="shared" ref="I1085:I1102" si="564">IF(B1085="","",IF(AND(E1085=1,F1085=1),1,0))</f>
        <v>1</v>
      </c>
      <c r="J1085" s="73">
        <f t="shared" ref="J1085" si="565">IF(B1085="","",SUM(D1085:F1085))</f>
        <v>3</v>
      </c>
      <c r="K1085" s="61"/>
      <c r="M1085" s="7">
        <f t="shared" ref="M1085" si="566">SUM(G1085:I1085)/3</f>
        <v>1</v>
      </c>
      <c r="N1085" s="6">
        <f t="shared" ref="N1085" si="567">SUM(G1088:I1088)/3</f>
        <v>1</v>
      </c>
      <c r="O1085" s="7">
        <f t="shared" ref="O1085" si="568">SUM(G1091:I1091)/3</f>
        <v>1</v>
      </c>
      <c r="P1085" s="6">
        <f t="shared" ref="P1085" si="569">SUM(G1094:I1094)/3</f>
        <v>1</v>
      </c>
      <c r="Q1085" s="7">
        <f t="shared" ref="Q1085" si="570">SUM(G1097:I1097)/3</f>
        <v>0.33333333333333331</v>
      </c>
      <c r="R1085" s="7">
        <f>SUM(G1100:I1100)/3</f>
        <v>1</v>
      </c>
    </row>
    <row r="1086" spans="1:18" x14ac:dyDescent="0.25">
      <c r="A1086" s="2"/>
      <c r="B1086" s="37"/>
      <c r="C1086" s="37"/>
      <c r="D1086" s="71"/>
      <c r="E1086" s="71"/>
      <c r="F1086" s="71"/>
      <c r="G1086" s="68" t="str">
        <f t="shared" si="562"/>
        <v/>
      </c>
      <c r="H1086" s="68" t="str">
        <f t="shared" si="563"/>
        <v/>
      </c>
      <c r="I1086" s="68" t="str">
        <f t="shared" si="564"/>
        <v/>
      </c>
      <c r="J1086" s="74" t="str">
        <f t="shared" si="560"/>
        <v/>
      </c>
      <c r="K1086" s="62"/>
    </row>
    <row r="1087" spans="1:18" x14ac:dyDescent="0.25">
      <c r="A1087" s="3"/>
      <c r="B1087" s="42"/>
      <c r="C1087" s="42"/>
      <c r="D1087" s="72"/>
      <c r="E1087" s="72"/>
      <c r="F1087" s="72"/>
      <c r="G1087" s="69" t="str">
        <f t="shared" si="562"/>
        <v/>
      </c>
      <c r="H1087" s="69" t="str">
        <f t="shared" si="563"/>
        <v/>
      </c>
      <c r="I1087" s="69" t="str">
        <f t="shared" si="564"/>
        <v/>
      </c>
      <c r="J1087" s="75" t="str">
        <f t="shared" si="560"/>
        <v/>
      </c>
      <c r="K1087" s="63"/>
    </row>
    <row r="1088" spans="1:18" x14ac:dyDescent="0.25">
      <c r="A1088" s="4" t="s">
        <v>5</v>
      </c>
      <c r="B1088" s="33" t="s">
        <v>189</v>
      </c>
      <c r="C1088" s="33"/>
      <c r="D1088" s="70">
        <v>1</v>
      </c>
      <c r="E1088" s="70">
        <v>1</v>
      </c>
      <c r="F1088" s="70">
        <v>1</v>
      </c>
      <c r="G1088" s="67">
        <f t="shared" si="562"/>
        <v>1</v>
      </c>
      <c r="H1088" s="67">
        <f t="shared" si="563"/>
        <v>1</v>
      </c>
      <c r="I1088" s="67">
        <f t="shared" si="564"/>
        <v>1</v>
      </c>
      <c r="J1088" s="73">
        <f t="shared" si="560"/>
        <v>3</v>
      </c>
      <c r="K1088" s="61"/>
    </row>
    <row r="1089" spans="1:11" x14ac:dyDescent="0.25">
      <c r="A1089" s="2"/>
      <c r="B1089" s="37"/>
      <c r="C1089" s="37"/>
      <c r="D1089" s="71"/>
      <c r="E1089" s="71"/>
      <c r="F1089" s="71"/>
      <c r="G1089" s="68" t="str">
        <f t="shared" si="562"/>
        <v/>
      </c>
      <c r="H1089" s="68" t="str">
        <f t="shared" si="563"/>
        <v/>
      </c>
      <c r="I1089" s="68" t="str">
        <f t="shared" si="564"/>
        <v/>
      </c>
      <c r="J1089" s="74" t="str">
        <f t="shared" si="560"/>
        <v/>
      </c>
      <c r="K1089" s="62"/>
    </row>
    <row r="1090" spans="1:11" x14ac:dyDescent="0.25">
      <c r="A1090" s="3"/>
      <c r="B1090" s="40"/>
      <c r="C1090" s="37"/>
      <c r="D1090" s="71"/>
      <c r="E1090" s="71"/>
      <c r="F1090" s="71"/>
      <c r="G1090" s="69" t="str">
        <f t="shared" si="562"/>
        <v/>
      </c>
      <c r="H1090" s="69" t="str">
        <f t="shared" si="563"/>
        <v/>
      </c>
      <c r="I1090" s="69" t="str">
        <f t="shared" si="564"/>
        <v/>
      </c>
      <c r="J1090" s="75" t="str">
        <f t="shared" si="560"/>
        <v/>
      </c>
      <c r="K1090" s="63"/>
    </row>
    <row r="1091" spans="1:11" x14ac:dyDescent="0.25">
      <c r="A1091" s="4" t="s">
        <v>7</v>
      </c>
      <c r="B1091" s="33" t="s">
        <v>529</v>
      </c>
      <c r="C1091" s="33"/>
      <c r="D1091" s="70">
        <v>1</v>
      </c>
      <c r="E1091" s="70">
        <v>1</v>
      </c>
      <c r="F1091" s="70">
        <v>1</v>
      </c>
      <c r="G1091" s="67">
        <f t="shared" si="562"/>
        <v>1</v>
      </c>
      <c r="H1091" s="67">
        <f t="shared" si="563"/>
        <v>1</v>
      </c>
      <c r="I1091" s="67">
        <f t="shared" si="564"/>
        <v>1</v>
      </c>
      <c r="J1091" s="73">
        <f t="shared" si="560"/>
        <v>3</v>
      </c>
      <c r="K1091" s="61"/>
    </row>
    <row r="1092" spans="1:11" x14ac:dyDescent="0.25">
      <c r="A1092" s="2"/>
      <c r="B1092" s="37"/>
      <c r="C1092" s="37"/>
      <c r="D1092" s="71"/>
      <c r="E1092" s="71"/>
      <c r="F1092" s="71"/>
      <c r="G1092" s="68" t="str">
        <f t="shared" si="562"/>
        <v/>
      </c>
      <c r="H1092" s="68" t="str">
        <f t="shared" si="563"/>
        <v/>
      </c>
      <c r="I1092" s="68" t="str">
        <f t="shared" si="564"/>
        <v/>
      </c>
      <c r="J1092" s="74" t="str">
        <f t="shared" si="560"/>
        <v/>
      </c>
      <c r="K1092" s="62"/>
    </row>
    <row r="1093" spans="1:11" x14ac:dyDescent="0.25">
      <c r="A1093" s="3"/>
      <c r="B1093" s="40"/>
      <c r="C1093" s="40"/>
      <c r="D1093" s="72"/>
      <c r="E1093" s="72"/>
      <c r="F1093" s="72"/>
      <c r="G1093" s="69" t="str">
        <f t="shared" si="562"/>
        <v/>
      </c>
      <c r="H1093" s="69" t="str">
        <f t="shared" si="563"/>
        <v/>
      </c>
      <c r="I1093" s="69" t="str">
        <f t="shared" si="564"/>
        <v/>
      </c>
      <c r="J1093" s="75" t="str">
        <f t="shared" si="560"/>
        <v/>
      </c>
      <c r="K1093" s="63"/>
    </row>
    <row r="1094" spans="1:11" x14ac:dyDescent="0.25">
      <c r="A1094" s="4" t="s">
        <v>8</v>
      </c>
      <c r="B1094" s="37" t="s">
        <v>152</v>
      </c>
      <c r="C1094" s="37"/>
      <c r="D1094" s="70">
        <v>1</v>
      </c>
      <c r="E1094" s="70">
        <v>1</v>
      </c>
      <c r="F1094" s="70">
        <v>1</v>
      </c>
      <c r="G1094" s="67">
        <f t="shared" si="562"/>
        <v>1</v>
      </c>
      <c r="H1094" s="67">
        <f t="shared" si="563"/>
        <v>1</v>
      </c>
      <c r="I1094" s="67">
        <f t="shared" si="564"/>
        <v>1</v>
      </c>
      <c r="J1094" s="73">
        <f t="shared" si="560"/>
        <v>3</v>
      </c>
      <c r="K1094" s="61"/>
    </row>
    <row r="1095" spans="1:11" x14ac:dyDescent="0.25">
      <c r="A1095" s="2"/>
      <c r="B1095" s="37"/>
      <c r="C1095" s="37"/>
      <c r="D1095" s="71"/>
      <c r="E1095" s="71"/>
      <c r="F1095" s="71"/>
      <c r="G1095" s="68" t="str">
        <f t="shared" si="562"/>
        <v/>
      </c>
      <c r="H1095" s="68" t="str">
        <f t="shared" si="563"/>
        <v/>
      </c>
      <c r="I1095" s="68" t="str">
        <f t="shared" si="564"/>
        <v/>
      </c>
      <c r="J1095" s="74" t="str">
        <f t="shared" si="560"/>
        <v/>
      </c>
      <c r="K1095" s="62"/>
    </row>
    <row r="1096" spans="1:11" x14ac:dyDescent="0.25">
      <c r="A1096" s="3"/>
      <c r="B1096" s="40"/>
      <c r="C1096" s="40"/>
      <c r="D1096" s="72"/>
      <c r="E1096" s="72"/>
      <c r="F1096" s="72"/>
      <c r="G1096" s="69" t="str">
        <f t="shared" si="562"/>
        <v/>
      </c>
      <c r="H1096" s="69" t="str">
        <f t="shared" si="563"/>
        <v/>
      </c>
      <c r="I1096" s="69" t="str">
        <f t="shared" si="564"/>
        <v/>
      </c>
      <c r="J1096" s="75" t="str">
        <f t="shared" si="560"/>
        <v/>
      </c>
      <c r="K1096" s="63"/>
    </row>
    <row r="1097" spans="1:11" x14ac:dyDescent="0.25">
      <c r="A1097" s="2" t="s">
        <v>9</v>
      </c>
      <c r="B1097" s="37" t="s">
        <v>532</v>
      </c>
      <c r="C1097" s="37"/>
      <c r="D1097" s="71">
        <v>1</v>
      </c>
      <c r="E1097" s="71">
        <v>0</v>
      </c>
      <c r="F1097" s="71">
        <v>1</v>
      </c>
      <c r="G1097" s="68">
        <f t="shared" si="562"/>
        <v>0</v>
      </c>
      <c r="H1097" s="68">
        <f t="shared" si="563"/>
        <v>1</v>
      </c>
      <c r="I1097" s="68">
        <f t="shared" si="564"/>
        <v>0</v>
      </c>
      <c r="J1097" s="74">
        <f t="shared" si="560"/>
        <v>2</v>
      </c>
      <c r="K1097" s="62"/>
    </row>
    <row r="1098" spans="1:11" x14ac:dyDescent="0.25">
      <c r="A1098" s="2"/>
      <c r="B1098" s="37"/>
      <c r="C1098" s="37"/>
      <c r="D1098" s="71"/>
      <c r="E1098" s="71"/>
      <c r="F1098" s="71"/>
      <c r="G1098" s="68" t="str">
        <f t="shared" si="562"/>
        <v/>
      </c>
      <c r="H1098" s="68" t="str">
        <f t="shared" si="563"/>
        <v/>
      </c>
      <c r="I1098" s="68" t="str">
        <f t="shared" si="564"/>
        <v/>
      </c>
      <c r="J1098" s="74" t="str">
        <f t="shared" si="560"/>
        <v/>
      </c>
      <c r="K1098" s="62"/>
    </row>
    <row r="1099" spans="1:11" x14ac:dyDescent="0.25">
      <c r="A1099" s="3"/>
      <c r="B1099" s="40"/>
      <c r="C1099" s="40"/>
      <c r="D1099" s="72"/>
      <c r="E1099" s="72"/>
      <c r="F1099" s="72"/>
      <c r="G1099" s="69" t="str">
        <f t="shared" si="562"/>
        <v/>
      </c>
      <c r="H1099" s="69" t="str">
        <f t="shared" si="563"/>
        <v/>
      </c>
      <c r="I1099" s="69" t="str">
        <f t="shared" si="564"/>
        <v/>
      </c>
      <c r="J1099" s="75" t="str">
        <f t="shared" si="560"/>
        <v/>
      </c>
      <c r="K1099" s="63"/>
    </row>
    <row r="1100" spans="1:11" x14ac:dyDescent="0.25">
      <c r="A1100" s="2" t="s">
        <v>1224</v>
      </c>
      <c r="B1100" s="37" t="s">
        <v>532</v>
      </c>
      <c r="C1100" s="37"/>
      <c r="D1100" s="71">
        <v>1</v>
      </c>
      <c r="E1100" s="71">
        <v>1</v>
      </c>
      <c r="F1100" s="71">
        <v>1</v>
      </c>
      <c r="G1100" s="68">
        <f t="shared" si="562"/>
        <v>1</v>
      </c>
      <c r="H1100" s="68">
        <f t="shared" si="563"/>
        <v>1</v>
      </c>
      <c r="I1100" s="68">
        <f t="shared" si="564"/>
        <v>1</v>
      </c>
      <c r="J1100" s="74">
        <f t="shared" ref="J1100:J1102" si="571">IF(B1100="","",SUM(D1100:F1100))</f>
        <v>3</v>
      </c>
      <c r="K1100" s="62"/>
    </row>
    <row r="1101" spans="1:11" x14ac:dyDescent="0.25">
      <c r="A1101" s="2"/>
      <c r="B1101" s="37"/>
      <c r="C1101" s="37"/>
      <c r="D1101" s="71"/>
      <c r="E1101" s="71"/>
      <c r="F1101" s="71"/>
      <c r="G1101" s="68" t="str">
        <f t="shared" si="562"/>
        <v/>
      </c>
      <c r="H1101" s="68" t="str">
        <f t="shared" si="563"/>
        <v/>
      </c>
      <c r="I1101" s="68" t="str">
        <f t="shared" si="564"/>
        <v/>
      </c>
      <c r="J1101" s="74" t="str">
        <f t="shared" si="571"/>
        <v/>
      </c>
      <c r="K1101" s="62"/>
    </row>
    <row r="1102" spans="1:11" x14ac:dyDescent="0.25">
      <c r="A1102" s="3"/>
      <c r="B1102" s="40"/>
      <c r="C1102" s="40"/>
      <c r="D1102" s="72"/>
      <c r="E1102" s="72"/>
      <c r="F1102" s="72"/>
      <c r="G1102" s="69" t="str">
        <f t="shared" si="562"/>
        <v/>
      </c>
      <c r="H1102" s="69" t="str">
        <f t="shared" si="563"/>
        <v/>
      </c>
      <c r="I1102" s="69" t="str">
        <f t="shared" si="564"/>
        <v/>
      </c>
      <c r="J1102" s="75" t="str">
        <f t="shared" si="571"/>
        <v/>
      </c>
      <c r="K1102" s="63"/>
    </row>
    <row r="1104" spans="1:11" x14ac:dyDescent="0.25">
      <c r="A1104" s="81">
        <v>56</v>
      </c>
      <c r="B1104" s="49" t="s">
        <v>1172</v>
      </c>
      <c r="C1104" s="31" t="s">
        <v>1451</v>
      </c>
      <c r="D1104" s="76"/>
      <c r="E1104" s="66"/>
      <c r="F1104" s="66"/>
      <c r="G1104" s="66"/>
      <c r="H1104" s="66"/>
      <c r="I1104" s="66"/>
      <c r="J1104" s="60"/>
      <c r="K1104" s="60"/>
    </row>
    <row r="1105" spans="1:18" x14ac:dyDescent="0.25">
      <c r="A1105" s="4" t="s">
        <v>6</v>
      </c>
      <c r="B1105" s="37" t="s">
        <v>767</v>
      </c>
      <c r="C1105" s="37"/>
      <c r="D1105" s="70">
        <v>1</v>
      </c>
      <c r="E1105" s="70">
        <v>0</v>
      </c>
      <c r="F1105" s="70">
        <v>1</v>
      </c>
      <c r="G1105" s="67">
        <f t="shared" ref="G1105:G1122" si="572">IF(B1105="","",IF( AND(D1105=1, E1105=1),1,0))</f>
        <v>0</v>
      </c>
      <c r="H1105" s="67">
        <f t="shared" ref="H1105:H1122" si="573">IF(B1105="","",IF(AND(D1105=1,F1105=1),1,0))</f>
        <v>1</v>
      </c>
      <c r="I1105" s="67">
        <f t="shared" ref="I1105:I1122" si="574">IF(B1105="","",IF(AND(E1105=1,F1105=1),1,0))</f>
        <v>0</v>
      </c>
      <c r="J1105" s="73">
        <f t="shared" ref="J1105" si="575">IF(B1105="","",SUM(D1105:F1105))</f>
        <v>2</v>
      </c>
      <c r="K1105" s="61"/>
      <c r="M1105" s="7">
        <f t="shared" ref="M1105" si="576">SUM(G1105:I1105)/3</f>
        <v>0.33333333333333331</v>
      </c>
      <c r="N1105" s="6">
        <f t="shared" ref="N1105" si="577">SUM(G1108:I1108)/3</f>
        <v>0.33333333333333331</v>
      </c>
      <c r="O1105" s="7">
        <f t="shared" ref="O1105" si="578">SUM(G1111:I1111)/3</f>
        <v>1</v>
      </c>
      <c r="P1105" s="6">
        <f t="shared" ref="P1105" si="579">SUM(G1114:I1114)/3</f>
        <v>1</v>
      </c>
      <c r="Q1105" s="7">
        <f t="shared" ref="Q1105" si="580">SUM(G1117:I1117)/3</f>
        <v>1</v>
      </c>
      <c r="R1105" s="7">
        <f>SUM(G1120:I1120)/3</f>
        <v>1</v>
      </c>
    </row>
    <row r="1106" spans="1:18" x14ac:dyDescent="0.25">
      <c r="A1106" s="2"/>
      <c r="B1106" s="37"/>
      <c r="C1106" s="37"/>
      <c r="D1106" s="71"/>
      <c r="E1106" s="71"/>
      <c r="F1106" s="71"/>
      <c r="G1106" s="68" t="str">
        <f t="shared" si="572"/>
        <v/>
      </c>
      <c r="H1106" s="68" t="str">
        <f t="shared" si="573"/>
        <v/>
      </c>
      <c r="I1106" s="68" t="str">
        <f t="shared" si="574"/>
        <v/>
      </c>
      <c r="J1106" s="74" t="str">
        <f t="shared" si="560"/>
        <v/>
      </c>
      <c r="K1106" s="62"/>
    </row>
    <row r="1107" spans="1:18" x14ac:dyDescent="0.25">
      <c r="A1107" s="3"/>
      <c r="B1107" s="42"/>
      <c r="C1107" s="42"/>
      <c r="D1107" s="72"/>
      <c r="E1107" s="72"/>
      <c r="F1107" s="72"/>
      <c r="G1107" s="69" t="str">
        <f t="shared" si="572"/>
        <v/>
      </c>
      <c r="H1107" s="69" t="str">
        <f t="shared" si="573"/>
        <v/>
      </c>
      <c r="I1107" s="69" t="str">
        <f t="shared" si="574"/>
        <v/>
      </c>
      <c r="J1107" s="75" t="str">
        <f t="shared" si="560"/>
        <v/>
      </c>
      <c r="K1107" s="63"/>
    </row>
    <row r="1108" spans="1:18" x14ac:dyDescent="0.25">
      <c r="A1108" s="4" t="s">
        <v>5</v>
      </c>
      <c r="B1108" s="33" t="s">
        <v>1076</v>
      </c>
      <c r="C1108" s="33"/>
      <c r="D1108" s="70">
        <v>1</v>
      </c>
      <c r="E1108" s="70">
        <v>0</v>
      </c>
      <c r="F1108" s="70">
        <v>1</v>
      </c>
      <c r="G1108" s="67">
        <f t="shared" si="572"/>
        <v>0</v>
      </c>
      <c r="H1108" s="67">
        <f t="shared" si="573"/>
        <v>1</v>
      </c>
      <c r="I1108" s="67">
        <f t="shared" si="574"/>
        <v>0</v>
      </c>
      <c r="J1108" s="73">
        <f t="shared" si="560"/>
        <v>2</v>
      </c>
      <c r="K1108" s="61"/>
    </row>
    <row r="1109" spans="1:18" x14ac:dyDescent="0.25">
      <c r="A1109" s="2"/>
      <c r="B1109" s="37"/>
      <c r="C1109" s="37"/>
      <c r="D1109" s="71"/>
      <c r="E1109" s="71"/>
      <c r="F1109" s="71"/>
      <c r="G1109" s="68" t="str">
        <f t="shared" si="572"/>
        <v/>
      </c>
      <c r="H1109" s="68" t="str">
        <f t="shared" si="573"/>
        <v/>
      </c>
      <c r="I1109" s="68" t="str">
        <f t="shared" si="574"/>
        <v/>
      </c>
      <c r="J1109" s="74" t="str">
        <f t="shared" si="560"/>
        <v/>
      </c>
      <c r="K1109" s="62"/>
    </row>
    <row r="1110" spans="1:18" x14ac:dyDescent="0.25">
      <c r="A1110" s="3"/>
      <c r="B1110" s="40"/>
      <c r="C1110" s="37"/>
      <c r="D1110" s="71"/>
      <c r="E1110" s="71"/>
      <c r="F1110" s="71"/>
      <c r="G1110" s="69" t="str">
        <f t="shared" si="572"/>
        <v/>
      </c>
      <c r="H1110" s="69" t="str">
        <f t="shared" si="573"/>
        <v/>
      </c>
      <c r="I1110" s="69" t="str">
        <f t="shared" si="574"/>
        <v/>
      </c>
      <c r="J1110" s="75" t="str">
        <f t="shared" si="560"/>
        <v/>
      </c>
      <c r="K1110" s="63"/>
    </row>
    <row r="1111" spans="1:18" x14ac:dyDescent="0.25">
      <c r="A1111" s="4" t="s">
        <v>7</v>
      </c>
      <c r="B1111" s="33" t="s">
        <v>1105</v>
      </c>
      <c r="C1111" s="33"/>
      <c r="D1111" s="70">
        <v>1</v>
      </c>
      <c r="E1111" s="70">
        <v>1</v>
      </c>
      <c r="F1111" s="70">
        <v>1</v>
      </c>
      <c r="G1111" s="67">
        <f t="shared" si="572"/>
        <v>1</v>
      </c>
      <c r="H1111" s="67">
        <f t="shared" si="573"/>
        <v>1</v>
      </c>
      <c r="I1111" s="67">
        <f t="shared" si="574"/>
        <v>1</v>
      </c>
      <c r="J1111" s="73">
        <f t="shared" si="560"/>
        <v>3</v>
      </c>
      <c r="K1111" s="61"/>
    </row>
    <row r="1112" spans="1:18" x14ac:dyDescent="0.25">
      <c r="A1112" s="2"/>
      <c r="B1112" s="37"/>
      <c r="C1112" s="37"/>
      <c r="D1112" s="71"/>
      <c r="E1112" s="71"/>
      <c r="F1112" s="71"/>
      <c r="G1112" s="68" t="str">
        <f t="shared" si="572"/>
        <v/>
      </c>
      <c r="H1112" s="68" t="str">
        <f t="shared" si="573"/>
        <v/>
      </c>
      <c r="I1112" s="68" t="str">
        <f t="shared" si="574"/>
        <v/>
      </c>
      <c r="J1112" s="74" t="str">
        <f t="shared" si="560"/>
        <v/>
      </c>
      <c r="K1112" s="62"/>
    </row>
    <row r="1113" spans="1:18" x14ac:dyDescent="0.25">
      <c r="A1113" s="3"/>
      <c r="B1113" s="40"/>
      <c r="C1113" s="40"/>
      <c r="D1113" s="72"/>
      <c r="E1113" s="72"/>
      <c r="F1113" s="72"/>
      <c r="G1113" s="69" t="str">
        <f t="shared" si="572"/>
        <v/>
      </c>
      <c r="H1113" s="69" t="str">
        <f t="shared" si="573"/>
        <v/>
      </c>
      <c r="I1113" s="69" t="str">
        <f t="shared" si="574"/>
        <v/>
      </c>
      <c r="J1113" s="75" t="str">
        <f t="shared" si="560"/>
        <v/>
      </c>
      <c r="K1113" s="63"/>
    </row>
    <row r="1114" spans="1:18" x14ac:dyDescent="0.25">
      <c r="A1114" s="4" t="s">
        <v>8</v>
      </c>
      <c r="B1114" s="37" t="s">
        <v>152</v>
      </c>
      <c r="C1114" s="37"/>
      <c r="D1114" s="70">
        <v>1</v>
      </c>
      <c r="E1114" s="70">
        <v>1</v>
      </c>
      <c r="F1114" s="70">
        <v>1</v>
      </c>
      <c r="G1114" s="67">
        <f t="shared" si="572"/>
        <v>1</v>
      </c>
      <c r="H1114" s="67">
        <f t="shared" si="573"/>
        <v>1</v>
      </c>
      <c r="I1114" s="67">
        <f t="shared" si="574"/>
        <v>1</v>
      </c>
      <c r="J1114" s="73">
        <f t="shared" si="560"/>
        <v>3</v>
      </c>
      <c r="K1114" s="61"/>
    </row>
    <row r="1115" spans="1:18" x14ac:dyDescent="0.25">
      <c r="A1115" s="2"/>
      <c r="B1115" s="37"/>
      <c r="C1115" s="37"/>
      <c r="D1115" s="71"/>
      <c r="E1115" s="71"/>
      <c r="F1115" s="71"/>
      <c r="G1115" s="68" t="str">
        <f t="shared" si="572"/>
        <v/>
      </c>
      <c r="H1115" s="68" t="str">
        <f t="shared" si="573"/>
        <v/>
      </c>
      <c r="I1115" s="68" t="str">
        <f t="shared" si="574"/>
        <v/>
      </c>
      <c r="J1115" s="74" t="str">
        <f t="shared" si="560"/>
        <v/>
      </c>
      <c r="K1115" s="62"/>
    </row>
    <row r="1116" spans="1:18" x14ac:dyDescent="0.25">
      <c r="A1116" s="3"/>
      <c r="B1116" s="40"/>
      <c r="C1116" s="40"/>
      <c r="D1116" s="72"/>
      <c r="E1116" s="72"/>
      <c r="F1116" s="72"/>
      <c r="G1116" s="69" t="str">
        <f t="shared" si="572"/>
        <v/>
      </c>
      <c r="H1116" s="69" t="str">
        <f t="shared" si="573"/>
        <v/>
      </c>
      <c r="I1116" s="69" t="str">
        <f t="shared" si="574"/>
        <v/>
      </c>
      <c r="J1116" s="75" t="str">
        <f t="shared" si="560"/>
        <v/>
      </c>
      <c r="K1116" s="63"/>
    </row>
    <row r="1117" spans="1:18" x14ac:dyDescent="0.25">
      <c r="A1117" s="2" t="s">
        <v>9</v>
      </c>
      <c r="B1117" s="37" t="s">
        <v>534</v>
      </c>
      <c r="C1117" s="37"/>
      <c r="D1117" s="71">
        <v>1</v>
      </c>
      <c r="E1117" s="71">
        <v>1</v>
      </c>
      <c r="F1117" s="71">
        <v>1</v>
      </c>
      <c r="G1117" s="68">
        <f t="shared" si="572"/>
        <v>1</v>
      </c>
      <c r="H1117" s="68">
        <f t="shared" si="573"/>
        <v>1</v>
      </c>
      <c r="I1117" s="68">
        <f t="shared" si="574"/>
        <v>1</v>
      </c>
      <c r="J1117" s="74">
        <f t="shared" si="560"/>
        <v>3</v>
      </c>
      <c r="K1117" s="62"/>
    </row>
    <row r="1118" spans="1:18" x14ac:dyDescent="0.25">
      <c r="A1118" s="2"/>
      <c r="B1118" s="37"/>
      <c r="C1118" s="37"/>
      <c r="D1118" s="71"/>
      <c r="E1118" s="71"/>
      <c r="F1118" s="71"/>
      <c r="G1118" s="68" t="str">
        <f t="shared" si="572"/>
        <v/>
      </c>
      <c r="H1118" s="68" t="str">
        <f t="shared" si="573"/>
        <v/>
      </c>
      <c r="I1118" s="68" t="str">
        <f t="shared" si="574"/>
        <v/>
      </c>
      <c r="J1118" s="74" t="str">
        <f t="shared" si="560"/>
        <v/>
      </c>
      <c r="K1118" s="62"/>
    </row>
    <row r="1119" spans="1:18" x14ac:dyDescent="0.25">
      <c r="A1119" s="3"/>
      <c r="B1119" s="40"/>
      <c r="C1119" s="40"/>
      <c r="D1119" s="72"/>
      <c r="E1119" s="72"/>
      <c r="F1119" s="72"/>
      <c r="G1119" s="69" t="str">
        <f t="shared" si="572"/>
        <v/>
      </c>
      <c r="H1119" s="69" t="str">
        <f t="shared" si="573"/>
        <v/>
      </c>
      <c r="I1119" s="69" t="str">
        <f t="shared" si="574"/>
        <v/>
      </c>
      <c r="J1119" s="75" t="str">
        <f t="shared" si="560"/>
        <v/>
      </c>
      <c r="K1119" s="63"/>
    </row>
    <row r="1120" spans="1:18" x14ac:dyDescent="0.25">
      <c r="A1120" s="2" t="s">
        <v>1224</v>
      </c>
      <c r="B1120" s="39" t="s">
        <v>1383</v>
      </c>
      <c r="C1120" s="39"/>
      <c r="D1120" s="71">
        <v>1</v>
      </c>
      <c r="E1120" s="71">
        <v>1</v>
      </c>
      <c r="F1120" s="71">
        <v>1</v>
      </c>
      <c r="G1120" s="68">
        <f t="shared" si="572"/>
        <v>1</v>
      </c>
      <c r="H1120" s="68">
        <f t="shared" si="573"/>
        <v>1</v>
      </c>
      <c r="I1120" s="68">
        <f t="shared" si="574"/>
        <v>1</v>
      </c>
      <c r="J1120" s="74">
        <f t="shared" ref="J1120:J1122" si="581">IF(B1120="","",SUM(D1120:F1120))</f>
        <v>3</v>
      </c>
      <c r="K1120" s="62"/>
    </row>
    <row r="1121" spans="1:18" x14ac:dyDescent="0.25">
      <c r="A1121" s="2"/>
      <c r="B1121" s="37"/>
      <c r="C1121" s="37"/>
      <c r="D1121" s="71"/>
      <c r="E1121" s="71"/>
      <c r="F1121" s="71"/>
      <c r="G1121" s="68" t="str">
        <f t="shared" si="572"/>
        <v/>
      </c>
      <c r="H1121" s="68" t="str">
        <f t="shared" si="573"/>
        <v/>
      </c>
      <c r="I1121" s="68" t="str">
        <f t="shared" si="574"/>
        <v/>
      </c>
      <c r="J1121" s="74" t="str">
        <f t="shared" si="581"/>
        <v/>
      </c>
      <c r="K1121" s="62"/>
    </row>
    <row r="1122" spans="1:18" x14ac:dyDescent="0.25">
      <c r="A1122" s="3"/>
      <c r="B1122" s="40"/>
      <c r="C1122" s="40"/>
      <c r="D1122" s="72"/>
      <c r="E1122" s="72"/>
      <c r="F1122" s="72"/>
      <c r="G1122" s="69" t="str">
        <f t="shared" si="572"/>
        <v/>
      </c>
      <c r="H1122" s="69" t="str">
        <f t="shared" si="573"/>
        <v/>
      </c>
      <c r="I1122" s="69" t="str">
        <f t="shared" si="574"/>
        <v/>
      </c>
      <c r="J1122" s="75" t="str">
        <f t="shared" si="581"/>
        <v/>
      </c>
      <c r="K1122" s="63"/>
    </row>
    <row r="1124" spans="1:18" x14ac:dyDescent="0.25">
      <c r="A1124" s="81">
        <v>57</v>
      </c>
      <c r="B1124" s="49" t="s">
        <v>1173</v>
      </c>
      <c r="C1124" s="31" t="s">
        <v>1452</v>
      </c>
      <c r="D1124" s="76"/>
      <c r="E1124" s="66"/>
      <c r="F1124" s="66"/>
      <c r="G1124" s="66"/>
      <c r="H1124" s="66"/>
      <c r="I1124" s="66"/>
      <c r="J1124" s="60"/>
      <c r="K1124" s="60"/>
    </row>
    <row r="1125" spans="1:18" x14ac:dyDescent="0.25">
      <c r="A1125" s="4" t="s">
        <v>6</v>
      </c>
      <c r="B1125" s="37" t="s">
        <v>454</v>
      </c>
      <c r="C1125" s="37"/>
      <c r="D1125" s="70">
        <v>1</v>
      </c>
      <c r="E1125" s="70">
        <v>1</v>
      </c>
      <c r="F1125" s="70">
        <v>1</v>
      </c>
      <c r="G1125" s="67">
        <f t="shared" ref="G1125:G1142" si="582">IF(B1125="","",IF( AND(D1125=1, E1125=1),1,0))</f>
        <v>1</v>
      </c>
      <c r="H1125" s="67">
        <f t="shared" ref="H1125:H1142" si="583">IF(B1125="","",IF(AND(D1125=1,F1125=1),1,0))</f>
        <v>1</v>
      </c>
      <c r="I1125" s="67">
        <f t="shared" ref="I1125:I1142" si="584">IF(B1125="","",IF(AND(E1125=1,F1125=1),1,0))</f>
        <v>1</v>
      </c>
      <c r="J1125" s="73">
        <f t="shared" ref="J1125" si="585">IF(B1125="","",SUM(D1125:F1125))</f>
        <v>3</v>
      </c>
      <c r="K1125" s="61"/>
      <c r="M1125" s="7">
        <f t="shared" ref="M1125" si="586">SUM(G1125:I1125)/3</f>
        <v>1</v>
      </c>
      <c r="N1125" s="6">
        <f t="shared" ref="N1125" si="587">SUM(G1128:I1128)/3</f>
        <v>1</v>
      </c>
      <c r="O1125" s="7">
        <f t="shared" ref="O1125" si="588">SUM(G1131:I1131)/3</f>
        <v>0.33333333333333331</v>
      </c>
      <c r="P1125" s="6">
        <f t="shared" ref="P1125" si="589">SUM(G1134:I1134)/3</f>
        <v>1</v>
      </c>
      <c r="Q1125" s="7">
        <f t="shared" ref="Q1125" si="590">SUM(G1137:I1137)/3</f>
        <v>0</v>
      </c>
      <c r="R1125" s="7">
        <f>SUM(G1140:I1140)/3</f>
        <v>0.33333333333333331</v>
      </c>
    </row>
    <row r="1126" spans="1:18" x14ac:dyDescent="0.25">
      <c r="A1126" s="2"/>
      <c r="B1126" s="37"/>
      <c r="C1126" s="37"/>
      <c r="D1126" s="71"/>
      <c r="E1126" s="71"/>
      <c r="F1126" s="71"/>
      <c r="G1126" s="68" t="str">
        <f t="shared" si="582"/>
        <v/>
      </c>
      <c r="H1126" s="68" t="str">
        <f t="shared" si="583"/>
        <v/>
      </c>
      <c r="I1126" s="68" t="str">
        <f t="shared" si="584"/>
        <v/>
      </c>
      <c r="J1126" s="74" t="str">
        <f t="shared" si="560"/>
        <v/>
      </c>
      <c r="K1126" s="62"/>
    </row>
    <row r="1127" spans="1:18" x14ac:dyDescent="0.25">
      <c r="A1127" s="3"/>
      <c r="B1127" s="42"/>
      <c r="C1127" s="42"/>
      <c r="D1127" s="72"/>
      <c r="E1127" s="72"/>
      <c r="F1127" s="72"/>
      <c r="G1127" s="69" t="str">
        <f t="shared" si="582"/>
        <v/>
      </c>
      <c r="H1127" s="69" t="str">
        <f t="shared" si="583"/>
        <v/>
      </c>
      <c r="I1127" s="69" t="str">
        <f t="shared" si="584"/>
        <v/>
      </c>
      <c r="J1127" s="75" t="str">
        <f t="shared" si="560"/>
        <v/>
      </c>
      <c r="K1127" s="63"/>
    </row>
    <row r="1128" spans="1:18" x14ac:dyDescent="0.25">
      <c r="A1128" s="4" t="s">
        <v>5</v>
      </c>
      <c r="B1128" s="33" t="s">
        <v>535</v>
      </c>
      <c r="C1128" s="33"/>
      <c r="D1128" s="70">
        <v>1</v>
      </c>
      <c r="E1128" s="70">
        <v>1</v>
      </c>
      <c r="F1128" s="70">
        <v>1</v>
      </c>
      <c r="G1128" s="67">
        <f t="shared" si="582"/>
        <v>1</v>
      </c>
      <c r="H1128" s="67">
        <f t="shared" si="583"/>
        <v>1</v>
      </c>
      <c r="I1128" s="67">
        <f t="shared" si="584"/>
        <v>1</v>
      </c>
      <c r="J1128" s="73">
        <f t="shared" si="560"/>
        <v>3</v>
      </c>
      <c r="K1128" s="61"/>
    </row>
    <row r="1129" spans="1:18" x14ac:dyDescent="0.25">
      <c r="A1129" s="2"/>
      <c r="B1129" s="37"/>
      <c r="C1129" s="37"/>
      <c r="D1129" s="71"/>
      <c r="E1129" s="71"/>
      <c r="F1129" s="71"/>
      <c r="G1129" s="68" t="str">
        <f t="shared" si="582"/>
        <v/>
      </c>
      <c r="H1129" s="68" t="str">
        <f t="shared" si="583"/>
        <v/>
      </c>
      <c r="I1129" s="68" t="str">
        <f t="shared" si="584"/>
        <v/>
      </c>
      <c r="J1129" s="74" t="str">
        <f t="shared" si="560"/>
        <v/>
      </c>
      <c r="K1129" s="62"/>
    </row>
    <row r="1130" spans="1:18" x14ac:dyDescent="0.25">
      <c r="A1130" s="3"/>
      <c r="B1130" s="40"/>
      <c r="C1130" s="37"/>
      <c r="D1130" s="71"/>
      <c r="E1130" s="71"/>
      <c r="F1130" s="71"/>
      <c r="G1130" s="69" t="str">
        <f t="shared" si="582"/>
        <v/>
      </c>
      <c r="H1130" s="69" t="str">
        <f t="shared" si="583"/>
        <v/>
      </c>
      <c r="I1130" s="69" t="str">
        <f t="shared" si="584"/>
        <v/>
      </c>
      <c r="J1130" s="75" t="str">
        <f t="shared" si="560"/>
        <v/>
      </c>
      <c r="K1130" s="63"/>
    </row>
    <row r="1131" spans="1:18" x14ac:dyDescent="0.25">
      <c r="A1131" s="4" t="s">
        <v>7</v>
      </c>
      <c r="B1131" s="33" t="s">
        <v>466</v>
      </c>
      <c r="C1131" s="33"/>
      <c r="D1131" s="70">
        <v>0</v>
      </c>
      <c r="E1131" s="70">
        <v>1</v>
      </c>
      <c r="F1131" s="70">
        <v>1</v>
      </c>
      <c r="G1131" s="67">
        <f t="shared" si="582"/>
        <v>0</v>
      </c>
      <c r="H1131" s="67">
        <f t="shared" si="583"/>
        <v>0</v>
      </c>
      <c r="I1131" s="67">
        <f t="shared" si="584"/>
        <v>1</v>
      </c>
      <c r="J1131" s="73">
        <f t="shared" si="560"/>
        <v>2</v>
      </c>
      <c r="K1131" s="61"/>
    </row>
    <row r="1132" spans="1:18" x14ac:dyDescent="0.25">
      <c r="A1132" s="2"/>
      <c r="B1132" s="37"/>
      <c r="C1132" s="37"/>
      <c r="D1132" s="71"/>
      <c r="E1132" s="71"/>
      <c r="F1132" s="71"/>
      <c r="G1132" s="68" t="str">
        <f t="shared" si="582"/>
        <v/>
      </c>
      <c r="H1132" s="68" t="str">
        <f t="shared" si="583"/>
        <v/>
      </c>
      <c r="I1132" s="68" t="str">
        <f t="shared" si="584"/>
        <v/>
      </c>
      <c r="J1132" s="74" t="str">
        <f t="shared" si="560"/>
        <v/>
      </c>
      <c r="K1132" s="62"/>
    </row>
    <row r="1133" spans="1:18" x14ac:dyDescent="0.25">
      <c r="A1133" s="3"/>
      <c r="B1133" s="40"/>
      <c r="C1133" s="40"/>
      <c r="D1133" s="72"/>
      <c r="E1133" s="72"/>
      <c r="F1133" s="72"/>
      <c r="G1133" s="69" t="str">
        <f t="shared" si="582"/>
        <v/>
      </c>
      <c r="H1133" s="69" t="str">
        <f t="shared" si="583"/>
        <v/>
      </c>
      <c r="I1133" s="69" t="str">
        <f t="shared" si="584"/>
        <v/>
      </c>
      <c r="J1133" s="75" t="str">
        <f t="shared" si="560"/>
        <v/>
      </c>
      <c r="K1133" s="63"/>
    </row>
    <row r="1134" spans="1:18" x14ac:dyDescent="0.25">
      <c r="A1134" s="4" t="s">
        <v>8</v>
      </c>
      <c r="B1134" s="37" t="s">
        <v>152</v>
      </c>
      <c r="C1134" s="37"/>
      <c r="D1134" s="70">
        <v>1</v>
      </c>
      <c r="E1134" s="70">
        <v>1</v>
      </c>
      <c r="F1134" s="70">
        <v>1</v>
      </c>
      <c r="G1134" s="67">
        <f t="shared" si="582"/>
        <v>1</v>
      </c>
      <c r="H1134" s="67">
        <f t="shared" si="583"/>
        <v>1</v>
      </c>
      <c r="I1134" s="67">
        <f t="shared" si="584"/>
        <v>1</v>
      </c>
      <c r="J1134" s="73">
        <f t="shared" si="560"/>
        <v>3</v>
      </c>
      <c r="K1134" s="61"/>
    </row>
    <row r="1135" spans="1:18" x14ac:dyDescent="0.25">
      <c r="A1135" s="2"/>
      <c r="B1135" s="37"/>
      <c r="C1135" s="37"/>
      <c r="D1135" s="71">
        <v>1</v>
      </c>
      <c r="E1135" s="71">
        <v>1</v>
      </c>
      <c r="F1135" s="71">
        <v>1</v>
      </c>
      <c r="G1135" s="68" t="str">
        <f t="shared" si="582"/>
        <v/>
      </c>
      <c r="H1135" s="68" t="str">
        <f t="shared" si="583"/>
        <v/>
      </c>
      <c r="I1135" s="68" t="str">
        <f t="shared" si="584"/>
        <v/>
      </c>
      <c r="J1135" s="74" t="str">
        <f t="shared" si="560"/>
        <v/>
      </c>
      <c r="K1135" s="62"/>
    </row>
    <row r="1136" spans="1:18" x14ac:dyDescent="0.25">
      <c r="A1136" s="3"/>
      <c r="B1136" s="40"/>
      <c r="C1136" s="40"/>
      <c r="D1136" s="72">
        <v>1</v>
      </c>
      <c r="E1136" s="72">
        <v>1</v>
      </c>
      <c r="F1136" s="72">
        <v>1</v>
      </c>
      <c r="G1136" s="69" t="str">
        <f t="shared" si="582"/>
        <v/>
      </c>
      <c r="H1136" s="69" t="str">
        <f t="shared" si="583"/>
        <v/>
      </c>
      <c r="I1136" s="69" t="str">
        <f t="shared" si="584"/>
        <v/>
      </c>
      <c r="J1136" s="75" t="str">
        <f t="shared" si="560"/>
        <v/>
      </c>
      <c r="K1136" s="63"/>
    </row>
    <row r="1137" spans="1:18" x14ac:dyDescent="0.25">
      <c r="A1137" s="2" t="s">
        <v>9</v>
      </c>
      <c r="B1137" s="37" t="s">
        <v>538</v>
      </c>
      <c r="C1137" s="37"/>
      <c r="D1137" s="71">
        <v>1</v>
      </c>
      <c r="E1137" s="71">
        <v>0</v>
      </c>
      <c r="F1137" s="71">
        <v>0</v>
      </c>
      <c r="G1137" s="68">
        <f t="shared" si="582"/>
        <v>0</v>
      </c>
      <c r="H1137" s="68">
        <f t="shared" si="583"/>
        <v>0</v>
      </c>
      <c r="I1137" s="68">
        <f t="shared" si="584"/>
        <v>0</v>
      </c>
      <c r="J1137" s="74">
        <f t="shared" si="560"/>
        <v>1</v>
      </c>
      <c r="K1137" s="62"/>
    </row>
    <row r="1138" spans="1:18" x14ac:dyDescent="0.25">
      <c r="A1138" s="2"/>
      <c r="B1138" s="37" t="s">
        <v>772</v>
      </c>
      <c r="C1138" s="37"/>
      <c r="D1138" s="71">
        <v>0</v>
      </c>
      <c r="E1138" s="71">
        <v>0</v>
      </c>
      <c r="F1138" s="71">
        <v>1</v>
      </c>
      <c r="G1138" s="68">
        <f t="shared" si="582"/>
        <v>0</v>
      </c>
      <c r="H1138" s="68">
        <f t="shared" si="583"/>
        <v>0</v>
      </c>
      <c r="I1138" s="68">
        <f t="shared" si="584"/>
        <v>0</v>
      </c>
      <c r="J1138" s="74">
        <f t="shared" si="560"/>
        <v>1</v>
      </c>
      <c r="K1138" s="62"/>
    </row>
    <row r="1139" spans="1:18" x14ac:dyDescent="0.25">
      <c r="A1139" s="3"/>
      <c r="B1139" s="40" t="s">
        <v>1105</v>
      </c>
      <c r="C1139" s="40"/>
      <c r="D1139" s="72">
        <v>0</v>
      </c>
      <c r="E1139" s="72">
        <v>1</v>
      </c>
      <c r="F1139" s="72">
        <v>0</v>
      </c>
      <c r="G1139" s="69">
        <f t="shared" si="582"/>
        <v>0</v>
      </c>
      <c r="H1139" s="69">
        <f t="shared" si="583"/>
        <v>0</v>
      </c>
      <c r="I1139" s="69">
        <f t="shared" si="584"/>
        <v>0</v>
      </c>
      <c r="J1139" s="75">
        <f t="shared" si="560"/>
        <v>1</v>
      </c>
      <c r="K1139" s="63"/>
    </row>
    <row r="1140" spans="1:18" x14ac:dyDescent="0.25">
      <c r="A1140" s="2" t="s">
        <v>1224</v>
      </c>
      <c r="B1140" s="37" t="s">
        <v>1329</v>
      </c>
      <c r="C1140" s="37"/>
      <c r="D1140" s="71">
        <v>0</v>
      </c>
      <c r="E1140" s="71">
        <v>1</v>
      </c>
      <c r="F1140" s="71">
        <v>1</v>
      </c>
      <c r="G1140" s="68">
        <f t="shared" si="582"/>
        <v>0</v>
      </c>
      <c r="H1140" s="68">
        <f t="shared" si="583"/>
        <v>0</v>
      </c>
      <c r="I1140" s="68">
        <f t="shared" si="584"/>
        <v>1</v>
      </c>
      <c r="J1140" s="74">
        <f t="shared" ref="J1140:J1142" si="591">IF(B1140="","",SUM(D1140:F1140))</f>
        <v>2</v>
      </c>
      <c r="K1140" s="62"/>
    </row>
    <row r="1141" spans="1:18" x14ac:dyDescent="0.25">
      <c r="A1141" s="2"/>
      <c r="B1141" s="37" t="s">
        <v>538</v>
      </c>
      <c r="C1141" s="37"/>
      <c r="D1141" s="71">
        <v>1</v>
      </c>
      <c r="E1141" s="71">
        <v>0</v>
      </c>
      <c r="F1141" s="71">
        <v>0</v>
      </c>
      <c r="G1141" s="68">
        <f t="shared" si="582"/>
        <v>0</v>
      </c>
      <c r="H1141" s="68">
        <f t="shared" si="583"/>
        <v>0</v>
      </c>
      <c r="I1141" s="68">
        <f t="shared" si="584"/>
        <v>0</v>
      </c>
      <c r="J1141" s="74">
        <f t="shared" si="591"/>
        <v>1</v>
      </c>
      <c r="K1141" s="62"/>
    </row>
    <row r="1142" spans="1:18" x14ac:dyDescent="0.25">
      <c r="A1142" s="3"/>
      <c r="B1142" s="40"/>
      <c r="C1142" s="40"/>
      <c r="D1142" s="72"/>
      <c r="E1142" s="72"/>
      <c r="F1142" s="72"/>
      <c r="G1142" s="69" t="str">
        <f t="shared" si="582"/>
        <v/>
      </c>
      <c r="H1142" s="69" t="str">
        <f t="shared" si="583"/>
        <v/>
      </c>
      <c r="I1142" s="69" t="str">
        <f t="shared" si="584"/>
        <v/>
      </c>
      <c r="J1142" s="75" t="str">
        <f t="shared" si="591"/>
        <v/>
      </c>
      <c r="K1142" s="63"/>
    </row>
    <row r="1144" spans="1:18" x14ac:dyDescent="0.25">
      <c r="A1144" s="81">
        <v>58</v>
      </c>
      <c r="B1144" s="49" t="s">
        <v>1174</v>
      </c>
      <c r="C1144" s="31" t="s">
        <v>1453</v>
      </c>
      <c r="D1144" s="76"/>
      <c r="E1144" s="66"/>
      <c r="F1144" s="66"/>
      <c r="G1144" s="66"/>
      <c r="H1144" s="66"/>
      <c r="I1144" s="66"/>
      <c r="J1144" s="60"/>
      <c r="K1144" s="60"/>
    </row>
    <row r="1145" spans="1:18" x14ac:dyDescent="0.25">
      <c r="A1145" s="4" t="s">
        <v>6</v>
      </c>
      <c r="B1145" s="37" t="s">
        <v>773</v>
      </c>
      <c r="C1145" s="37"/>
      <c r="D1145" s="70">
        <v>0</v>
      </c>
      <c r="E1145" s="70">
        <v>1</v>
      </c>
      <c r="F1145" s="70">
        <v>1</v>
      </c>
      <c r="G1145" s="67">
        <f t="shared" ref="G1145:G1162" si="592">IF(B1145="","",IF( AND(D1145=1, E1145=1),1,0))</f>
        <v>0</v>
      </c>
      <c r="H1145" s="67">
        <f t="shared" ref="H1145:H1162" si="593">IF(B1145="","",IF(AND(D1145=1,F1145=1),1,0))</f>
        <v>0</v>
      </c>
      <c r="I1145" s="67">
        <f t="shared" ref="I1145:I1162" si="594">IF(B1145="","",IF(AND(E1145=1,F1145=1),1,0))</f>
        <v>1</v>
      </c>
      <c r="J1145" s="73">
        <f t="shared" ref="J1145" si="595">IF(B1145="","",SUM(D1145:F1145))</f>
        <v>2</v>
      </c>
      <c r="K1145" s="61"/>
      <c r="M1145" s="7">
        <f t="shared" ref="M1145" si="596">SUM(G1145:I1145)/3</f>
        <v>0.33333333333333331</v>
      </c>
      <c r="N1145" s="6">
        <f t="shared" ref="N1145" si="597">SUM(G1148:I1148)/3</f>
        <v>0.33333333333333331</v>
      </c>
      <c r="O1145" s="7">
        <f t="shared" ref="O1145" si="598">SUM(G1151:I1151)/3</f>
        <v>0.33333333333333331</v>
      </c>
      <c r="P1145" s="6">
        <f t="shared" ref="P1145" si="599">SUM(G1154:I1154)/3</f>
        <v>1</v>
      </c>
      <c r="Q1145" s="7">
        <f t="shared" ref="Q1145" si="600">SUM(G1157:I1157)/3</f>
        <v>0</v>
      </c>
      <c r="R1145" s="7">
        <f>SUM(G1160:I1160)/3</f>
        <v>0</v>
      </c>
    </row>
    <row r="1146" spans="1:18" x14ac:dyDescent="0.25">
      <c r="A1146" s="2"/>
      <c r="B1146" s="37"/>
      <c r="C1146" s="37"/>
      <c r="D1146" s="71"/>
      <c r="E1146" s="71"/>
      <c r="F1146" s="71"/>
      <c r="G1146" s="68" t="str">
        <f t="shared" si="592"/>
        <v/>
      </c>
      <c r="H1146" s="68" t="str">
        <f t="shared" si="593"/>
        <v/>
      </c>
      <c r="I1146" s="68" t="str">
        <f t="shared" si="594"/>
        <v/>
      </c>
      <c r="J1146" s="74" t="str">
        <f t="shared" si="560"/>
        <v/>
      </c>
      <c r="K1146" s="62"/>
    </row>
    <row r="1147" spans="1:18" x14ac:dyDescent="0.25">
      <c r="A1147" s="3"/>
      <c r="B1147" s="42"/>
      <c r="C1147" s="42"/>
      <c r="D1147" s="72"/>
      <c r="E1147" s="72"/>
      <c r="F1147" s="72"/>
      <c r="G1147" s="69" t="str">
        <f t="shared" si="592"/>
        <v/>
      </c>
      <c r="H1147" s="69" t="str">
        <f t="shared" si="593"/>
        <v/>
      </c>
      <c r="I1147" s="69" t="str">
        <f t="shared" si="594"/>
        <v/>
      </c>
      <c r="J1147" s="75" t="str">
        <f t="shared" si="560"/>
        <v/>
      </c>
      <c r="K1147" s="63"/>
    </row>
    <row r="1148" spans="1:18" x14ac:dyDescent="0.25">
      <c r="A1148" s="4" t="s">
        <v>5</v>
      </c>
      <c r="B1148" s="33" t="s">
        <v>468</v>
      </c>
      <c r="C1148" s="33"/>
      <c r="D1148" s="70">
        <v>0</v>
      </c>
      <c r="E1148" s="70">
        <v>1</v>
      </c>
      <c r="F1148" s="70">
        <v>1</v>
      </c>
      <c r="G1148" s="67">
        <f t="shared" si="592"/>
        <v>0</v>
      </c>
      <c r="H1148" s="67">
        <f t="shared" si="593"/>
        <v>0</v>
      </c>
      <c r="I1148" s="67">
        <f t="shared" si="594"/>
        <v>1</v>
      </c>
      <c r="J1148" s="73">
        <f t="shared" si="560"/>
        <v>2</v>
      </c>
      <c r="K1148" s="61"/>
    </row>
    <row r="1149" spans="1:18" x14ac:dyDescent="0.25">
      <c r="A1149" s="2"/>
      <c r="B1149" s="37"/>
      <c r="C1149" s="37"/>
      <c r="D1149" s="71"/>
      <c r="E1149" s="71"/>
      <c r="F1149" s="71"/>
      <c r="G1149" s="68" t="str">
        <f t="shared" si="592"/>
        <v/>
      </c>
      <c r="H1149" s="68" t="str">
        <f t="shared" si="593"/>
        <v/>
      </c>
      <c r="I1149" s="68" t="str">
        <f t="shared" si="594"/>
        <v/>
      </c>
      <c r="J1149" s="74" t="str">
        <f t="shared" si="560"/>
        <v/>
      </c>
      <c r="K1149" s="62"/>
    </row>
    <row r="1150" spans="1:18" x14ac:dyDescent="0.25">
      <c r="A1150" s="3"/>
      <c r="B1150" s="40"/>
      <c r="C1150" s="37"/>
      <c r="D1150" s="71"/>
      <c r="E1150" s="71"/>
      <c r="F1150" s="71"/>
      <c r="G1150" s="69" t="str">
        <f t="shared" si="592"/>
        <v/>
      </c>
      <c r="H1150" s="69" t="str">
        <f t="shared" si="593"/>
        <v/>
      </c>
      <c r="I1150" s="69" t="str">
        <f t="shared" si="594"/>
        <v/>
      </c>
      <c r="J1150" s="75" t="str">
        <f t="shared" ref="J1150:J1219" si="601">IF(B1150="","",SUM(D1150:F1150))</f>
        <v/>
      </c>
      <c r="K1150" s="63"/>
    </row>
    <row r="1151" spans="1:18" x14ac:dyDescent="0.25">
      <c r="A1151" s="4" t="s">
        <v>7</v>
      </c>
      <c r="B1151" s="33" t="s">
        <v>469</v>
      </c>
      <c r="C1151" s="33"/>
      <c r="D1151" s="70">
        <v>1</v>
      </c>
      <c r="E1151" s="70">
        <v>1</v>
      </c>
      <c r="F1151" s="70">
        <v>0</v>
      </c>
      <c r="G1151" s="67">
        <f t="shared" si="592"/>
        <v>1</v>
      </c>
      <c r="H1151" s="67">
        <f t="shared" si="593"/>
        <v>0</v>
      </c>
      <c r="I1151" s="67">
        <f t="shared" si="594"/>
        <v>0</v>
      </c>
      <c r="J1151" s="73">
        <f t="shared" si="601"/>
        <v>2</v>
      </c>
      <c r="K1151" s="61"/>
    </row>
    <row r="1152" spans="1:18" x14ac:dyDescent="0.25">
      <c r="A1152" s="2"/>
      <c r="B1152" s="37"/>
      <c r="C1152" s="37"/>
      <c r="D1152" s="71"/>
      <c r="E1152" s="71"/>
      <c r="F1152" s="71"/>
      <c r="G1152" s="68" t="str">
        <f t="shared" si="592"/>
        <v/>
      </c>
      <c r="H1152" s="68" t="str">
        <f t="shared" si="593"/>
        <v/>
      </c>
      <c r="I1152" s="68" t="str">
        <f t="shared" si="594"/>
        <v/>
      </c>
      <c r="J1152" s="74" t="str">
        <f t="shared" si="601"/>
        <v/>
      </c>
      <c r="K1152" s="62"/>
    </row>
    <row r="1153" spans="1:18" x14ac:dyDescent="0.25">
      <c r="A1153" s="3"/>
      <c r="B1153" s="40"/>
      <c r="C1153" s="40"/>
      <c r="D1153" s="72"/>
      <c r="E1153" s="72"/>
      <c r="F1153" s="72"/>
      <c r="G1153" s="69" t="str">
        <f t="shared" si="592"/>
        <v/>
      </c>
      <c r="H1153" s="69" t="str">
        <f t="shared" si="593"/>
        <v/>
      </c>
      <c r="I1153" s="69" t="str">
        <f t="shared" si="594"/>
        <v/>
      </c>
      <c r="J1153" s="75" t="str">
        <f t="shared" si="601"/>
        <v/>
      </c>
      <c r="K1153" s="63"/>
    </row>
    <row r="1154" spans="1:18" x14ac:dyDescent="0.25">
      <c r="A1154" s="4" t="s">
        <v>8</v>
      </c>
      <c r="B1154" s="37" t="s">
        <v>470</v>
      </c>
      <c r="C1154" s="37"/>
      <c r="D1154" s="70">
        <v>1</v>
      </c>
      <c r="E1154" s="70">
        <v>1</v>
      </c>
      <c r="F1154" s="70">
        <v>1</v>
      </c>
      <c r="G1154" s="67">
        <f t="shared" si="592"/>
        <v>1</v>
      </c>
      <c r="H1154" s="67">
        <f t="shared" si="593"/>
        <v>1</v>
      </c>
      <c r="I1154" s="67">
        <f t="shared" si="594"/>
        <v>1</v>
      </c>
      <c r="J1154" s="73">
        <f t="shared" si="601"/>
        <v>3</v>
      </c>
      <c r="K1154" s="61"/>
    </row>
    <row r="1155" spans="1:18" x14ac:dyDescent="0.25">
      <c r="A1155" s="2"/>
      <c r="B1155" s="37"/>
      <c r="C1155" s="37"/>
      <c r="D1155" s="71"/>
      <c r="E1155" s="71"/>
      <c r="F1155" s="71"/>
      <c r="G1155" s="68" t="str">
        <f t="shared" si="592"/>
        <v/>
      </c>
      <c r="H1155" s="68" t="str">
        <f t="shared" si="593"/>
        <v/>
      </c>
      <c r="I1155" s="68" t="str">
        <f t="shared" si="594"/>
        <v/>
      </c>
      <c r="J1155" s="74" t="str">
        <f t="shared" si="601"/>
        <v/>
      </c>
      <c r="K1155" s="62"/>
    </row>
    <row r="1156" spans="1:18" x14ac:dyDescent="0.25">
      <c r="A1156" s="3"/>
      <c r="B1156" s="40"/>
      <c r="C1156" s="40"/>
      <c r="D1156" s="72"/>
      <c r="E1156" s="72"/>
      <c r="F1156" s="72"/>
      <c r="G1156" s="69" t="str">
        <f t="shared" si="592"/>
        <v/>
      </c>
      <c r="H1156" s="69" t="str">
        <f t="shared" si="593"/>
        <v/>
      </c>
      <c r="I1156" s="69" t="str">
        <f t="shared" si="594"/>
        <v/>
      </c>
      <c r="J1156" s="75" t="str">
        <f t="shared" si="601"/>
        <v/>
      </c>
      <c r="K1156" s="63"/>
    </row>
    <row r="1157" spans="1:18" x14ac:dyDescent="0.25">
      <c r="A1157" s="2" t="s">
        <v>9</v>
      </c>
      <c r="B1157" s="37" t="s">
        <v>539</v>
      </c>
      <c r="C1157" s="37"/>
      <c r="D1157" s="71">
        <v>1</v>
      </c>
      <c r="E1157" s="71">
        <v>0</v>
      </c>
      <c r="F1157" s="71">
        <v>0</v>
      </c>
      <c r="G1157" s="68">
        <f t="shared" si="592"/>
        <v>0</v>
      </c>
      <c r="H1157" s="68">
        <f t="shared" si="593"/>
        <v>0</v>
      </c>
      <c r="I1157" s="68">
        <f t="shared" si="594"/>
        <v>0</v>
      </c>
      <c r="J1157" s="74">
        <f t="shared" si="601"/>
        <v>1</v>
      </c>
      <c r="K1157" s="62"/>
    </row>
    <row r="1158" spans="1:18" x14ac:dyDescent="0.25">
      <c r="A1158" s="2"/>
      <c r="B1158" s="37" t="s">
        <v>774</v>
      </c>
      <c r="C1158" s="37"/>
      <c r="D1158" s="71">
        <v>0</v>
      </c>
      <c r="E1158" s="71">
        <v>0</v>
      </c>
      <c r="F1158" s="71">
        <v>1</v>
      </c>
      <c r="G1158" s="68">
        <f t="shared" si="592"/>
        <v>0</v>
      </c>
      <c r="H1158" s="68">
        <f t="shared" si="593"/>
        <v>0</v>
      </c>
      <c r="I1158" s="68">
        <f t="shared" si="594"/>
        <v>0</v>
      </c>
      <c r="J1158" s="74">
        <f t="shared" si="601"/>
        <v>1</v>
      </c>
      <c r="K1158" s="62"/>
    </row>
    <row r="1159" spans="1:18" x14ac:dyDescent="0.25">
      <c r="A1159" s="3"/>
      <c r="B1159" s="40" t="s">
        <v>1105</v>
      </c>
      <c r="C1159" s="40"/>
      <c r="D1159" s="72">
        <v>0</v>
      </c>
      <c r="E1159" s="72">
        <v>1</v>
      </c>
      <c r="F1159" s="72">
        <v>0</v>
      </c>
      <c r="G1159" s="69">
        <f t="shared" si="592"/>
        <v>0</v>
      </c>
      <c r="H1159" s="69">
        <f t="shared" si="593"/>
        <v>0</v>
      </c>
      <c r="I1159" s="69">
        <f t="shared" si="594"/>
        <v>0</v>
      </c>
      <c r="J1159" s="75">
        <f t="shared" si="601"/>
        <v>1</v>
      </c>
      <c r="K1159" s="63"/>
    </row>
    <row r="1160" spans="1:18" x14ac:dyDescent="0.25">
      <c r="A1160" s="2" t="s">
        <v>1224</v>
      </c>
      <c r="B1160" s="37" t="s">
        <v>1271</v>
      </c>
      <c r="C1160" s="37"/>
      <c r="D1160" s="71">
        <v>1</v>
      </c>
      <c r="E1160" s="71">
        <v>0</v>
      </c>
      <c r="F1160" s="71">
        <v>0</v>
      </c>
      <c r="G1160" s="68">
        <f t="shared" si="592"/>
        <v>0</v>
      </c>
      <c r="H1160" s="68">
        <f t="shared" si="593"/>
        <v>0</v>
      </c>
      <c r="I1160" s="68">
        <f t="shared" si="594"/>
        <v>0</v>
      </c>
      <c r="J1160" s="74">
        <f t="shared" ref="J1160:J1162" si="602">IF(B1160="","",SUM(D1160:F1160))</f>
        <v>1</v>
      </c>
      <c r="K1160" s="62"/>
    </row>
    <row r="1161" spans="1:18" x14ac:dyDescent="0.25">
      <c r="A1161" s="2"/>
      <c r="B1161" s="37" t="s">
        <v>1330</v>
      </c>
      <c r="C1161" s="37"/>
      <c r="D1161" s="71">
        <v>0</v>
      </c>
      <c r="E1161" s="71">
        <v>1</v>
      </c>
      <c r="F1161" s="71">
        <v>0</v>
      </c>
      <c r="G1161" s="68">
        <f t="shared" si="592"/>
        <v>0</v>
      </c>
      <c r="H1161" s="68">
        <f t="shared" si="593"/>
        <v>0</v>
      </c>
      <c r="I1161" s="68">
        <f t="shared" si="594"/>
        <v>0</v>
      </c>
      <c r="J1161" s="74">
        <f t="shared" si="602"/>
        <v>1</v>
      </c>
      <c r="K1161" s="62"/>
    </row>
    <row r="1162" spans="1:18" x14ac:dyDescent="0.25">
      <c r="A1162" s="3"/>
      <c r="B1162" s="40"/>
      <c r="C1162" s="40"/>
      <c r="D1162" s="72"/>
      <c r="E1162" s="72"/>
      <c r="F1162" s="72"/>
      <c r="G1162" s="69" t="str">
        <f t="shared" si="592"/>
        <v/>
      </c>
      <c r="H1162" s="69" t="str">
        <f t="shared" si="593"/>
        <v/>
      </c>
      <c r="I1162" s="69" t="str">
        <f t="shared" si="594"/>
        <v/>
      </c>
      <c r="J1162" s="75" t="str">
        <f t="shared" si="602"/>
        <v/>
      </c>
      <c r="K1162" s="63"/>
    </row>
    <row r="1164" spans="1:18" x14ac:dyDescent="0.25">
      <c r="A1164" s="81">
        <v>59</v>
      </c>
      <c r="B1164" s="49" t="s">
        <v>1175</v>
      </c>
      <c r="C1164" s="31" t="s">
        <v>1454</v>
      </c>
      <c r="D1164" s="76"/>
      <c r="E1164" s="66"/>
      <c r="F1164" s="66"/>
      <c r="G1164" s="66"/>
      <c r="H1164" s="66"/>
      <c r="I1164" s="66"/>
      <c r="J1164" s="60"/>
      <c r="K1164" s="60"/>
    </row>
    <row r="1165" spans="1:18" x14ac:dyDescent="0.25">
      <c r="A1165" s="4" t="s">
        <v>6</v>
      </c>
      <c r="B1165" s="35" t="s">
        <v>775</v>
      </c>
      <c r="C1165" s="35"/>
      <c r="D1165" s="70">
        <v>1</v>
      </c>
      <c r="E1165" s="70">
        <v>1</v>
      </c>
      <c r="F1165" s="70">
        <v>1</v>
      </c>
      <c r="G1165" s="67">
        <f t="shared" ref="G1165:G1182" si="603">IF(B1165="","",IF( AND(D1165=1, E1165=1),1,0))</f>
        <v>1</v>
      </c>
      <c r="H1165" s="67">
        <f t="shared" ref="H1165:H1182" si="604">IF(B1165="","",IF(AND(D1165=1,F1165=1),1,0))</f>
        <v>1</v>
      </c>
      <c r="I1165" s="67">
        <f t="shared" ref="I1165:I1182" si="605">IF(B1165="","",IF(AND(E1165=1,F1165=1),1,0))</f>
        <v>1</v>
      </c>
      <c r="J1165" s="73">
        <f t="shared" ref="J1165" si="606">IF(B1165="","",SUM(D1165:F1165))</f>
        <v>3</v>
      </c>
      <c r="K1165" s="61"/>
      <c r="M1165" s="7">
        <f t="shared" ref="M1165" si="607">SUM(G1165:I1165)/3</f>
        <v>1</v>
      </c>
      <c r="N1165" s="6">
        <f t="shared" ref="N1165" si="608">SUM(G1168:I1168)/3</f>
        <v>1</v>
      </c>
      <c r="O1165" s="7">
        <f t="shared" ref="O1165" si="609">SUM(G1171:I1171)/3</f>
        <v>1</v>
      </c>
      <c r="P1165" s="6">
        <f t="shared" ref="P1165" si="610">SUM(G1174:I1174)/3</f>
        <v>1</v>
      </c>
      <c r="Q1165" s="7">
        <f t="shared" ref="Q1165" si="611">SUM(G1177:I1177)/3</f>
        <v>1</v>
      </c>
      <c r="R1165" s="7">
        <f>SUM(G1180:I1180)/3</f>
        <v>0.33333333333333331</v>
      </c>
    </row>
    <row r="1166" spans="1:18" x14ac:dyDescent="0.25">
      <c r="A1166" s="2"/>
      <c r="B1166" s="37" t="s">
        <v>471</v>
      </c>
      <c r="C1166" s="37"/>
      <c r="D1166" s="71">
        <v>1</v>
      </c>
      <c r="E1166" s="71">
        <v>1</v>
      </c>
      <c r="F1166" s="71">
        <v>0</v>
      </c>
      <c r="G1166" s="68">
        <f t="shared" si="603"/>
        <v>1</v>
      </c>
      <c r="H1166" s="68">
        <f t="shared" si="604"/>
        <v>0</v>
      </c>
      <c r="I1166" s="68">
        <f t="shared" si="605"/>
        <v>0</v>
      </c>
      <c r="J1166" s="74">
        <f t="shared" si="601"/>
        <v>2</v>
      </c>
      <c r="K1166" s="62"/>
    </row>
    <row r="1167" spans="1:18" x14ac:dyDescent="0.25">
      <c r="A1167" s="3"/>
      <c r="B1167" s="37" t="s">
        <v>541</v>
      </c>
      <c r="C1167" s="37"/>
      <c r="D1167" s="72">
        <v>1</v>
      </c>
      <c r="E1167" s="72">
        <v>1</v>
      </c>
      <c r="F1167" s="72">
        <v>0</v>
      </c>
      <c r="G1167" s="69">
        <f t="shared" si="603"/>
        <v>1</v>
      </c>
      <c r="H1167" s="69">
        <f t="shared" si="604"/>
        <v>0</v>
      </c>
      <c r="I1167" s="69">
        <f t="shared" si="605"/>
        <v>0</v>
      </c>
      <c r="J1167" s="75">
        <f t="shared" si="601"/>
        <v>2</v>
      </c>
      <c r="K1167" s="63"/>
    </row>
    <row r="1168" spans="1:18" x14ac:dyDescent="0.25">
      <c r="A1168" s="4" t="s">
        <v>5</v>
      </c>
      <c r="B1168" s="33" t="s">
        <v>1105</v>
      </c>
      <c r="C1168" s="33"/>
      <c r="D1168" s="70">
        <v>1</v>
      </c>
      <c r="E1168" s="70">
        <v>1</v>
      </c>
      <c r="F1168" s="70">
        <v>1</v>
      </c>
      <c r="G1168" s="67">
        <f t="shared" si="603"/>
        <v>1</v>
      </c>
      <c r="H1168" s="67">
        <f t="shared" si="604"/>
        <v>1</v>
      </c>
      <c r="I1168" s="67">
        <f t="shared" si="605"/>
        <v>1</v>
      </c>
      <c r="J1168" s="73">
        <f t="shared" si="601"/>
        <v>3</v>
      </c>
      <c r="K1168" s="61"/>
    </row>
    <row r="1169" spans="1:11" x14ac:dyDescent="0.25">
      <c r="A1169" s="2"/>
      <c r="B1169" s="37"/>
      <c r="C1169" s="37"/>
      <c r="D1169" s="71"/>
      <c r="E1169" s="71"/>
      <c r="F1169" s="71"/>
      <c r="G1169" s="68" t="str">
        <f t="shared" si="603"/>
        <v/>
      </c>
      <c r="H1169" s="68" t="str">
        <f t="shared" si="604"/>
        <v/>
      </c>
      <c r="I1169" s="68" t="str">
        <f t="shared" si="605"/>
        <v/>
      </c>
      <c r="J1169" s="74" t="str">
        <f t="shared" si="601"/>
        <v/>
      </c>
      <c r="K1169" s="62"/>
    </row>
    <row r="1170" spans="1:11" x14ac:dyDescent="0.25">
      <c r="A1170" s="3"/>
      <c r="B1170" s="40"/>
      <c r="C1170" s="37"/>
      <c r="D1170" s="71"/>
      <c r="E1170" s="71"/>
      <c r="F1170" s="71"/>
      <c r="G1170" s="69" t="str">
        <f t="shared" si="603"/>
        <v/>
      </c>
      <c r="H1170" s="69" t="str">
        <f t="shared" si="604"/>
        <v/>
      </c>
      <c r="I1170" s="69" t="str">
        <f t="shared" si="605"/>
        <v/>
      </c>
      <c r="J1170" s="75" t="str">
        <f t="shared" si="601"/>
        <v/>
      </c>
      <c r="K1170" s="63"/>
    </row>
    <row r="1171" spans="1:11" x14ac:dyDescent="0.25">
      <c r="A1171" s="4" t="s">
        <v>7</v>
      </c>
      <c r="B1171" s="33" t="s">
        <v>1105</v>
      </c>
      <c r="C1171" s="33"/>
      <c r="D1171" s="70">
        <v>1</v>
      </c>
      <c r="E1171" s="70">
        <v>1</v>
      </c>
      <c r="F1171" s="70">
        <v>1</v>
      </c>
      <c r="G1171" s="67">
        <f t="shared" si="603"/>
        <v>1</v>
      </c>
      <c r="H1171" s="67">
        <f t="shared" si="604"/>
        <v>1</v>
      </c>
      <c r="I1171" s="67">
        <f t="shared" si="605"/>
        <v>1</v>
      </c>
      <c r="J1171" s="73">
        <f t="shared" si="601"/>
        <v>3</v>
      </c>
      <c r="K1171" s="61"/>
    </row>
    <row r="1172" spans="1:11" x14ac:dyDescent="0.25">
      <c r="A1172" s="2"/>
      <c r="B1172" s="37"/>
      <c r="C1172" s="37"/>
      <c r="D1172" s="71"/>
      <c r="E1172" s="71"/>
      <c r="F1172" s="71"/>
      <c r="G1172" s="68" t="str">
        <f t="shared" si="603"/>
        <v/>
      </c>
      <c r="H1172" s="68" t="str">
        <f t="shared" si="604"/>
        <v/>
      </c>
      <c r="I1172" s="68" t="str">
        <f t="shared" si="605"/>
        <v/>
      </c>
      <c r="J1172" s="74" t="str">
        <f t="shared" si="601"/>
        <v/>
      </c>
      <c r="K1172" s="62"/>
    </row>
    <row r="1173" spans="1:11" x14ac:dyDescent="0.25">
      <c r="A1173" s="3"/>
      <c r="B1173" s="40"/>
      <c r="C1173" s="40"/>
      <c r="D1173" s="72"/>
      <c r="E1173" s="72"/>
      <c r="F1173" s="72"/>
      <c r="G1173" s="69" t="str">
        <f t="shared" si="603"/>
        <v/>
      </c>
      <c r="H1173" s="69" t="str">
        <f t="shared" si="604"/>
        <v/>
      </c>
      <c r="I1173" s="69" t="str">
        <f t="shared" si="605"/>
        <v/>
      </c>
      <c r="J1173" s="75" t="str">
        <f t="shared" si="601"/>
        <v/>
      </c>
      <c r="K1173" s="63"/>
    </row>
    <row r="1174" spans="1:11" x14ac:dyDescent="0.25">
      <c r="A1174" s="4" t="s">
        <v>8</v>
      </c>
      <c r="B1174" s="37" t="s">
        <v>152</v>
      </c>
      <c r="C1174" s="37"/>
      <c r="D1174" s="70">
        <v>1</v>
      </c>
      <c r="E1174" s="70">
        <v>1</v>
      </c>
      <c r="F1174" s="70">
        <v>1</v>
      </c>
      <c r="G1174" s="67">
        <f t="shared" si="603"/>
        <v>1</v>
      </c>
      <c r="H1174" s="67">
        <f t="shared" si="604"/>
        <v>1</v>
      </c>
      <c r="I1174" s="67">
        <f t="shared" si="605"/>
        <v>1</v>
      </c>
      <c r="J1174" s="73">
        <f t="shared" si="601"/>
        <v>3</v>
      </c>
      <c r="K1174" s="61"/>
    </row>
    <row r="1175" spans="1:11" x14ac:dyDescent="0.25">
      <c r="A1175" s="2"/>
      <c r="B1175" s="42" t="s">
        <v>542</v>
      </c>
      <c r="C1175" s="39"/>
      <c r="D1175" s="71">
        <v>1</v>
      </c>
      <c r="E1175" s="71">
        <v>0</v>
      </c>
      <c r="F1175" s="71">
        <v>1</v>
      </c>
      <c r="G1175" s="68">
        <f t="shared" si="603"/>
        <v>0</v>
      </c>
      <c r="H1175" s="68">
        <f t="shared" si="604"/>
        <v>1</v>
      </c>
      <c r="I1175" s="68">
        <f t="shared" si="605"/>
        <v>0</v>
      </c>
      <c r="J1175" s="74">
        <f t="shared" si="601"/>
        <v>2</v>
      </c>
      <c r="K1175" s="62"/>
    </row>
    <row r="1176" spans="1:11" x14ac:dyDescent="0.25">
      <c r="A1176" s="3"/>
      <c r="B1176" s="40"/>
      <c r="C1176" s="40"/>
      <c r="D1176" s="72"/>
      <c r="E1176" s="72"/>
      <c r="F1176" s="72"/>
      <c r="G1176" s="69" t="str">
        <f t="shared" si="603"/>
        <v/>
      </c>
      <c r="H1176" s="69" t="str">
        <f t="shared" si="604"/>
        <v/>
      </c>
      <c r="I1176" s="69" t="str">
        <f t="shared" si="605"/>
        <v/>
      </c>
      <c r="J1176" s="75" t="str">
        <f t="shared" si="601"/>
        <v/>
      </c>
      <c r="K1176" s="63"/>
    </row>
    <row r="1177" spans="1:11" x14ac:dyDescent="0.25">
      <c r="A1177" s="2" t="s">
        <v>9</v>
      </c>
      <c r="B1177" s="37" t="s">
        <v>1105</v>
      </c>
      <c r="C1177" s="37"/>
      <c r="D1177" s="71">
        <v>1</v>
      </c>
      <c r="E1177" s="71">
        <v>1</v>
      </c>
      <c r="F1177" s="71">
        <v>1</v>
      </c>
      <c r="G1177" s="68">
        <f t="shared" si="603"/>
        <v>1</v>
      </c>
      <c r="H1177" s="68">
        <f t="shared" si="604"/>
        <v>1</v>
      </c>
      <c r="I1177" s="68">
        <f t="shared" si="605"/>
        <v>1</v>
      </c>
      <c r="J1177" s="74">
        <f t="shared" si="601"/>
        <v>3</v>
      </c>
      <c r="K1177" s="62"/>
    </row>
    <row r="1178" spans="1:11" x14ac:dyDescent="0.25">
      <c r="A1178" s="2"/>
      <c r="B1178" s="37"/>
      <c r="C1178" s="37"/>
      <c r="D1178" s="71"/>
      <c r="E1178" s="71"/>
      <c r="F1178" s="71"/>
      <c r="G1178" s="68" t="str">
        <f t="shared" si="603"/>
        <v/>
      </c>
      <c r="H1178" s="68" t="str">
        <f t="shared" si="604"/>
        <v/>
      </c>
      <c r="I1178" s="68" t="str">
        <f t="shared" si="605"/>
        <v/>
      </c>
      <c r="J1178" s="74" t="str">
        <f t="shared" si="601"/>
        <v/>
      </c>
      <c r="K1178" s="62"/>
    </row>
    <row r="1179" spans="1:11" x14ac:dyDescent="0.25">
      <c r="A1179" s="3"/>
      <c r="B1179" s="40"/>
      <c r="C1179" s="40"/>
      <c r="D1179" s="72"/>
      <c r="E1179" s="72"/>
      <c r="F1179" s="72"/>
      <c r="G1179" s="69" t="str">
        <f t="shared" si="603"/>
        <v/>
      </c>
      <c r="H1179" s="69" t="str">
        <f t="shared" si="604"/>
        <v/>
      </c>
      <c r="I1179" s="69" t="str">
        <f t="shared" si="605"/>
        <v/>
      </c>
      <c r="J1179" s="75" t="str">
        <f t="shared" si="601"/>
        <v/>
      </c>
      <c r="K1179" s="63"/>
    </row>
    <row r="1180" spans="1:11" x14ac:dyDescent="0.25">
      <c r="A1180" s="2" t="s">
        <v>1224</v>
      </c>
      <c r="B1180" s="37" t="s">
        <v>1331</v>
      </c>
      <c r="C1180" s="37"/>
      <c r="D1180" s="71">
        <v>0</v>
      </c>
      <c r="E1180" s="71">
        <v>1</v>
      </c>
      <c r="F1180" s="71">
        <v>1</v>
      </c>
      <c r="G1180" s="68">
        <f t="shared" si="603"/>
        <v>0</v>
      </c>
      <c r="H1180" s="68">
        <f t="shared" si="604"/>
        <v>0</v>
      </c>
      <c r="I1180" s="68">
        <f t="shared" si="605"/>
        <v>1</v>
      </c>
      <c r="J1180" s="74">
        <f t="shared" ref="J1180:J1182" si="612">IF(B1180="","",SUM(D1180:F1180))</f>
        <v>2</v>
      </c>
      <c r="K1180" s="62"/>
    </row>
    <row r="1181" spans="1:11" x14ac:dyDescent="0.25">
      <c r="A1181" s="2"/>
      <c r="B1181" s="37" t="s">
        <v>1272</v>
      </c>
      <c r="C1181" s="37"/>
      <c r="D1181" s="71">
        <v>1</v>
      </c>
      <c r="E1181" s="71">
        <v>0</v>
      </c>
      <c r="F1181" s="71">
        <v>0</v>
      </c>
      <c r="G1181" s="68">
        <f t="shared" si="603"/>
        <v>0</v>
      </c>
      <c r="H1181" s="68">
        <f t="shared" si="604"/>
        <v>0</v>
      </c>
      <c r="I1181" s="68">
        <f t="shared" si="605"/>
        <v>0</v>
      </c>
      <c r="J1181" s="74">
        <f t="shared" si="612"/>
        <v>1</v>
      </c>
      <c r="K1181" s="62"/>
    </row>
    <row r="1182" spans="1:11" x14ac:dyDescent="0.25">
      <c r="A1182" s="3"/>
      <c r="B1182" s="40"/>
      <c r="C1182" s="40"/>
      <c r="D1182" s="72"/>
      <c r="E1182" s="72"/>
      <c r="F1182" s="72"/>
      <c r="G1182" s="69" t="str">
        <f t="shared" si="603"/>
        <v/>
      </c>
      <c r="H1182" s="69" t="str">
        <f t="shared" si="604"/>
        <v/>
      </c>
      <c r="I1182" s="69" t="str">
        <f t="shared" si="605"/>
        <v/>
      </c>
      <c r="J1182" s="75" t="str">
        <f t="shared" si="612"/>
        <v/>
      </c>
      <c r="K1182" s="63"/>
    </row>
    <row r="1184" spans="1:11" x14ac:dyDescent="0.25">
      <c r="A1184" s="81">
        <v>60</v>
      </c>
      <c r="B1184" s="49" t="s">
        <v>1176</v>
      </c>
      <c r="C1184" s="31" t="s">
        <v>1408</v>
      </c>
      <c r="D1184" s="76"/>
      <c r="E1184" s="66"/>
      <c r="F1184" s="66"/>
      <c r="G1184" s="66"/>
      <c r="H1184" s="66"/>
      <c r="I1184" s="66"/>
      <c r="J1184" s="60"/>
      <c r="K1184" s="60"/>
    </row>
    <row r="1185" spans="1:18" x14ac:dyDescent="0.25">
      <c r="A1185" s="4" t="s">
        <v>6</v>
      </c>
      <c r="B1185" s="37" t="s">
        <v>543</v>
      </c>
      <c r="C1185" s="37"/>
      <c r="D1185" s="70">
        <v>1</v>
      </c>
      <c r="E1185" s="70">
        <v>1</v>
      </c>
      <c r="F1185" s="70">
        <v>1</v>
      </c>
      <c r="G1185" s="67">
        <f t="shared" ref="G1185:G1202" si="613">IF(B1185="","",IF( AND(D1185=1, E1185=1),1,0))</f>
        <v>1</v>
      </c>
      <c r="H1185" s="67">
        <f t="shared" ref="H1185:H1202" si="614">IF(B1185="","",IF(AND(D1185=1,F1185=1),1,0))</f>
        <v>1</v>
      </c>
      <c r="I1185" s="67">
        <f t="shared" ref="I1185:I1202" si="615">IF(B1185="","",IF(AND(E1185=1,F1185=1),1,0))</f>
        <v>1</v>
      </c>
      <c r="J1185" s="73">
        <f t="shared" ref="J1185" si="616">IF(B1185="","",SUM(D1185:F1185))</f>
        <v>3</v>
      </c>
      <c r="K1185" s="61"/>
      <c r="M1185" s="7">
        <f t="shared" ref="M1185" si="617">SUM(G1185:I1185)/3</f>
        <v>1</v>
      </c>
      <c r="N1185" s="6">
        <f t="shared" ref="N1185" si="618">SUM(G1188:I1188)/3</f>
        <v>0.33333333333333331</v>
      </c>
      <c r="O1185" s="7">
        <f t="shared" ref="O1185" si="619">SUM(G1191:I1191)/3</f>
        <v>0.33333333333333331</v>
      </c>
      <c r="P1185" s="6">
        <f t="shared" ref="P1185" si="620">SUM(G1194:I1194)/3</f>
        <v>1</v>
      </c>
      <c r="Q1185" s="7">
        <f t="shared" ref="Q1185" si="621">SUM(G1197:I1197)/3</f>
        <v>1</v>
      </c>
      <c r="R1185" s="7">
        <f>SUM(G1200:I1200)/3</f>
        <v>0.33333333333333331</v>
      </c>
    </row>
    <row r="1186" spans="1:18" x14ac:dyDescent="0.25">
      <c r="A1186" s="2"/>
      <c r="B1186" s="37"/>
      <c r="C1186" s="37"/>
      <c r="D1186" s="71"/>
      <c r="E1186" s="71"/>
      <c r="F1186" s="71"/>
      <c r="G1186" s="68" t="str">
        <f t="shared" si="613"/>
        <v/>
      </c>
      <c r="H1186" s="68" t="str">
        <f t="shared" si="614"/>
        <v/>
      </c>
      <c r="I1186" s="68" t="str">
        <f t="shared" si="615"/>
        <v/>
      </c>
      <c r="J1186" s="74" t="str">
        <f t="shared" si="601"/>
        <v/>
      </c>
      <c r="K1186" s="62"/>
    </row>
    <row r="1187" spans="1:18" x14ac:dyDescent="0.25">
      <c r="A1187" s="3"/>
      <c r="B1187" s="42"/>
      <c r="C1187" s="42"/>
      <c r="D1187" s="72"/>
      <c r="E1187" s="72"/>
      <c r="F1187" s="72"/>
      <c r="G1187" s="69" t="str">
        <f t="shared" si="613"/>
        <v/>
      </c>
      <c r="H1187" s="69" t="str">
        <f t="shared" si="614"/>
        <v/>
      </c>
      <c r="I1187" s="69" t="str">
        <f t="shared" si="615"/>
        <v/>
      </c>
      <c r="J1187" s="75" t="str">
        <f t="shared" si="601"/>
        <v/>
      </c>
      <c r="K1187" s="63"/>
    </row>
    <row r="1188" spans="1:18" x14ac:dyDescent="0.25">
      <c r="A1188" s="4" t="s">
        <v>5</v>
      </c>
      <c r="B1188" s="33" t="s">
        <v>475</v>
      </c>
      <c r="C1188" s="33"/>
      <c r="D1188" s="70">
        <v>0</v>
      </c>
      <c r="E1188" s="70">
        <v>1</v>
      </c>
      <c r="F1188" s="70">
        <v>1</v>
      </c>
      <c r="G1188" s="67">
        <f t="shared" si="613"/>
        <v>0</v>
      </c>
      <c r="H1188" s="67">
        <f t="shared" si="614"/>
        <v>0</v>
      </c>
      <c r="I1188" s="67">
        <f t="shared" si="615"/>
        <v>1</v>
      </c>
      <c r="J1188" s="73">
        <f t="shared" si="601"/>
        <v>2</v>
      </c>
      <c r="K1188" s="61"/>
    </row>
    <row r="1189" spans="1:18" x14ac:dyDescent="0.25">
      <c r="A1189" s="2"/>
      <c r="B1189" s="37"/>
      <c r="C1189" s="37"/>
      <c r="D1189" s="71"/>
      <c r="E1189" s="71"/>
      <c r="F1189" s="71"/>
      <c r="G1189" s="68" t="str">
        <f t="shared" si="613"/>
        <v/>
      </c>
      <c r="H1189" s="68" t="str">
        <f t="shared" si="614"/>
        <v/>
      </c>
      <c r="I1189" s="68" t="str">
        <f t="shared" si="615"/>
        <v/>
      </c>
      <c r="J1189" s="74" t="str">
        <f t="shared" si="601"/>
        <v/>
      </c>
      <c r="K1189" s="62"/>
    </row>
    <row r="1190" spans="1:18" x14ac:dyDescent="0.25">
      <c r="A1190" s="3"/>
      <c r="B1190" s="40"/>
      <c r="C1190" s="37"/>
      <c r="D1190" s="71"/>
      <c r="E1190" s="71"/>
      <c r="F1190" s="71"/>
      <c r="G1190" s="69" t="str">
        <f t="shared" si="613"/>
        <v/>
      </c>
      <c r="H1190" s="69" t="str">
        <f t="shared" si="614"/>
        <v/>
      </c>
      <c r="I1190" s="69" t="str">
        <f t="shared" si="615"/>
        <v/>
      </c>
      <c r="J1190" s="75" t="str">
        <f t="shared" si="601"/>
        <v/>
      </c>
      <c r="K1190" s="63"/>
    </row>
    <row r="1191" spans="1:18" x14ac:dyDescent="0.25">
      <c r="A1191" s="4" t="s">
        <v>7</v>
      </c>
      <c r="B1191" s="33" t="s">
        <v>1105</v>
      </c>
      <c r="C1191" s="33"/>
      <c r="D1191" s="70">
        <v>1</v>
      </c>
      <c r="E1191" s="70">
        <v>1</v>
      </c>
      <c r="F1191" s="70">
        <v>0</v>
      </c>
      <c r="G1191" s="67">
        <f t="shared" si="613"/>
        <v>1</v>
      </c>
      <c r="H1191" s="67">
        <f t="shared" si="614"/>
        <v>0</v>
      </c>
      <c r="I1191" s="67">
        <f t="shared" si="615"/>
        <v>0</v>
      </c>
      <c r="J1191" s="73">
        <f t="shared" si="601"/>
        <v>2</v>
      </c>
      <c r="K1191" s="61"/>
    </row>
    <row r="1192" spans="1:18" x14ac:dyDescent="0.25">
      <c r="A1192" s="2"/>
      <c r="B1192" s="37"/>
      <c r="C1192" s="37"/>
      <c r="D1192" s="71"/>
      <c r="E1192" s="71"/>
      <c r="F1192" s="71"/>
      <c r="G1192" s="68" t="str">
        <f t="shared" si="613"/>
        <v/>
      </c>
      <c r="H1192" s="68" t="str">
        <f t="shared" si="614"/>
        <v/>
      </c>
      <c r="I1192" s="68" t="str">
        <f t="shared" si="615"/>
        <v/>
      </c>
      <c r="J1192" s="74" t="str">
        <f t="shared" si="601"/>
        <v/>
      </c>
      <c r="K1192" s="62"/>
    </row>
    <row r="1193" spans="1:18" x14ac:dyDescent="0.25">
      <c r="A1193" s="3"/>
      <c r="B1193" s="40"/>
      <c r="C1193" s="40"/>
      <c r="D1193" s="72"/>
      <c r="E1193" s="72"/>
      <c r="F1193" s="72"/>
      <c r="G1193" s="69" t="str">
        <f t="shared" si="613"/>
        <v/>
      </c>
      <c r="H1193" s="69" t="str">
        <f t="shared" si="614"/>
        <v/>
      </c>
      <c r="I1193" s="69" t="str">
        <f t="shared" si="615"/>
        <v/>
      </c>
      <c r="J1193" s="75" t="str">
        <f t="shared" si="601"/>
        <v/>
      </c>
      <c r="K1193" s="63"/>
    </row>
    <row r="1194" spans="1:18" x14ac:dyDescent="0.25">
      <c r="A1194" s="4" t="s">
        <v>8</v>
      </c>
      <c r="B1194" s="37" t="s">
        <v>152</v>
      </c>
      <c r="C1194" s="37"/>
      <c r="D1194" s="70">
        <v>1</v>
      </c>
      <c r="E1194" s="70">
        <v>1</v>
      </c>
      <c r="F1194" s="70">
        <v>1</v>
      </c>
      <c r="G1194" s="67">
        <f t="shared" si="613"/>
        <v>1</v>
      </c>
      <c r="H1194" s="67">
        <f t="shared" si="614"/>
        <v>1</v>
      </c>
      <c r="I1194" s="67">
        <f t="shared" si="615"/>
        <v>1</v>
      </c>
      <c r="J1194" s="73">
        <f t="shared" si="601"/>
        <v>3</v>
      </c>
      <c r="K1194" s="61"/>
    </row>
    <row r="1195" spans="1:18" x14ac:dyDescent="0.25">
      <c r="A1195" s="2"/>
      <c r="B1195" s="37"/>
      <c r="C1195" s="37"/>
      <c r="D1195" s="71"/>
      <c r="E1195" s="71"/>
      <c r="F1195" s="71"/>
      <c r="G1195" s="68" t="str">
        <f t="shared" si="613"/>
        <v/>
      </c>
      <c r="H1195" s="68" t="str">
        <f t="shared" si="614"/>
        <v/>
      </c>
      <c r="I1195" s="68" t="str">
        <f t="shared" si="615"/>
        <v/>
      </c>
      <c r="J1195" s="74" t="str">
        <f t="shared" si="601"/>
        <v/>
      </c>
      <c r="K1195" s="62"/>
    </row>
    <row r="1196" spans="1:18" x14ac:dyDescent="0.25">
      <c r="A1196" s="3"/>
      <c r="B1196" s="40"/>
      <c r="C1196" s="40"/>
      <c r="D1196" s="72"/>
      <c r="E1196" s="72"/>
      <c r="F1196" s="72"/>
      <c r="G1196" s="69" t="str">
        <f t="shared" si="613"/>
        <v/>
      </c>
      <c r="H1196" s="69" t="str">
        <f t="shared" si="614"/>
        <v/>
      </c>
      <c r="I1196" s="69" t="str">
        <f t="shared" si="615"/>
        <v/>
      </c>
      <c r="J1196" s="75" t="str">
        <f t="shared" si="601"/>
        <v/>
      </c>
      <c r="K1196" s="63"/>
    </row>
    <row r="1197" spans="1:18" x14ac:dyDescent="0.25">
      <c r="A1197" s="2" t="s">
        <v>9</v>
      </c>
      <c r="B1197" s="37" t="s">
        <v>1105</v>
      </c>
      <c r="C1197" s="37"/>
      <c r="D1197" s="71">
        <v>1</v>
      </c>
      <c r="E1197" s="71">
        <v>1</v>
      </c>
      <c r="F1197" s="71">
        <v>1</v>
      </c>
      <c r="G1197" s="68">
        <f t="shared" si="613"/>
        <v>1</v>
      </c>
      <c r="H1197" s="68">
        <f t="shared" si="614"/>
        <v>1</v>
      </c>
      <c r="I1197" s="68">
        <f t="shared" si="615"/>
        <v>1</v>
      </c>
      <c r="J1197" s="74">
        <f t="shared" si="601"/>
        <v>3</v>
      </c>
      <c r="K1197" s="62"/>
    </row>
    <row r="1198" spans="1:18" x14ac:dyDescent="0.25">
      <c r="A1198" s="2"/>
      <c r="B1198" s="37"/>
      <c r="C1198" s="37"/>
      <c r="D1198" s="71"/>
      <c r="E1198" s="71"/>
      <c r="F1198" s="71"/>
      <c r="G1198" s="68" t="str">
        <f t="shared" si="613"/>
        <v/>
      </c>
      <c r="H1198" s="68" t="str">
        <f t="shared" si="614"/>
        <v/>
      </c>
      <c r="I1198" s="68" t="str">
        <f t="shared" si="615"/>
        <v/>
      </c>
      <c r="J1198" s="74" t="str">
        <f t="shared" si="601"/>
        <v/>
      </c>
      <c r="K1198" s="62"/>
    </row>
    <row r="1199" spans="1:18" x14ac:dyDescent="0.25">
      <c r="A1199" s="3"/>
      <c r="B1199" s="40"/>
      <c r="C1199" s="40"/>
      <c r="D1199" s="72"/>
      <c r="E1199" s="72"/>
      <c r="F1199" s="72"/>
      <c r="G1199" s="69" t="str">
        <f t="shared" si="613"/>
        <v/>
      </c>
      <c r="H1199" s="69" t="str">
        <f t="shared" si="614"/>
        <v/>
      </c>
      <c r="I1199" s="69" t="str">
        <f t="shared" si="615"/>
        <v/>
      </c>
      <c r="J1199" s="75" t="str">
        <f t="shared" si="601"/>
        <v/>
      </c>
      <c r="K1199" s="63"/>
    </row>
    <row r="1200" spans="1:18" x14ac:dyDescent="0.25">
      <c r="A1200" s="2" t="s">
        <v>1224</v>
      </c>
      <c r="B1200" s="37" t="s">
        <v>1332</v>
      </c>
      <c r="C1200" s="37"/>
      <c r="D1200" s="71">
        <v>0</v>
      </c>
      <c r="E1200" s="71">
        <v>1</v>
      </c>
      <c r="F1200" s="71">
        <v>1</v>
      </c>
      <c r="G1200" s="68">
        <f t="shared" si="613"/>
        <v>0</v>
      </c>
      <c r="H1200" s="68">
        <f t="shared" si="614"/>
        <v>0</v>
      </c>
      <c r="I1200" s="68">
        <f t="shared" si="615"/>
        <v>1</v>
      </c>
      <c r="J1200" s="74">
        <f t="shared" ref="J1200:J1202" si="622">IF(B1200="","",SUM(D1200:F1200))</f>
        <v>2</v>
      </c>
      <c r="K1200" s="62"/>
    </row>
    <row r="1201" spans="1:18" x14ac:dyDescent="0.25">
      <c r="A1201" s="2"/>
      <c r="B1201" s="37"/>
      <c r="C1201" s="37"/>
      <c r="D1201" s="71"/>
      <c r="E1201" s="71"/>
      <c r="F1201" s="71"/>
      <c r="G1201" s="68" t="str">
        <f t="shared" si="613"/>
        <v/>
      </c>
      <c r="H1201" s="68" t="str">
        <f t="shared" si="614"/>
        <v/>
      </c>
      <c r="I1201" s="68" t="str">
        <f t="shared" si="615"/>
        <v/>
      </c>
      <c r="J1201" s="74" t="str">
        <f t="shared" si="622"/>
        <v/>
      </c>
      <c r="K1201" s="62"/>
    </row>
    <row r="1202" spans="1:18" x14ac:dyDescent="0.25">
      <c r="A1202" s="3"/>
      <c r="B1202" s="40"/>
      <c r="C1202" s="40"/>
      <c r="D1202" s="72"/>
      <c r="E1202" s="72"/>
      <c r="F1202" s="72"/>
      <c r="G1202" s="69" t="str">
        <f t="shared" si="613"/>
        <v/>
      </c>
      <c r="H1202" s="69" t="str">
        <f t="shared" si="614"/>
        <v/>
      </c>
      <c r="I1202" s="69" t="str">
        <f t="shared" si="615"/>
        <v/>
      </c>
      <c r="J1202" s="75" t="str">
        <f t="shared" si="622"/>
        <v/>
      </c>
      <c r="K1202" s="63"/>
    </row>
    <row r="1204" spans="1:18" x14ac:dyDescent="0.25">
      <c r="A1204" s="81">
        <v>61</v>
      </c>
      <c r="B1204" s="49" t="s">
        <v>1177</v>
      </c>
      <c r="C1204" s="31" t="s">
        <v>1455</v>
      </c>
      <c r="D1204" s="76"/>
      <c r="E1204" s="66"/>
      <c r="F1204" s="66"/>
      <c r="G1204" s="66"/>
      <c r="H1204" s="66"/>
      <c r="I1204" s="66"/>
      <c r="J1204" s="60"/>
      <c r="K1204" s="60"/>
    </row>
    <row r="1205" spans="1:18" x14ac:dyDescent="0.25">
      <c r="A1205" s="4" t="s">
        <v>6</v>
      </c>
      <c r="B1205" s="37" t="s">
        <v>545</v>
      </c>
      <c r="C1205" s="37"/>
      <c r="D1205" s="70">
        <v>1</v>
      </c>
      <c r="E1205" s="70">
        <v>1</v>
      </c>
      <c r="F1205" s="70">
        <v>1</v>
      </c>
      <c r="G1205" s="67">
        <f t="shared" ref="G1205:G1222" si="623">IF(B1205="","",IF( AND(D1205=1, E1205=1),1,0))</f>
        <v>1</v>
      </c>
      <c r="H1205" s="67">
        <f t="shared" ref="H1205:H1222" si="624">IF(B1205="","",IF(AND(D1205=1,F1205=1),1,0))</f>
        <v>1</v>
      </c>
      <c r="I1205" s="67">
        <f t="shared" ref="I1205:I1222" si="625">IF(B1205="","",IF(AND(E1205=1,F1205=1),1,0))</f>
        <v>1</v>
      </c>
      <c r="J1205" s="73">
        <f t="shared" ref="J1205" si="626">IF(B1205="","",SUM(D1205:F1205))</f>
        <v>3</v>
      </c>
      <c r="K1205" s="61"/>
      <c r="M1205" s="7">
        <f t="shared" ref="M1205" si="627">SUM(G1205:I1205)/3</f>
        <v>1</v>
      </c>
      <c r="N1205" s="6">
        <f t="shared" ref="N1205" si="628">SUM(G1208:I1208)/3</f>
        <v>1</v>
      </c>
      <c r="O1205" s="7">
        <f t="shared" ref="O1205" si="629">SUM(G1211:I1211)/3</f>
        <v>1</v>
      </c>
      <c r="P1205" s="6">
        <f t="shared" ref="P1205" si="630">SUM(G1214:I1214)/3</f>
        <v>1</v>
      </c>
      <c r="Q1205" s="7">
        <f t="shared" ref="Q1205" si="631">SUM(G1217:I1217)/3</f>
        <v>1</v>
      </c>
      <c r="R1205" s="7">
        <f>SUM(G1220:I1220)/3</f>
        <v>1</v>
      </c>
    </row>
    <row r="1206" spans="1:18" x14ac:dyDescent="0.25">
      <c r="A1206" s="2"/>
      <c r="B1206" s="37"/>
      <c r="C1206" s="37"/>
      <c r="D1206" s="71"/>
      <c r="E1206" s="71"/>
      <c r="F1206" s="71"/>
      <c r="G1206" s="68" t="str">
        <f t="shared" si="623"/>
        <v/>
      </c>
      <c r="H1206" s="68" t="str">
        <f t="shared" si="624"/>
        <v/>
      </c>
      <c r="I1206" s="68" t="str">
        <f t="shared" si="625"/>
        <v/>
      </c>
      <c r="J1206" s="74" t="str">
        <f t="shared" si="601"/>
        <v/>
      </c>
      <c r="K1206" s="62"/>
    </row>
    <row r="1207" spans="1:18" x14ac:dyDescent="0.25">
      <c r="A1207" s="3"/>
      <c r="B1207" s="42"/>
      <c r="C1207" s="42"/>
      <c r="D1207" s="72"/>
      <c r="E1207" s="72"/>
      <c r="F1207" s="72"/>
      <c r="G1207" s="69" t="str">
        <f t="shared" si="623"/>
        <v/>
      </c>
      <c r="H1207" s="69" t="str">
        <f t="shared" si="624"/>
        <v/>
      </c>
      <c r="I1207" s="69" t="str">
        <f t="shared" si="625"/>
        <v/>
      </c>
      <c r="J1207" s="75" t="str">
        <f t="shared" si="601"/>
        <v/>
      </c>
      <c r="K1207" s="63"/>
    </row>
    <row r="1208" spans="1:18" x14ac:dyDescent="0.25">
      <c r="A1208" s="4" t="s">
        <v>5</v>
      </c>
      <c r="B1208" s="33" t="s">
        <v>1105</v>
      </c>
      <c r="C1208" s="33"/>
      <c r="D1208" s="70">
        <v>1</v>
      </c>
      <c r="E1208" s="70">
        <v>1</v>
      </c>
      <c r="F1208" s="70">
        <v>1</v>
      </c>
      <c r="G1208" s="67">
        <f t="shared" si="623"/>
        <v>1</v>
      </c>
      <c r="H1208" s="67">
        <f t="shared" si="624"/>
        <v>1</v>
      </c>
      <c r="I1208" s="67">
        <f t="shared" si="625"/>
        <v>1</v>
      </c>
      <c r="J1208" s="73">
        <f t="shared" si="601"/>
        <v>3</v>
      </c>
      <c r="K1208" s="61"/>
    </row>
    <row r="1209" spans="1:18" x14ac:dyDescent="0.25">
      <c r="A1209" s="2"/>
      <c r="B1209" s="37"/>
      <c r="C1209" s="37"/>
      <c r="D1209" s="71"/>
      <c r="E1209" s="71"/>
      <c r="F1209" s="71"/>
      <c r="G1209" s="68" t="str">
        <f t="shared" si="623"/>
        <v/>
      </c>
      <c r="H1209" s="68" t="str">
        <f t="shared" si="624"/>
        <v/>
      </c>
      <c r="I1209" s="68" t="str">
        <f t="shared" si="625"/>
        <v/>
      </c>
      <c r="J1209" s="74" t="str">
        <f t="shared" si="601"/>
        <v/>
      </c>
      <c r="K1209" s="62"/>
    </row>
    <row r="1210" spans="1:18" x14ac:dyDescent="0.25">
      <c r="A1210" s="3"/>
      <c r="B1210" s="40"/>
      <c r="C1210" s="37"/>
      <c r="D1210" s="71"/>
      <c r="E1210" s="71"/>
      <c r="F1210" s="71"/>
      <c r="G1210" s="69" t="str">
        <f t="shared" si="623"/>
        <v/>
      </c>
      <c r="H1210" s="69" t="str">
        <f t="shared" si="624"/>
        <v/>
      </c>
      <c r="I1210" s="69" t="str">
        <f t="shared" si="625"/>
        <v/>
      </c>
      <c r="J1210" s="75" t="str">
        <f t="shared" si="601"/>
        <v/>
      </c>
      <c r="K1210" s="63"/>
    </row>
    <row r="1211" spans="1:18" x14ac:dyDescent="0.25">
      <c r="A1211" s="4" t="s">
        <v>7</v>
      </c>
      <c r="B1211" s="33" t="s">
        <v>1105</v>
      </c>
      <c r="C1211" s="33"/>
      <c r="D1211" s="70">
        <v>1</v>
      </c>
      <c r="E1211" s="70">
        <v>1</v>
      </c>
      <c r="F1211" s="70">
        <v>1</v>
      </c>
      <c r="G1211" s="67">
        <f t="shared" si="623"/>
        <v>1</v>
      </c>
      <c r="H1211" s="67">
        <f t="shared" si="624"/>
        <v>1</v>
      </c>
      <c r="I1211" s="67">
        <f t="shared" si="625"/>
        <v>1</v>
      </c>
      <c r="J1211" s="73">
        <f t="shared" si="601"/>
        <v>3</v>
      </c>
      <c r="K1211" s="61"/>
    </row>
    <row r="1212" spans="1:18" x14ac:dyDescent="0.25">
      <c r="A1212" s="2"/>
      <c r="B1212" s="37"/>
      <c r="C1212" s="37"/>
      <c r="D1212" s="71"/>
      <c r="E1212" s="71"/>
      <c r="F1212" s="71"/>
      <c r="G1212" s="68" t="str">
        <f t="shared" si="623"/>
        <v/>
      </c>
      <c r="H1212" s="68" t="str">
        <f t="shared" si="624"/>
        <v/>
      </c>
      <c r="I1212" s="68" t="str">
        <f t="shared" si="625"/>
        <v/>
      </c>
      <c r="J1212" s="74" t="str">
        <f t="shared" si="601"/>
        <v/>
      </c>
      <c r="K1212" s="62"/>
    </row>
    <row r="1213" spans="1:18" x14ac:dyDescent="0.25">
      <c r="A1213" s="3"/>
      <c r="B1213" s="40"/>
      <c r="C1213" s="40"/>
      <c r="D1213" s="72"/>
      <c r="E1213" s="72"/>
      <c r="F1213" s="72"/>
      <c r="G1213" s="69" t="str">
        <f t="shared" si="623"/>
        <v/>
      </c>
      <c r="H1213" s="69" t="str">
        <f t="shared" si="624"/>
        <v/>
      </c>
      <c r="I1213" s="69" t="str">
        <f t="shared" si="625"/>
        <v/>
      </c>
      <c r="J1213" s="75" t="str">
        <f t="shared" si="601"/>
        <v/>
      </c>
      <c r="K1213" s="63"/>
    </row>
    <row r="1214" spans="1:18" x14ac:dyDescent="0.25">
      <c r="A1214" s="4" t="s">
        <v>8</v>
      </c>
      <c r="B1214" s="37" t="s">
        <v>546</v>
      </c>
      <c r="C1214" s="37"/>
      <c r="D1214" s="70">
        <v>1</v>
      </c>
      <c r="E1214" s="70">
        <v>1</v>
      </c>
      <c r="F1214" s="70">
        <v>1</v>
      </c>
      <c r="G1214" s="67">
        <f t="shared" si="623"/>
        <v>1</v>
      </c>
      <c r="H1214" s="67">
        <f t="shared" si="624"/>
        <v>1</v>
      </c>
      <c r="I1214" s="67">
        <f t="shared" si="625"/>
        <v>1</v>
      </c>
      <c r="J1214" s="73">
        <f t="shared" si="601"/>
        <v>3</v>
      </c>
      <c r="K1214" s="61"/>
    </row>
    <row r="1215" spans="1:18" x14ac:dyDescent="0.25">
      <c r="A1215" s="2"/>
      <c r="B1215" s="37" t="s">
        <v>470</v>
      </c>
      <c r="C1215" s="37"/>
      <c r="D1215" s="71">
        <v>1</v>
      </c>
      <c r="E1215" s="71">
        <v>1</v>
      </c>
      <c r="F1215" s="71">
        <v>1</v>
      </c>
      <c r="G1215" s="68">
        <f t="shared" si="623"/>
        <v>1</v>
      </c>
      <c r="H1215" s="68">
        <f t="shared" si="624"/>
        <v>1</v>
      </c>
      <c r="I1215" s="68">
        <f t="shared" si="625"/>
        <v>1</v>
      </c>
      <c r="J1215" s="74">
        <f t="shared" si="601"/>
        <v>3</v>
      </c>
      <c r="K1215" s="62"/>
    </row>
    <row r="1216" spans="1:18" x14ac:dyDescent="0.25">
      <c r="A1216" s="3"/>
      <c r="B1216" s="40"/>
      <c r="C1216" s="40"/>
      <c r="D1216" s="72"/>
      <c r="E1216" s="72"/>
      <c r="F1216" s="72"/>
      <c r="G1216" s="69" t="str">
        <f t="shared" si="623"/>
        <v/>
      </c>
      <c r="H1216" s="69" t="str">
        <f t="shared" si="624"/>
        <v/>
      </c>
      <c r="I1216" s="69" t="str">
        <f t="shared" si="625"/>
        <v/>
      </c>
      <c r="J1216" s="75" t="str">
        <f t="shared" si="601"/>
        <v/>
      </c>
      <c r="K1216" s="63"/>
    </row>
    <row r="1217" spans="1:18" x14ac:dyDescent="0.25">
      <c r="A1217" s="2" t="s">
        <v>9</v>
      </c>
      <c r="B1217" s="37" t="s">
        <v>547</v>
      </c>
      <c r="C1217" s="37"/>
      <c r="D1217" s="71">
        <v>1</v>
      </c>
      <c r="E1217" s="71">
        <v>1</v>
      </c>
      <c r="F1217" s="71">
        <v>1</v>
      </c>
      <c r="G1217" s="68">
        <f t="shared" si="623"/>
        <v>1</v>
      </c>
      <c r="H1217" s="68">
        <f t="shared" si="624"/>
        <v>1</v>
      </c>
      <c r="I1217" s="68">
        <f t="shared" si="625"/>
        <v>1</v>
      </c>
      <c r="J1217" s="74">
        <f t="shared" si="601"/>
        <v>3</v>
      </c>
      <c r="K1217" s="62"/>
    </row>
    <row r="1218" spans="1:18" x14ac:dyDescent="0.25">
      <c r="A1218" s="2"/>
      <c r="B1218" s="37"/>
      <c r="C1218" s="37"/>
      <c r="D1218" s="71"/>
      <c r="E1218" s="71"/>
      <c r="F1218" s="71"/>
      <c r="G1218" s="68" t="str">
        <f t="shared" si="623"/>
        <v/>
      </c>
      <c r="H1218" s="68" t="str">
        <f t="shared" si="624"/>
        <v/>
      </c>
      <c r="I1218" s="68" t="str">
        <f t="shared" si="625"/>
        <v/>
      </c>
      <c r="J1218" s="74" t="str">
        <f t="shared" si="601"/>
        <v/>
      </c>
      <c r="K1218" s="62"/>
    </row>
    <row r="1219" spans="1:18" x14ac:dyDescent="0.25">
      <c r="A1219" s="3"/>
      <c r="B1219" s="40"/>
      <c r="C1219" s="40"/>
      <c r="D1219" s="72"/>
      <c r="E1219" s="72"/>
      <c r="F1219" s="72"/>
      <c r="G1219" s="69" t="str">
        <f t="shared" si="623"/>
        <v/>
      </c>
      <c r="H1219" s="69" t="str">
        <f t="shared" si="624"/>
        <v/>
      </c>
      <c r="I1219" s="69" t="str">
        <f t="shared" si="625"/>
        <v/>
      </c>
      <c r="J1219" s="75" t="str">
        <f t="shared" si="601"/>
        <v/>
      </c>
      <c r="K1219" s="63"/>
    </row>
    <row r="1220" spans="1:18" x14ac:dyDescent="0.25">
      <c r="A1220" s="2" t="s">
        <v>1224</v>
      </c>
      <c r="B1220" s="37" t="s">
        <v>1105</v>
      </c>
      <c r="C1220" s="37"/>
      <c r="D1220" s="71">
        <v>1</v>
      </c>
      <c r="E1220" s="71">
        <v>1</v>
      </c>
      <c r="F1220" s="71">
        <v>1</v>
      </c>
      <c r="G1220" s="68">
        <f t="shared" si="623"/>
        <v>1</v>
      </c>
      <c r="H1220" s="68">
        <f t="shared" si="624"/>
        <v>1</v>
      </c>
      <c r="I1220" s="68">
        <f t="shared" si="625"/>
        <v>1</v>
      </c>
      <c r="J1220" s="74">
        <f t="shared" ref="J1220:J1222" si="632">IF(B1220="","",SUM(D1220:F1220))</f>
        <v>3</v>
      </c>
      <c r="K1220" s="62"/>
    </row>
    <row r="1221" spans="1:18" x14ac:dyDescent="0.25">
      <c r="A1221" s="2"/>
      <c r="B1221" s="37"/>
      <c r="C1221" s="37"/>
      <c r="D1221" s="71"/>
      <c r="E1221" s="71"/>
      <c r="F1221" s="71"/>
      <c r="G1221" s="68" t="str">
        <f t="shared" si="623"/>
        <v/>
      </c>
      <c r="H1221" s="68" t="str">
        <f t="shared" si="624"/>
        <v/>
      </c>
      <c r="I1221" s="68" t="str">
        <f t="shared" si="625"/>
        <v/>
      </c>
      <c r="J1221" s="74" t="str">
        <f t="shared" si="632"/>
        <v/>
      </c>
      <c r="K1221" s="62"/>
    </row>
    <row r="1222" spans="1:18" x14ac:dyDescent="0.25">
      <c r="A1222" s="3"/>
      <c r="B1222" s="40"/>
      <c r="C1222" s="40"/>
      <c r="D1222" s="72"/>
      <c r="E1222" s="72"/>
      <c r="F1222" s="72"/>
      <c r="G1222" s="69" t="str">
        <f t="shared" si="623"/>
        <v/>
      </c>
      <c r="H1222" s="69" t="str">
        <f t="shared" si="624"/>
        <v/>
      </c>
      <c r="I1222" s="69" t="str">
        <f t="shared" si="625"/>
        <v/>
      </c>
      <c r="J1222" s="75" t="str">
        <f t="shared" si="632"/>
        <v/>
      </c>
      <c r="K1222" s="63"/>
    </row>
    <row r="1224" spans="1:18" x14ac:dyDescent="0.25">
      <c r="A1224" s="81">
        <v>62</v>
      </c>
      <c r="B1224" s="49" t="s">
        <v>1178</v>
      </c>
      <c r="C1224" s="31" t="s">
        <v>1456</v>
      </c>
      <c r="D1224" s="76"/>
      <c r="E1224" s="66"/>
      <c r="F1224" s="66"/>
      <c r="G1224" s="66"/>
      <c r="H1224" s="66"/>
      <c r="I1224" s="66"/>
      <c r="J1224" s="60"/>
      <c r="K1224" s="60"/>
    </row>
    <row r="1225" spans="1:18" x14ac:dyDescent="0.25">
      <c r="A1225" s="4" t="s">
        <v>6</v>
      </c>
      <c r="B1225" s="37" t="s">
        <v>548</v>
      </c>
      <c r="C1225" s="37"/>
      <c r="D1225" s="70">
        <v>1</v>
      </c>
      <c r="E1225" s="70">
        <v>1</v>
      </c>
      <c r="F1225" s="70">
        <v>0</v>
      </c>
      <c r="G1225" s="67">
        <f t="shared" ref="G1225:G1242" si="633">IF(B1225="","",IF( AND(D1225=1, E1225=1),1,0))</f>
        <v>1</v>
      </c>
      <c r="H1225" s="67">
        <f t="shared" ref="H1225:H1242" si="634">IF(B1225="","",IF(AND(D1225=1,F1225=1),1,0))</f>
        <v>0</v>
      </c>
      <c r="I1225" s="67">
        <f t="shared" ref="I1225:I1242" si="635">IF(B1225="","",IF(AND(E1225=1,F1225=1),1,0))</f>
        <v>0</v>
      </c>
      <c r="J1225" s="73">
        <f t="shared" ref="J1225:J1297" si="636">IF(B1225="","",SUM(D1225:F1225))</f>
        <v>2</v>
      </c>
      <c r="K1225" s="61"/>
      <c r="M1225" s="7">
        <f t="shared" ref="M1225" si="637">SUM(G1225:I1225)/3</f>
        <v>0.33333333333333331</v>
      </c>
      <c r="N1225" s="6">
        <f t="shared" ref="N1225" si="638">SUM(G1228:I1228)/3</f>
        <v>1</v>
      </c>
      <c r="O1225" s="7">
        <f t="shared" ref="O1225" si="639">SUM(G1231:I1231)/3</f>
        <v>0.33333333333333331</v>
      </c>
      <c r="P1225" s="6">
        <f t="shared" ref="P1225" si="640">SUM(G1234:I1234)/3</f>
        <v>0.33333333333333331</v>
      </c>
      <c r="Q1225" s="7">
        <f t="shared" ref="Q1225" si="641">SUM(G1237:I1237)/3</f>
        <v>0</v>
      </c>
      <c r="R1225" s="7">
        <f>SUM(G1240:I1240)/3</f>
        <v>0</v>
      </c>
    </row>
    <row r="1226" spans="1:18" x14ac:dyDescent="0.25">
      <c r="A1226" s="2"/>
      <c r="B1226" s="37"/>
      <c r="C1226" s="37"/>
      <c r="D1226" s="71"/>
      <c r="E1226" s="71"/>
      <c r="F1226" s="71"/>
      <c r="G1226" s="68" t="str">
        <f t="shared" si="633"/>
        <v/>
      </c>
      <c r="H1226" s="68" t="str">
        <f t="shared" si="634"/>
        <v/>
      </c>
      <c r="I1226" s="68" t="str">
        <f t="shared" si="635"/>
        <v/>
      </c>
      <c r="J1226" s="74" t="str">
        <f t="shared" si="636"/>
        <v/>
      </c>
      <c r="K1226" s="62"/>
    </row>
    <row r="1227" spans="1:18" x14ac:dyDescent="0.25">
      <c r="A1227" s="3"/>
      <c r="B1227" s="42"/>
      <c r="C1227" s="42"/>
      <c r="D1227" s="72"/>
      <c r="E1227" s="72"/>
      <c r="F1227" s="72"/>
      <c r="G1227" s="69" t="str">
        <f t="shared" si="633"/>
        <v/>
      </c>
      <c r="H1227" s="69" t="str">
        <f t="shared" si="634"/>
        <v/>
      </c>
      <c r="I1227" s="69" t="str">
        <f t="shared" si="635"/>
        <v/>
      </c>
      <c r="J1227" s="75" t="str">
        <f t="shared" si="636"/>
        <v/>
      </c>
      <c r="K1227" s="63"/>
    </row>
    <row r="1228" spans="1:18" x14ac:dyDescent="0.25">
      <c r="A1228" s="4" t="s">
        <v>5</v>
      </c>
      <c r="B1228" s="33" t="s">
        <v>780</v>
      </c>
      <c r="C1228" s="33"/>
      <c r="D1228" s="70">
        <v>1</v>
      </c>
      <c r="E1228" s="70">
        <v>1</v>
      </c>
      <c r="F1228" s="70">
        <v>1</v>
      </c>
      <c r="G1228" s="67">
        <f t="shared" si="633"/>
        <v>1</v>
      </c>
      <c r="H1228" s="67">
        <f t="shared" si="634"/>
        <v>1</v>
      </c>
      <c r="I1228" s="67">
        <f t="shared" si="635"/>
        <v>1</v>
      </c>
      <c r="J1228" s="73">
        <f t="shared" si="636"/>
        <v>3</v>
      </c>
      <c r="K1228" s="61"/>
    </row>
    <row r="1229" spans="1:18" x14ac:dyDescent="0.25">
      <c r="A1229" s="2"/>
      <c r="B1229" s="37"/>
      <c r="C1229" s="37"/>
      <c r="D1229" s="71">
        <v>1</v>
      </c>
      <c r="E1229" s="71">
        <v>1</v>
      </c>
      <c r="F1229" s="71">
        <v>1</v>
      </c>
      <c r="G1229" s="68" t="str">
        <f t="shared" si="633"/>
        <v/>
      </c>
      <c r="H1229" s="68" t="str">
        <f t="shared" si="634"/>
        <v/>
      </c>
      <c r="I1229" s="68" t="str">
        <f t="shared" si="635"/>
        <v/>
      </c>
      <c r="J1229" s="74" t="str">
        <f t="shared" si="636"/>
        <v/>
      </c>
      <c r="K1229" s="62"/>
    </row>
    <row r="1230" spans="1:18" x14ac:dyDescent="0.25">
      <c r="A1230" s="3"/>
      <c r="B1230" s="40"/>
      <c r="C1230" s="37"/>
      <c r="D1230" s="71">
        <v>1</v>
      </c>
      <c r="E1230" s="71">
        <v>1</v>
      </c>
      <c r="F1230" s="71">
        <v>1</v>
      </c>
      <c r="G1230" s="69" t="str">
        <f t="shared" si="633"/>
        <v/>
      </c>
      <c r="H1230" s="69" t="str">
        <f t="shared" si="634"/>
        <v/>
      </c>
      <c r="I1230" s="69" t="str">
        <f t="shared" si="635"/>
        <v/>
      </c>
      <c r="J1230" s="75" t="str">
        <f t="shared" si="636"/>
        <v/>
      </c>
      <c r="K1230" s="63"/>
    </row>
    <row r="1231" spans="1:18" x14ac:dyDescent="0.25">
      <c r="A1231" s="4" t="s">
        <v>7</v>
      </c>
      <c r="B1231" s="33" t="s">
        <v>766</v>
      </c>
      <c r="C1231" s="33"/>
      <c r="D1231" s="70">
        <v>0</v>
      </c>
      <c r="E1231" s="70">
        <v>1</v>
      </c>
      <c r="F1231" s="70">
        <v>1</v>
      </c>
      <c r="G1231" s="67">
        <f t="shared" si="633"/>
        <v>0</v>
      </c>
      <c r="H1231" s="67">
        <f t="shared" si="634"/>
        <v>0</v>
      </c>
      <c r="I1231" s="67">
        <f t="shared" si="635"/>
        <v>1</v>
      </c>
      <c r="J1231" s="73">
        <f t="shared" si="636"/>
        <v>2</v>
      </c>
      <c r="K1231" s="61"/>
    </row>
    <row r="1232" spans="1:18" x14ac:dyDescent="0.25">
      <c r="A1232" s="2"/>
      <c r="B1232" s="37"/>
      <c r="C1232" s="37"/>
      <c r="D1232" s="71"/>
      <c r="E1232" s="71"/>
      <c r="F1232" s="71"/>
      <c r="G1232" s="68" t="str">
        <f t="shared" si="633"/>
        <v/>
      </c>
      <c r="H1232" s="68" t="str">
        <f t="shared" si="634"/>
        <v/>
      </c>
      <c r="I1232" s="68" t="str">
        <f t="shared" si="635"/>
        <v/>
      </c>
      <c r="J1232" s="74" t="str">
        <f t="shared" si="636"/>
        <v/>
      </c>
      <c r="K1232" s="62"/>
    </row>
    <row r="1233" spans="1:18" x14ac:dyDescent="0.25">
      <c r="A1233" s="3"/>
      <c r="B1233" s="40"/>
      <c r="C1233" s="40"/>
      <c r="D1233" s="72"/>
      <c r="E1233" s="72"/>
      <c r="F1233" s="72"/>
      <c r="G1233" s="69" t="str">
        <f t="shared" si="633"/>
        <v/>
      </c>
      <c r="H1233" s="69" t="str">
        <f t="shared" si="634"/>
        <v/>
      </c>
      <c r="I1233" s="69" t="str">
        <f t="shared" si="635"/>
        <v/>
      </c>
      <c r="J1233" s="75" t="str">
        <f t="shared" si="636"/>
        <v/>
      </c>
      <c r="K1233" s="63"/>
    </row>
    <row r="1234" spans="1:18" x14ac:dyDescent="0.25">
      <c r="A1234" s="4" t="s">
        <v>8</v>
      </c>
      <c r="B1234" s="37" t="s">
        <v>481</v>
      </c>
      <c r="C1234" s="37"/>
      <c r="D1234" s="70">
        <v>1</v>
      </c>
      <c r="E1234" s="70">
        <v>1</v>
      </c>
      <c r="F1234" s="70">
        <v>0</v>
      </c>
      <c r="G1234" s="67">
        <f t="shared" si="633"/>
        <v>1</v>
      </c>
      <c r="H1234" s="67">
        <f t="shared" si="634"/>
        <v>0</v>
      </c>
      <c r="I1234" s="67">
        <f t="shared" si="635"/>
        <v>0</v>
      </c>
      <c r="J1234" s="73">
        <f t="shared" si="636"/>
        <v>2</v>
      </c>
      <c r="K1234" s="61"/>
    </row>
    <row r="1235" spans="1:18" x14ac:dyDescent="0.25">
      <c r="A1235" s="2"/>
      <c r="B1235" s="37" t="s">
        <v>152</v>
      </c>
      <c r="C1235" s="37"/>
      <c r="D1235" s="71">
        <v>0</v>
      </c>
      <c r="E1235" s="71">
        <v>1</v>
      </c>
      <c r="F1235" s="71">
        <v>1</v>
      </c>
      <c r="G1235" s="68">
        <f t="shared" si="633"/>
        <v>0</v>
      </c>
      <c r="H1235" s="68">
        <f t="shared" si="634"/>
        <v>0</v>
      </c>
      <c r="I1235" s="68">
        <f t="shared" si="635"/>
        <v>1</v>
      </c>
      <c r="J1235" s="74">
        <f t="shared" si="636"/>
        <v>2</v>
      </c>
      <c r="K1235" s="62"/>
    </row>
    <row r="1236" spans="1:18" x14ac:dyDescent="0.25">
      <c r="A1236" s="3"/>
      <c r="B1236" s="40"/>
      <c r="C1236" s="40"/>
      <c r="D1236" s="72"/>
      <c r="E1236" s="72"/>
      <c r="F1236" s="72"/>
      <c r="G1236" s="69" t="str">
        <f t="shared" si="633"/>
        <v/>
      </c>
      <c r="H1236" s="69" t="str">
        <f t="shared" si="634"/>
        <v/>
      </c>
      <c r="I1236" s="69" t="str">
        <f t="shared" si="635"/>
        <v/>
      </c>
      <c r="J1236" s="75" t="str">
        <f t="shared" si="636"/>
        <v/>
      </c>
      <c r="K1236" s="63"/>
    </row>
    <row r="1237" spans="1:18" x14ac:dyDescent="0.25">
      <c r="A1237" s="2" t="s">
        <v>9</v>
      </c>
      <c r="B1237" s="37" t="s">
        <v>549</v>
      </c>
      <c r="C1237" s="37"/>
      <c r="D1237" s="71">
        <v>1</v>
      </c>
      <c r="E1237" s="71">
        <v>0</v>
      </c>
      <c r="F1237" s="71">
        <v>0</v>
      </c>
      <c r="G1237" s="68">
        <f t="shared" si="633"/>
        <v>0</v>
      </c>
      <c r="H1237" s="68">
        <f t="shared" si="634"/>
        <v>0</v>
      </c>
      <c r="I1237" s="68">
        <f t="shared" si="635"/>
        <v>0</v>
      </c>
      <c r="J1237" s="74">
        <f t="shared" si="636"/>
        <v>1</v>
      </c>
      <c r="K1237" s="62"/>
    </row>
    <row r="1238" spans="1:18" x14ac:dyDescent="0.25">
      <c r="A1238" s="2"/>
      <c r="B1238" s="37" t="s">
        <v>482</v>
      </c>
      <c r="C1238" s="37"/>
      <c r="D1238" s="71">
        <v>0</v>
      </c>
      <c r="E1238" s="71">
        <v>1</v>
      </c>
      <c r="F1238" s="71">
        <v>0</v>
      </c>
      <c r="G1238" s="68">
        <f t="shared" si="633"/>
        <v>0</v>
      </c>
      <c r="H1238" s="68">
        <f t="shared" si="634"/>
        <v>0</v>
      </c>
      <c r="I1238" s="68">
        <f t="shared" si="635"/>
        <v>0</v>
      </c>
      <c r="J1238" s="74">
        <f t="shared" si="636"/>
        <v>1</v>
      </c>
      <c r="K1238" s="62"/>
    </row>
    <row r="1239" spans="1:18" x14ac:dyDescent="0.25">
      <c r="A1239" s="3"/>
      <c r="B1239" s="40" t="s">
        <v>1105</v>
      </c>
      <c r="C1239" s="40"/>
      <c r="D1239" s="72">
        <v>0</v>
      </c>
      <c r="E1239" s="72">
        <v>0</v>
      </c>
      <c r="F1239" s="72">
        <v>1</v>
      </c>
      <c r="G1239" s="69">
        <f t="shared" si="633"/>
        <v>0</v>
      </c>
      <c r="H1239" s="69">
        <f t="shared" si="634"/>
        <v>0</v>
      </c>
      <c r="I1239" s="69">
        <f t="shared" si="635"/>
        <v>0</v>
      </c>
      <c r="J1239" s="75">
        <f t="shared" si="636"/>
        <v>1</v>
      </c>
      <c r="K1239" s="63"/>
    </row>
    <row r="1240" spans="1:18" x14ac:dyDescent="0.25">
      <c r="A1240" s="2" t="s">
        <v>1224</v>
      </c>
      <c r="B1240" s="37" t="s">
        <v>1384</v>
      </c>
      <c r="C1240" s="37"/>
      <c r="D1240" s="71">
        <v>1</v>
      </c>
      <c r="E1240" s="71">
        <v>0</v>
      </c>
      <c r="F1240" s="71">
        <v>0</v>
      </c>
      <c r="G1240" s="68">
        <f t="shared" si="633"/>
        <v>0</v>
      </c>
      <c r="H1240" s="68">
        <f t="shared" si="634"/>
        <v>0</v>
      </c>
      <c r="I1240" s="68">
        <f t="shared" si="635"/>
        <v>0</v>
      </c>
      <c r="J1240" s="74">
        <f t="shared" si="636"/>
        <v>1</v>
      </c>
      <c r="K1240" s="62"/>
    </row>
    <row r="1241" spans="1:18" x14ac:dyDescent="0.25">
      <c r="A1241" s="2"/>
      <c r="B1241" s="37" t="s">
        <v>1333</v>
      </c>
      <c r="C1241" s="37"/>
      <c r="D1241" s="71">
        <v>0</v>
      </c>
      <c r="E1241" s="71">
        <v>1</v>
      </c>
      <c r="F1241" s="71">
        <v>0</v>
      </c>
      <c r="G1241" s="68">
        <f t="shared" si="633"/>
        <v>0</v>
      </c>
      <c r="H1241" s="68">
        <f t="shared" si="634"/>
        <v>0</v>
      </c>
      <c r="I1241" s="68">
        <f t="shared" si="635"/>
        <v>0</v>
      </c>
      <c r="J1241" s="74">
        <f t="shared" si="636"/>
        <v>1</v>
      </c>
      <c r="K1241" s="62"/>
    </row>
    <row r="1242" spans="1:18" x14ac:dyDescent="0.25">
      <c r="A1242" s="3"/>
      <c r="B1242" s="40"/>
      <c r="C1242" s="40"/>
      <c r="D1242" s="72"/>
      <c r="E1242" s="72"/>
      <c r="F1242" s="72"/>
      <c r="G1242" s="69" t="str">
        <f t="shared" si="633"/>
        <v/>
      </c>
      <c r="H1242" s="69" t="str">
        <f t="shared" si="634"/>
        <v/>
      </c>
      <c r="I1242" s="69" t="str">
        <f t="shared" si="635"/>
        <v/>
      </c>
      <c r="J1242" s="75" t="str">
        <f t="shared" si="636"/>
        <v/>
      </c>
      <c r="K1242" s="63"/>
    </row>
    <row r="1244" spans="1:18" x14ac:dyDescent="0.25">
      <c r="A1244" s="81">
        <v>63</v>
      </c>
      <c r="B1244" s="49" t="s">
        <v>1179</v>
      </c>
      <c r="C1244" s="31" t="s">
        <v>1457</v>
      </c>
      <c r="D1244" s="76"/>
      <c r="E1244" s="66"/>
      <c r="F1244" s="66"/>
      <c r="G1244" s="66"/>
      <c r="H1244" s="66"/>
      <c r="I1244" s="66"/>
      <c r="J1244" s="60"/>
      <c r="K1244" s="60"/>
    </row>
    <row r="1245" spans="1:18" x14ac:dyDescent="0.25">
      <c r="A1245" s="4" t="s">
        <v>6</v>
      </c>
      <c r="B1245" s="37" t="s">
        <v>483</v>
      </c>
      <c r="C1245" s="37"/>
      <c r="D1245" s="70">
        <v>1</v>
      </c>
      <c r="E1245" s="70">
        <v>1</v>
      </c>
      <c r="F1245" s="70">
        <v>1</v>
      </c>
      <c r="G1245" s="67">
        <f t="shared" ref="G1245:G1262" si="642">IF(B1245="","",IF( AND(D1245=1, E1245=1),1,0))</f>
        <v>1</v>
      </c>
      <c r="H1245" s="67">
        <f t="shared" ref="H1245:H1262" si="643">IF(B1245="","",IF(AND(D1245=1,F1245=1),1,0))</f>
        <v>1</v>
      </c>
      <c r="I1245" s="67">
        <f t="shared" ref="I1245:I1262" si="644">IF(B1245="","",IF(AND(E1245=1,F1245=1),1,0))</f>
        <v>1</v>
      </c>
      <c r="J1245" s="73">
        <f t="shared" ref="J1245" si="645">IF(B1245="","",SUM(D1245:F1245))</f>
        <v>3</v>
      </c>
      <c r="K1245" s="61"/>
      <c r="M1245" s="7">
        <f t="shared" ref="M1245" si="646">SUM(G1245:I1245)/3</f>
        <v>1</v>
      </c>
      <c r="N1245" s="6">
        <f t="shared" ref="N1245" si="647">SUM(G1248:I1248)/3</f>
        <v>1</v>
      </c>
      <c r="O1245" s="7">
        <f t="shared" ref="O1245" si="648">SUM(G1251:I1251)/3</f>
        <v>1</v>
      </c>
      <c r="P1245" s="6">
        <f t="shared" ref="P1245" si="649">SUM(G1254:I1254)/3</f>
        <v>1</v>
      </c>
      <c r="Q1245" s="7">
        <f t="shared" ref="Q1245" si="650">SUM(G1257:I1257)/3</f>
        <v>1</v>
      </c>
      <c r="R1245" s="7">
        <f>SUM(G1260:I1260)/3</f>
        <v>0</v>
      </c>
    </row>
    <row r="1246" spans="1:18" x14ac:dyDescent="0.25">
      <c r="A1246" s="2"/>
      <c r="B1246" s="37"/>
      <c r="C1246" s="37"/>
      <c r="D1246" s="71"/>
      <c r="E1246" s="71"/>
      <c r="F1246" s="71"/>
      <c r="G1246" s="68" t="str">
        <f t="shared" si="642"/>
        <v/>
      </c>
      <c r="H1246" s="68" t="str">
        <f t="shared" si="643"/>
        <v/>
      </c>
      <c r="I1246" s="68" t="str">
        <f t="shared" si="644"/>
        <v/>
      </c>
      <c r="J1246" s="74" t="str">
        <f t="shared" si="636"/>
        <v/>
      </c>
      <c r="K1246" s="62"/>
    </row>
    <row r="1247" spans="1:18" x14ac:dyDescent="0.25">
      <c r="A1247" s="3"/>
      <c r="B1247" s="42"/>
      <c r="C1247" s="42"/>
      <c r="D1247" s="72"/>
      <c r="E1247" s="72"/>
      <c r="F1247" s="72"/>
      <c r="G1247" s="69" t="str">
        <f t="shared" si="642"/>
        <v/>
      </c>
      <c r="H1247" s="69" t="str">
        <f t="shared" si="643"/>
        <v/>
      </c>
      <c r="I1247" s="69" t="str">
        <f t="shared" si="644"/>
        <v/>
      </c>
      <c r="J1247" s="75" t="str">
        <f t="shared" si="636"/>
        <v/>
      </c>
      <c r="K1247" s="63"/>
    </row>
    <row r="1248" spans="1:18" x14ac:dyDescent="0.25">
      <c r="A1248" s="4" t="s">
        <v>5</v>
      </c>
      <c r="B1248" s="33" t="s">
        <v>189</v>
      </c>
      <c r="C1248" s="33"/>
      <c r="D1248" s="70">
        <v>1</v>
      </c>
      <c r="E1248" s="70">
        <v>1</v>
      </c>
      <c r="F1248" s="70">
        <v>1</v>
      </c>
      <c r="G1248" s="67">
        <f t="shared" si="642"/>
        <v>1</v>
      </c>
      <c r="H1248" s="67">
        <f t="shared" si="643"/>
        <v>1</v>
      </c>
      <c r="I1248" s="67">
        <f t="shared" si="644"/>
        <v>1</v>
      </c>
      <c r="J1248" s="73">
        <f t="shared" si="636"/>
        <v>3</v>
      </c>
      <c r="K1248" s="61"/>
    </row>
    <row r="1249" spans="1:11" x14ac:dyDescent="0.25">
      <c r="A1249" s="2"/>
      <c r="B1249" s="37"/>
      <c r="C1249" s="37"/>
      <c r="D1249" s="71"/>
      <c r="E1249" s="71"/>
      <c r="F1249" s="71"/>
      <c r="G1249" s="68" t="str">
        <f t="shared" si="642"/>
        <v/>
      </c>
      <c r="H1249" s="68" t="str">
        <f t="shared" si="643"/>
        <v/>
      </c>
      <c r="I1249" s="68" t="str">
        <f t="shared" si="644"/>
        <v/>
      </c>
      <c r="J1249" s="74" t="str">
        <f t="shared" si="636"/>
        <v/>
      </c>
      <c r="K1249" s="62"/>
    </row>
    <row r="1250" spans="1:11" x14ac:dyDescent="0.25">
      <c r="A1250" s="3"/>
      <c r="B1250" s="40"/>
      <c r="C1250" s="37"/>
      <c r="D1250" s="71"/>
      <c r="E1250" s="71"/>
      <c r="F1250" s="71"/>
      <c r="G1250" s="69" t="str">
        <f t="shared" si="642"/>
        <v/>
      </c>
      <c r="H1250" s="69" t="str">
        <f t="shared" si="643"/>
        <v/>
      </c>
      <c r="I1250" s="69" t="str">
        <f t="shared" si="644"/>
        <v/>
      </c>
      <c r="J1250" s="75" t="str">
        <f t="shared" si="636"/>
        <v/>
      </c>
      <c r="K1250" s="63"/>
    </row>
    <row r="1251" spans="1:11" x14ac:dyDescent="0.25">
      <c r="A1251" s="4" t="s">
        <v>7</v>
      </c>
      <c r="B1251" s="33" t="s">
        <v>1105</v>
      </c>
      <c r="C1251" s="33"/>
      <c r="D1251" s="70">
        <v>1</v>
      </c>
      <c r="E1251" s="70">
        <v>1</v>
      </c>
      <c r="F1251" s="70">
        <v>1</v>
      </c>
      <c r="G1251" s="67">
        <f t="shared" si="642"/>
        <v>1</v>
      </c>
      <c r="H1251" s="67">
        <f t="shared" si="643"/>
        <v>1</v>
      </c>
      <c r="I1251" s="67">
        <f t="shared" si="644"/>
        <v>1</v>
      </c>
      <c r="J1251" s="73">
        <f t="shared" si="636"/>
        <v>3</v>
      </c>
      <c r="K1251" s="61"/>
    </row>
    <row r="1252" spans="1:11" x14ac:dyDescent="0.25">
      <c r="A1252" s="2"/>
      <c r="B1252" s="37"/>
      <c r="C1252" s="37"/>
      <c r="D1252" s="71"/>
      <c r="E1252" s="71"/>
      <c r="F1252" s="71"/>
      <c r="G1252" s="68" t="str">
        <f t="shared" si="642"/>
        <v/>
      </c>
      <c r="H1252" s="68" t="str">
        <f t="shared" si="643"/>
        <v/>
      </c>
      <c r="I1252" s="68" t="str">
        <f t="shared" si="644"/>
        <v/>
      </c>
      <c r="J1252" s="74" t="str">
        <f t="shared" si="636"/>
        <v/>
      </c>
      <c r="K1252" s="62"/>
    </row>
    <row r="1253" spans="1:11" x14ac:dyDescent="0.25">
      <c r="A1253" s="3"/>
      <c r="B1253" s="40"/>
      <c r="C1253" s="40"/>
      <c r="D1253" s="72"/>
      <c r="E1253" s="72"/>
      <c r="F1253" s="72"/>
      <c r="G1253" s="69" t="str">
        <f t="shared" si="642"/>
        <v/>
      </c>
      <c r="H1253" s="69" t="str">
        <f t="shared" si="643"/>
        <v/>
      </c>
      <c r="I1253" s="69" t="str">
        <f t="shared" si="644"/>
        <v/>
      </c>
      <c r="J1253" s="75" t="str">
        <f t="shared" si="636"/>
        <v/>
      </c>
      <c r="K1253" s="63"/>
    </row>
    <row r="1254" spans="1:11" x14ac:dyDescent="0.25">
      <c r="A1254" s="4" t="s">
        <v>8</v>
      </c>
      <c r="B1254" s="35" t="s">
        <v>470</v>
      </c>
      <c r="C1254" s="35"/>
      <c r="D1254" s="70">
        <v>1</v>
      </c>
      <c r="E1254" s="70">
        <v>1</v>
      </c>
      <c r="F1254" s="70">
        <v>1</v>
      </c>
      <c r="G1254" s="67">
        <f t="shared" si="642"/>
        <v>1</v>
      </c>
      <c r="H1254" s="67">
        <f t="shared" si="643"/>
        <v>1</v>
      </c>
      <c r="I1254" s="67">
        <f t="shared" si="644"/>
        <v>1</v>
      </c>
      <c r="J1254" s="73">
        <f t="shared" si="636"/>
        <v>3</v>
      </c>
      <c r="K1254" s="61"/>
    </row>
    <row r="1255" spans="1:11" x14ac:dyDescent="0.25">
      <c r="A1255" s="2"/>
      <c r="B1255" s="37"/>
      <c r="C1255" s="37"/>
      <c r="D1255" s="71"/>
      <c r="E1255" s="71"/>
      <c r="F1255" s="71"/>
      <c r="G1255" s="68" t="str">
        <f t="shared" si="642"/>
        <v/>
      </c>
      <c r="H1255" s="68" t="str">
        <f t="shared" si="643"/>
        <v/>
      </c>
      <c r="I1255" s="68" t="str">
        <f t="shared" si="644"/>
        <v/>
      </c>
      <c r="J1255" s="74" t="str">
        <f t="shared" si="636"/>
        <v/>
      </c>
      <c r="K1255" s="62"/>
    </row>
    <row r="1256" spans="1:11" x14ac:dyDescent="0.25">
      <c r="A1256" s="3"/>
      <c r="B1256" s="40"/>
      <c r="C1256" s="40"/>
      <c r="D1256" s="72"/>
      <c r="E1256" s="72"/>
      <c r="F1256" s="72"/>
      <c r="G1256" s="69" t="str">
        <f t="shared" si="642"/>
        <v/>
      </c>
      <c r="H1256" s="69" t="str">
        <f t="shared" si="643"/>
        <v/>
      </c>
      <c r="I1256" s="69" t="str">
        <f t="shared" si="644"/>
        <v/>
      </c>
      <c r="J1256" s="75" t="str">
        <f t="shared" si="636"/>
        <v/>
      </c>
      <c r="K1256" s="63"/>
    </row>
    <row r="1257" spans="1:11" x14ac:dyDescent="0.25">
      <c r="A1257" s="2" t="s">
        <v>9</v>
      </c>
      <c r="B1257" s="37" t="s">
        <v>1064</v>
      </c>
      <c r="C1257" s="37"/>
      <c r="D1257" s="71">
        <v>1</v>
      </c>
      <c r="E1257" s="71">
        <v>1</v>
      </c>
      <c r="F1257" s="71">
        <v>1</v>
      </c>
      <c r="G1257" s="68">
        <f t="shared" si="642"/>
        <v>1</v>
      </c>
      <c r="H1257" s="68">
        <f t="shared" si="643"/>
        <v>1</v>
      </c>
      <c r="I1257" s="68">
        <f t="shared" si="644"/>
        <v>1</v>
      </c>
      <c r="J1257" s="74">
        <f t="shared" si="636"/>
        <v>3</v>
      </c>
      <c r="K1257" s="62"/>
    </row>
    <row r="1258" spans="1:11" x14ac:dyDescent="0.25">
      <c r="A1258" s="2"/>
      <c r="B1258" s="37"/>
      <c r="C1258" s="37"/>
      <c r="D1258" s="71"/>
      <c r="E1258" s="71"/>
      <c r="F1258" s="71"/>
      <c r="G1258" s="68" t="str">
        <f t="shared" si="642"/>
        <v/>
      </c>
      <c r="H1258" s="68" t="str">
        <f t="shared" si="643"/>
        <v/>
      </c>
      <c r="I1258" s="68" t="str">
        <f t="shared" si="644"/>
        <v/>
      </c>
      <c r="J1258" s="74" t="str">
        <f t="shared" si="636"/>
        <v/>
      </c>
      <c r="K1258" s="62"/>
    </row>
    <row r="1259" spans="1:11" x14ac:dyDescent="0.25">
      <c r="A1259" s="3"/>
      <c r="B1259" s="40"/>
      <c r="C1259" s="40"/>
      <c r="D1259" s="72"/>
      <c r="E1259" s="72"/>
      <c r="F1259" s="72"/>
      <c r="G1259" s="69" t="str">
        <f t="shared" si="642"/>
        <v/>
      </c>
      <c r="H1259" s="69" t="str">
        <f t="shared" si="643"/>
        <v/>
      </c>
      <c r="I1259" s="69" t="str">
        <f t="shared" si="644"/>
        <v/>
      </c>
      <c r="J1259" s="75" t="str">
        <f t="shared" si="636"/>
        <v/>
      </c>
      <c r="K1259" s="63"/>
    </row>
    <row r="1260" spans="1:11" x14ac:dyDescent="0.25">
      <c r="A1260" s="2" t="s">
        <v>1224</v>
      </c>
      <c r="B1260" s="39" t="s">
        <v>1385</v>
      </c>
      <c r="C1260" s="39"/>
      <c r="D1260" s="71">
        <v>0</v>
      </c>
      <c r="E1260" s="71">
        <v>1</v>
      </c>
      <c r="F1260" s="71">
        <v>0</v>
      </c>
      <c r="G1260" s="68">
        <f t="shared" si="642"/>
        <v>0</v>
      </c>
      <c r="H1260" s="68">
        <f t="shared" si="643"/>
        <v>0</v>
      </c>
      <c r="I1260" s="68">
        <f t="shared" si="644"/>
        <v>0</v>
      </c>
      <c r="J1260" s="74">
        <f t="shared" ref="J1260:J1262" si="651">IF(B1260="","",SUM(D1260:F1260))</f>
        <v>1</v>
      </c>
      <c r="K1260" s="62"/>
    </row>
    <row r="1261" spans="1:11" x14ac:dyDescent="0.25">
      <c r="A1261" s="2"/>
      <c r="B1261" s="37" t="s">
        <v>1334</v>
      </c>
      <c r="C1261" s="37"/>
      <c r="D1261" s="71">
        <v>0</v>
      </c>
      <c r="E1261" s="71">
        <v>0</v>
      </c>
      <c r="F1261" s="71">
        <v>1</v>
      </c>
      <c r="G1261" s="68">
        <f t="shared" si="642"/>
        <v>0</v>
      </c>
      <c r="H1261" s="68">
        <f t="shared" si="643"/>
        <v>0</v>
      </c>
      <c r="I1261" s="68">
        <f t="shared" si="644"/>
        <v>0</v>
      </c>
      <c r="J1261" s="74">
        <f t="shared" si="651"/>
        <v>1</v>
      </c>
      <c r="K1261" s="62"/>
    </row>
    <row r="1262" spans="1:11" x14ac:dyDescent="0.25">
      <c r="A1262" s="3"/>
      <c r="B1262" s="40"/>
      <c r="C1262" s="40"/>
      <c r="D1262" s="72"/>
      <c r="E1262" s="72"/>
      <c r="F1262" s="72"/>
      <c r="G1262" s="69" t="str">
        <f t="shared" si="642"/>
        <v/>
      </c>
      <c r="H1262" s="69" t="str">
        <f t="shared" si="643"/>
        <v/>
      </c>
      <c r="I1262" s="69" t="str">
        <f t="shared" si="644"/>
        <v/>
      </c>
      <c r="J1262" s="75" t="str">
        <f t="shared" si="651"/>
        <v/>
      </c>
      <c r="K1262" s="63"/>
    </row>
    <row r="1264" spans="1:11" x14ac:dyDescent="0.25">
      <c r="A1264" s="81">
        <v>64</v>
      </c>
      <c r="B1264" s="49" t="s">
        <v>1180</v>
      </c>
      <c r="C1264" s="31" t="s">
        <v>1458</v>
      </c>
      <c r="D1264" s="76"/>
      <c r="E1264" s="66"/>
      <c r="F1264" s="66"/>
      <c r="G1264" s="66"/>
      <c r="H1264" s="66"/>
      <c r="I1264" s="66"/>
      <c r="J1264" s="60"/>
      <c r="K1264" s="60"/>
    </row>
    <row r="1265" spans="1:18" x14ac:dyDescent="0.25">
      <c r="A1265" s="4" t="s">
        <v>6</v>
      </c>
      <c r="B1265" s="37" t="s">
        <v>1066</v>
      </c>
      <c r="C1265" s="37"/>
      <c r="D1265" s="70">
        <v>1</v>
      </c>
      <c r="E1265" s="70">
        <v>1</v>
      </c>
      <c r="F1265" s="70">
        <v>1</v>
      </c>
      <c r="G1265" s="67">
        <f t="shared" ref="G1265:G1282" si="652">IF(B1265="","",IF( AND(D1265=1, E1265=1),1,0))</f>
        <v>1</v>
      </c>
      <c r="H1265" s="67">
        <f t="shared" ref="H1265:H1282" si="653">IF(B1265="","",IF(AND(D1265=1,F1265=1),1,0))</f>
        <v>1</v>
      </c>
      <c r="I1265" s="67">
        <f t="shared" ref="I1265:I1282" si="654">IF(B1265="","",IF(AND(E1265=1,F1265=1),1,0))</f>
        <v>1</v>
      </c>
      <c r="J1265" s="73">
        <f t="shared" ref="J1265" si="655">IF(B1265="","",SUM(D1265:F1265))</f>
        <v>3</v>
      </c>
      <c r="K1265" s="61"/>
      <c r="M1265" s="7">
        <f t="shared" ref="M1265" si="656">SUM(G1265:I1265)/3</f>
        <v>1</v>
      </c>
      <c r="N1265" s="6">
        <f t="shared" ref="N1265" si="657">SUM(G1268:I1268)/3</f>
        <v>1</v>
      </c>
      <c r="O1265" s="7">
        <f t="shared" ref="O1265" si="658">SUM(G1271:I1271)/3</f>
        <v>1</v>
      </c>
      <c r="P1265" s="6">
        <f t="shared" ref="P1265" si="659">SUM(G1274:I1274)/3</f>
        <v>1</v>
      </c>
      <c r="Q1265" s="7">
        <f t="shared" ref="Q1265" si="660">SUM(G1277:I1277)/3</f>
        <v>1</v>
      </c>
      <c r="R1265" s="7">
        <f>SUM(G1280:I1280)/3</f>
        <v>1</v>
      </c>
    </row>
    <row r="1266" spans="1:18" x14ac:dyDescent="0.25">
      <c r="A1266" s="2"/>
      <c r="B1266" s="37" t="s">
        <v>551</v>
      </c>
      <c r="C1266" s="37"/>
      <c r="D1266" s="71">
        <v>1</v>
      </c>
      <c r="E1266" s="71">
        <v>1</v>
      </c>
      <c r="F1266" s="71">
        <v>0</v>
      </c>
      <c r="G1266" s="68">
        <f t="shared" si="652"/>
        <v>1</v>
      </c>
      <c r="H1266" s="68">
        <f t="shared" si="653"/>
        <v>0</v>
      </c>
      <c r="I1266" s="68">
        <f t="shared" si="654"/>
        <v>0</v>
      </c>
      <c r="J1266" s="74">
        <f t="shared" si="636"/>
        <v>2</v>
      </c>
      <c r="K1266" s="62"/>
    </row>
    <row r="1267" spans="1:18" x14ac:dyDescent="0.25">
      <c r="A1267" s="3"/>
      <c r="B1267" s="42"/>
      <c r="C1267" s="42"/>
      <c r="D1267" s="72"/>
      <c r="E1267" s="72"/>
      <c r="F1267" s="72"/>
      <c r="G1267" s="69" t="str">
        <f t="shared" si="652"/>
        <v/>
      </c>
      <c r="H1267" s="69" t="str">
        <f t="shared" si="653"/>
        <v/>
      </c>
      <c r="I1267" s="69" t="str">
        <f t="shared" si="654"/>
        <v/>
      </c>
      <c r="J1267" s="75" t="str">
        <f t="shared" si="636"/>
        <v/>
      </c>
      <c r="K1267" s="63"/>
    </row>
    <row r="1268" spans="1:18" x14ac:dyDescent="0.25">
      <c r="A1268" s="4" t="s">
        <v>5</v>
      </c>
      <c r="B1268" s="33" t="s">
        <v>1105</v>
      </c>
      <c r="C1268" s="33"/>
      <c r="D1268" s="70">
        <v>1</v>
      </c>
      <c r="E1268" s="70">
        <v>1</v>
      </c>
      <c r="F1268" s="70">
        <v>1</v>
      </c>
      <c r="G1268" s="67">
        <f t="shared" si="652"/>
        <v>1</v>
      </c>
      <c r="H1268" s="67">
        <f t="shared" si="653"/>
        <v>1</v>
      </c>
      <c r="I1268" s="67">
        <f t="shared" si="654"/>
        <v>1</v>
      </c>
      <c r="J1268" s="73">
        <f t="shared" si="636"/>
        <v>3</v>
      </c>
      <c r="K1268" s="61"/>
    </row>
    <row r="1269" spans="1:18" x14ac:dyDescent="0.25">
      <c r="A1269" s="2"/>
      <c r="B1269" s="37"/>
      <c r="C1269" s="37"/>
      <c r="D1269" s="71"/>
      <c r="E1269" s="71"/>
      <c r="F1269" s="71"/>
      <c r="G1269" s="68" t="str">
        <f t="shared" si="652"/>
        <v/>
      </c>
      <c r="H1269" s="68" t="str">
        <f t="shared" si="653"/>
        <v/>
      </c>
      <c r="I1269" s="68" t="str">
        <f t="shared" si="654"/>
        <v/>
      </c>
      <c r="J1269" s="74" t="str">
        <f t="shared" si="636"/>
        <v/>
      </c>
      <c r="K1269" s="62"/>
    </row>
    <row r="1270" spans="1:18" x14ac:dyDescent="0.25">
      <c r="A1270" s="3"/>
      <c r="B1270" s="40"/>
      <c r="C1270" s="37"/>
      <c r="D1270" s="71"/>
      <c r="E1270" s="71"/>
      <c r="F1270" s="71"/>
      <c r="G1270" s="69" t="str">
        <f t="shared" si="652"/>
        <v/>
      </c>
      <c r="H1270" s="69" t="str">
        <f t="shared" si="653"/>
        <v/>
      </c>
      <c r="I1270" s="69" t="str">
        <f t="shared" si="654"/>
        <v/>
      </c>
      <c r="J1270" s="75" t="str">
        <f t="shared" si="636"/>
        <v/>
      </c>
      <c r="K1270" s="63"/>
    </row>
    <row r="1271" spans="1:18" x14ac:dyDescent="0.25">
      <c r="A1271" s="4" t="s">
        <v>7</v>
      </c>
      <c r="B1271" s="33" t="s">
        <v>223</v>
      </c>
      <c r="C1271" s="33"/>
      <c r="D1271" s="70">
        <v>1</v>
      </c>
      <c r="E1271" s="70">
        <v>1</v>
      </c>
      <c r="F1271" s="70">
        <v>1</v>
      </c>
      <c r="G1271" s="67">
        <f t="shared" si="652"/>
        <v>1</v>
      </c>
      <c r="H1271" s="67">
        <f t="shared" si="653"/>
        <v>1</v>
      </c>
      <c r="I1271" s="67">
        <f t="shared" si="654"/>
        <v>1</v>
      </c>
      <c r="J1271" s="73">
        <f t="shared" si="636"/>
        <v>3</v>
      </c>
      <c r="K1271" s="61"/>
    </row>
    <row r="1272" spans="1:18" x14ac:dyDescent="0.25">
      <c r="A1272" s="2"/>
      <c r="B1272" s="37"/>
      <c r="C1272" s="37"/>
      <c r="D1272" s="71"/>
      <c r="E1272" s="71"/>
      <c r="F1272" s="71"/>
      <c r="G1272" s="68" t="str">
        <f t="shared" si="652"/>
        <v/>
      </c>
      <c r="H1272" s="68" t="str">
        <f t="shared" si="653"/>
        <v/>
      </c>
      <c r="I1272" s="68" t="str">
        <f t="shared" si="654"/>
        <v/>
      </c>
      <c r="J1272" s="74" t="str">
        <f t="shared" si="636"/>
        <v/>
      </c>
      <c r="K1272" s="62"/>
    </row>
    <row r="1273" spans="1:18" x14ac:dyDescent="0.25">
      <c r="A1273" s="3"/>
      <c r="B1273" s="40"/>
      <c r="C1273" s="40"/>
      <c r="D1273" s="72"/>
      <c r="E1273" s="72"/>
      <c r="F1273" s="72"/>
      <c r="G1273" s="69" t="str">
        <f t="shared" si="652"/>
        <v/>
      </c>
      <c r="H1273" s="69" t="str">
        <f t="shared" si="653"/>
        <v/>
      </c>
      <c r="I1273" s="69" t="str">
        <f t="shared" si="654"/>
        <v/>
      </c>
      <c r="J1273" s="75" t="str">
        <f t="shared" si="636"/>
        <v/>
      </c>
      <c r="K1273" s="63"/>
    </row>
    <row r="1274" spans="1:18" x14ac:dyDescent="0.25">
      <c r="A1274" s="4" t="s">
        <v>8</v>
      </c>
      <c r="B1274" s="37" t="s">
        <v>159</v>
      </c>
      <c r="C1274" s="37"/>
      <c r="D1274" s="70">
        <v>1</v>
      </c>
      <c r="E1274" s="70">
        <v>1</v>
      </c>
      <c r="F1274" s="70">
        <v>1</v>
      </c>
      <c r="G1274" s="67">
        <f t="shared" si="652"/>
        <v>1</v>
      </c>
      <c r="H1274" s="67">
        <f t="shared" si="653"/>
        <v>1</v>
      </c>
      <c r="I1274" s="67">
        <f t="shared" si="654"/>
        <v>1</v>
      </c>
      <c r="J1274" s="73">
        <f t="shared" si="636"/>
        <v>3</v>
      </c>
      <c r="K1274" s="61"/>
    </row>
    <row r="1275" spans="1:18" x14ac:dyDescent="0.25">
      <c r="A1275" s="2"/>
      <c r="B1275" s="33" t="s">
        <v>225</v>
      </c>
      <c r="C1275" s="37"/>
      <c r="D1275" s="71">
        <v>1</v>
      </c>
      <c r="E1275" s="71">
        <v>0</v>
      </c>
      <c r="F1275" s="71">
        <v>1</v>
      </c>
      <c r="G1275" s="68">
        <f t="shared" si="652"/>
        <v>0</v>
      </c>
      <c r="H1275" s="68">
        <f t="shared" si="653"/>
        <v>1</v>
      </c>
      <c r="I1275" s="68">
        <f t="shared" si="654"/>
        <v>0</v>
      </c>
      <c r="J1275" s="74">
        <f t="shared" si="636"/>
        <v>2</v>
      </c>
      <c r="K1275" s="62"/>
    </row>
    <row r="1276" spans="1:18" x14ac:dyDescent="0.25">
      <c r="A1276" s="3"/>
      <c r="B1276" s="40"/>
      <c r="C1276" s="40"/>
      <c r="D1276" s="72"/>
      <c r="E1276" s="72"/>
      <c r="F1276" s="72"/>
      <c r="G1276" s="69" t="str">
        <f t="shared" si="652"/>
        <v/>
      </c>
      <c r="H1276" s="69" t="str">
        <f t="shared" si="653"/>
        <v/>
      </c>
      <c r="I1276" s="69" t="str">
        <f t="shared" si="654"/>
        <v/>
      </c>
      <c r="J1276" s="75" t="str">
        <f t="shared" si="636"/>
        <v/>
      </c>
      <c r="K1276" s="63"/>
    </row>
    <row r="1277" spans="1:18" x14ac:dyDescent="0.25">
      <c r="A1277" s="2" t="s">
        <v>9</v>
      </c>
      <c r="B1277" s="37" t="s">
        <v>1067</v>
      </c>
      <c r="C1277" s="37"/>
      <c r="D1277" s="71">
        <v>1</v>
      </c>
      <c r="E1277" s="71">
        <v>1</v>
      </c>
      <c r="F1277" s="71">
        <v>1</v>
      </c>
      <c r="G1277" s="68">
        <f t="shared" si="652"/>
        <v>1</v>
      </c>
      <c r="H1277" s="68">
        <f t="shared" si="653"/>
        <v>1</v>
      </c>
      <c r="I1277" s="68">
        <f t="shared" si="654"/>
        <v>1</v>
      </c>
      <c r="J1277" s="74">
        <f t="shared" si="636"/>
        <v>3</v>
      </c>
      <c r="K1277" s="62"/>
    </row>
    <row r="1278" spans="1:18" x14ac:dyDescent="0.25">
      <c r="A1278" s="2"/>
      <c r="B1278" s="37"/>
      <c r="C1278" s="37"/>
      <c r="D1278" s="71"/>
      <c r="E1278" s="71"/>
      <c r="F1278" s="71"/>
      <c r="G1278" s="68" t="str">
        <f t="shared" si="652"/>
        <v/>
      </c>
      <c r="H1278" s="68" t="str">
        <f t="shared" si="653"/>
        <v/>
      </c>
      <c r="I1278" s="68" t="str">
        <f t="shared" si="654"/>
        <v/>
      </c>
      <c r="J1278" s="74" t="str">
        <f t="shared" si="636"/>
        <v/>
      </c>
      <c r="K1278" s="62"/>
    </row>
    <row r="1279" spans="1:18" x14ac:dyDescent="0.25">
      <c r="A1279" s="3"/>
      <c r="B1279" s="40"/>
      <c r="C1279" s="40"/>
      <c r="D1279" s="72"/>
      <c r="E1279" s="72"/>
      <c r="F1279" s="72"/>
      <c r="G1279" s="69" t="str">
        <f t="shared" si="652"/>
        <v/>
      </c>
      <c r="H1279" s="69" t="str">
        <f t="shared" si="653"/>
        <v/>
      </c>
      <c r="I1279" s="69" t="str">
        <f t="shared" si="654"/>
        <v/>
      </c>
      <c r="J1279" s="75" t="str">
        <f t="shared" si="636"/>
        <v/>
      </c>
      <c r="K1279" s="63"/>
    </row>
    <row r="1280" spans="1:18" x14ac:dyDescent="0.25">
      <c r="A1280" s="2" t="s">
        <v>1224</v>
      </c>
      <c r="B1280" s="39" t="s">
        <v>1386</v>
      </c>
      <c r="C1280" s="39"/>
      <c r="D1280" s="71">
        <v>1</v>
      </c>
      <c r="E1280" s="71">
        <v>1</v>
      </c>
      <c r="F1280" s="71">
        <v>1</v>
      </c>
      <c r="G1280" s="68">
        <f t="shared" si="652"/>
        <v>1</v>
      </c>
      <c r="H1280" s="68">
        <f t="shared" si="653"/>
        <v>1</v>
      </c>
      <c r="I1280" s="68">
        <f t="shared" si="654"/>
        <v>1</v>
      </c>
      <c r="J1280" s="74">
        <f t="shared" si="636"/>
        <v>3</v>
      </c>
      <c r="K1280" s="62"/>
    </row>
    <row r="1281" spans="1:18" x14ac:dyDescent="0.25">
      <c r="A1281" s="2"/>
      <c r="B1281" s="37"/>
      <c r="C1281" s="37"/>
      <c r="D1281" s="71"/>
      <c r="E1281" s="71"/>
      <c r="F1281" s="71"/>
      <c r="G1281" s="68" t="str">
        <f t="shared" si="652"/>
        <v/>
      </c>
      <c r="H1281" s="68" t="str">
        <f t="shared" si="653"/>
        <v/>
      </c>
      <c r="I1281" s="68" t="str">
        <f t="shared" si="654"/>
        <v/>
      </c>
      <c r="J1281" s="74" t="str">
        <f t="shared" si="636"/>
        <v/>
      </c>
      <c r="K1281" s="62"/>
    </row>
    <row r="1282" spans="1:18" x14ac:dyDescent="0.25">
      <c r="A1282" s="3"/>
      <c r="B1282" s="40"/>
      <c r="C1282" s="40"/>
      <c r="D1282" s="72"/>
      <c r="E1282" s="72"/>
      <c r="F1282" s="72"/>
      <c r="G1282" s="69" t="str">
        <f t="shared" si="652"/>
        <v/>
      </c>
      <c r="H1282" s="69" t="str">
        <f t="shared" si="653"/>
        <v/>
      </c>
      <c r="I1282" s="69" t="str">
        <f t="shared" si="654"/>
        <v/>
      </c>
      <c r="J1282" s="75" t="str">
        <f t="shared" si="636"/>
        <v/>
      </c>
      <c r="K1282" s="63"/>
    </row>
    <row r="1284" spans="1:18" x14ac:dyDescent="0.25">
      <c r="A1284" s="81">
        <v>65</v>
      </c>
      <c r="B1284" s="49" t="s">
        <v>1181</v>
      </c>
      <c r="C1284" s="31" t="s">
        <v>1459</v>
      </c>
      <c r="D1284" s="76"/>
      <c r="E1284" s="66"/>
      <c r="F1284" s="66"/>
      <c r="G1284" s="66"/>
      <c r="H1284" s="66"/>
      <c r="I1284" s="66"/>
      <c r="J1284" s="60"/>
      <c r="K1284" s="60"/>
    </row>
    <row r="1285" spans="1:18" x14ac:dyDescent="0.25">
      <c r="A1285" s="4" t="s">
        <v>6</v>
      </c>
      <c r="B1285" s="37" t="s">
        <v>492</v>
      </c>
      <c r="C1285" s="37"/>
      <c r="D1285" s="70">
        <v>1</v>
      </c>
      <c r="E1285" s="70">
        <v>1</v>
      </c>
      <c r="F1285" s="70">
        <v>1</v>
      </c>
      <c r="G1285" s="67">
        <f t="shared" ref="G1285:G1302" si="661">IF(B1285="","",IF( AND(D1285=1, E1285=1),1,0))</f>
        <v>1</v>
      </c>
      <c r="H1285" s="67">
        <f t="shared" ref="H1285:H1302" si="662">IF(B1285="","",IF(AND(D1285=1,F1285=1),1,0))</f>
        <v>1</v>
      </c>
      <c r="I1285" s="67">
        <f t="shared" ref="I1285:I1302" si="663">IF(B1285="","",IF(AND(E1285=1,F1285=1),1,0))</f>
        <v>1</v>
      </c>
      <c r="J1285" s="73">
        <f t="shared" ref="J1285" si="664">IF(B1285="","",SUM(D1285:F1285))</f>
        <v>3</v>
      </c>
      <c r="K1285" s="61"/>
      <c r="M1285" s="7">
        <f t="shared" ref="M1285" si="665">SUM(G1285:I1285)/3</f>
        <v>1</v>
      </c>
      <c r="N1285" s="6">
        <f t="shared" ref="N1285" si="666">SUM(G1288:I1288)/3</f>
        <v>1</v>
      </c>
      <c r="O1285" s="7">
        <f t="shared" ref="O1285" si="667">SUM(G1291:I1291)/3</f>
        <v>1</v>
      </c>
      <c r="P1285" s="6">
        <f t="shared" ref="P1285" si="668">SUM(G1294:I1294)/3</f>
        <v>1</v>
      </c>
      <c r="Q1285" s="7">
        <f t="shared" ref="Q1285" si="669">SUM(G1297:I1297)/3</f>
        <v>1</v>
      </c>
      <c r="R1285" s="7">
        <f>SUM(G1300:I1300)/3</f>
        <v>0</v>
      </c>
    </row>
    <row r="1286" spans="1:18" x14ac:dyDescent="0.25">
      <c r="A1286" s="2"/>
      <c r="B1286" s="37"/>
      <c r="C1286" s="37"/>
      <c r="D1286" s="71"/>
      <c r="E1286" s="71"/>
      <c r="F1286" s="71"/>
      <c r="G1286" s="68" t="str">
        <f t="shared" si="661"/>
        <v/>
      </c>
      <c r="H1286" s="68" t="str">
        <f t="shared" si="662"/>
        <v/>
      </c>
      <c r="I1286" s="68" t="str">
        <f t="shared" si="663"/>
        <v/>
      </c>
      <c r="J1286" s="74" t="str">
        <f t="shared" si="636"/>
        <v/>
      </c>
      <c r="K1286" s="62"/>
    </row>
    <row r="1287" spans="1:18" x14ac:dyDescent="0.25">
      <c r="A1287" s="3"/>
      <c r="B1287" s="42"/>
      <c r="C1287" s="42"/>
      <c r="D1287" s="72"/>
      <c r="E1287" s="72"/>
      <c r="F1287" s="72"/>
      <c r="G1287" s="69" t="str">
        <f t="shared" si="661"/>
        <v/>
      </c>
      <c r="H1287" s="69" t="str">
        <f t="shared" si="662"/>
        <v/>
      </c>
      <c r="I1287" s="69" t="str">
        <f t="shared" si="663"/>
        <v/>
      </c>
      <c r="J1287" s="75" t="str">
        <f t="shared" si="636"/>
        <v/>
      </c>
      <c r="K1287" s="63"/>
    </row>
    <row r="1288" spans="1:18" x14ac:dyDescent="0.25">
      <c r="A1288" s="4" t="s">
        <v>5</v>
      </c>
      <c r="B1288" s="33" t="s">
        <v>265</v>
      </c>
      <c r="C1288" s="33"/>
      <c r="D1288" s="70">
        <v>1</v>
      </c>
      <c r="E1288" s="70">
        <v>1</v>
      </c>
      <c r="F1288" s="70">
        <v>1</v>
      </c>
      <c r="G1288" s="67">
        <f t="shared" si="661"/>
        <v>1</v>
      </c>
      <c r="H1288" s="67">
        <f t="shared" si="662"/>
        <v>1</v>
      </c>
      <c r="I1288" s="67">
        <f t="shared" si="663"/>
        <v>1</v>
      </c>
      <c r="J1288" s="73">
        <f t="shared" si="636"/>
        <v>3</v>
      </c>
      <c r="K1288" s="61"/>
    </row>
    <row r="1289" spans="1:18" x14ac:dyDescent="0.25">
      <c r="A1289" s="2"/>
      <c r="B1289" s="37"/>
      <c r="C1289" s="37"/>
      <c r="D1289" s="71"/>
      <c r="E1289" s="71"/>
      <c r="F1289" s="71"/>
      <c r="G1289" s="68" t="str">
        <f t="shared" si="661"/>
        <v/>
      </c>
      <c r="H1289" s="68" t="str">
        <f t="shared" si="662"/>
        <v/>
      </c>
      <c r="I1289" s="68" t="str">
        <f t="shared" si="663"/>
        <v/>
      </c>
      <c r="J1289" s="74" t="str">
        <f t="shared" si="636"/>
        <v/>
      </c>
      <c r="K1289" s="62"/>
    </row>
    <row r="1290" spans="1:18" x14ac:dyDescent="0.25">
      <c r="A1290" s="3"/>
      <c r="B1290" s="40"/>
      <c r="C1290" s="37"/>
      <c r="D1290" s="71"/>
      <c r="E1290" s="71"/>
      <c r="F1290" s="71"/>
      <c r="G1290" s="69" t="str">
        <f t="shared" si="661"/>
        <v/>
      </c>
      <c r="H1290" s="69" t="str">
        <f t="shared" si="662"/>
        <v/>
      </c>
      <c r="I1290" s="69" t="str">
        <f t="shared" si="663"/>
        <v/>
      </c>
      <c r="J1290" s="75" t="str">
        <f t="shared" si="636"/>
        <v/>
      </c>
      <c r="K1290" s="63"/>
    </row>
    <row r="1291" spans="1:18" x14ac:dyDescent="0.25">
      <c r="A1291" s="4" t="s">
        <v>7</v>
      </c>
      <c r="B1291" s="33" t="s">
        <v>223</v>
      </c>
      <c r="C1291" s="33"/>
      <c r="D1291" s="70">
        <v>1</v>
      </c>
      <c r="E1291" s="70">
        <v>1</v>
      </c>
      <c r="F1291" s="70">
        <v>1</v>
      </c>
      <c r="G1291" s="67">
        <f t="shared" si="661"/>
        <v>1</v>
      </c>
      <c r="H1291" s="67">
        <f t="shared" si="662"/>
        <v>1</v>
      </c>
      <c r="I1291" s="67">
        <f t="shared" si="663"/>
        <v>1</v>
      </c>
      <c r="J1291" s="73">
        <f t="shared" si="636"/>
        <v>3</v>
      </c>
      <c r="K1291" s="61"/>
    </row>
    <row r="1292" spans="1:18" x14ac:dyDescent="0.25">
      <c r="A1292" s="2"/>
      <c r="B1292" s="37"/>
      <c r="C1292" s="37"/>
      <c r="D1292" s="71"/>
      <c r="E1292" s="71"/>
      <c r="F1292" s="71"/>
      <c r="G1292" s="68" t="str">
        <f t="shared" si="661"/>
        <v/>
      </c>
      <c r="H1292" s="68" t="str">
        <f t="shared" si="662"/>
        <v/>
      </c>
      <c r="I1292" s="68" t="str">
        <f t="shared" si="663"/>
        <v/>
      </c>
      <c r="J1292" s="74" t="str">
        <f t="shared" si="636"/>
        <v/>
      </c>
      <c r="K1292" s="62"/>
    </row>
    <row r="1293" spans="1:18" x14ac:dyDescent="0.25">
      <c r="A1293" s="3"/>
      <c r="B1293" s="40"/>
      <c r="C1293" s="40"/>
      <c r="D1293" s="72"/>
      <c r="E1293" s="72"/>
      <c r="F1293" s="72"/>
      <c r="G1293" s="69" t="str">
        <f t="shared" si="661"/>
        <v/>
      </c>
      <c r="H1293" s="69" t="str">
        <f t="shared" si="662"/>
        <v/>
      </c>
      <c r="I1293" s="69" t="str">
        <f t="shared" si="663"/>
        <v/>
      </c>
      <c r="J1293" s="75" t="str">
        <f t="shared" si="636"/>
        <v/>
      </c>
      <c r="K1293" s="63"/>
    </row>
    <row r="1294" spans="1:18" x14ac:dyDescent="0.25">
      <c r="A1294" s="4" t="s">
        <v>8</v>
      </c>
      <c r="B1294" s="37" t="s">
        <v>159</v>
      </c>
      <c r="C1294" s="37"/>
      <c r="D1294" s="70">
        <v>1</v>
      </c>
      <c r="E1294" s="70">
        <v>1</v>
      </c>
      <c r="F1294" s="70">
        <v>1</v>
      </c>
      <c r="G1294" s="67">
        <f t="shared" si="661"/>
        <v>1</v>
      </c>
      <c r="H1294" s="67">
        <f t="shared" si="662"/>
        <v>1</v>
      </c>
      <c r="I1294" s="67">
        <f t="shared" si="663"/>
        <v>1</v>
      </c>
      <c r="J1294" s="73">
        <f t="shared" si="636"/>
        <v>3</v>
      </c>
      <c r="K1294" s="61"/>
    </row>
    <row r="1295" spans="1:18" x14ac:dyDescent="0.25">
      <c r="A1295" s="2"/>
      <c r="B1295" s="37" t="s">
        <v>225</v>
      </c>
      <c r="C1295" s="37"/>
      <c r="D1295" s="71">
        <v>1</v>
      </c>
      <c r="E1295" s="71">
        <v>0</v>
      </c>
      <c r="F1295" s="71">
        <v>1</v>
      </c>
      <c r="G1295" s="68">
        <f t="shared" si="661"/>
        <v>0</v>
      </c>
      <c r="H1295" s="68">
        <f t="shared" si="662"/>
        <v>1</v>
      </c>
      <c r="I1295" s="68">
        <f t="shared" si="663"/>
        <v>0</v>
      </c>
      <c r="J1295" s="74">
        <f t="shared" si="636"/>
        <v>2</v>
      </c>
      <c r="K1295" s="62"/>
    </row>
    <row r="1296" spans="1:18" x14ac:dyDescent="0.25">
      <c r="A1296" s="3"/>
      <c r="B1296" s="40"/>
      <c r="C1296" s="40"/>
      <c r="D1296" s="72"/>
      <c r="E1296" s="72"/>
      <c r="F1296" s="72"/>
      <c r="G1296" s="69" t="str">
        <f t="shared" si="661"/>
        <v/>
      </c>
      <c r="H1296" s="69" t="str">
        <f t="shared" si="662"/>
        <v/>
      </c>
      <c r="I1296" s="69" t="str">
        <f t="shared" si="663"/>
        <v/>
      </c>
      <c r="J1296" s="75" t="str">
        <f t="shared" si="636"/>
        <v/>
      </c>
      <c r="K1296" s="63"/>
    </row>
    <row r="1297" spans="1:18" x14ac:dyDescent="0.25">
      <c r="A1297" s="2" t="s">
        <v>9</v>
      </c>
      <c r="B1297" s="37" t="s">
        <v>493</v>
      </c>
      <c r="C1297" s="37"/>
      <c r="D1297" s="71">
        <v>1</v>
      </c>
      <c r="E1297" s="71">
        <v>1</v>
      </c>
      <c r="F1297" s="71">
        <v>1</v>
      </c>
      <c r="G1297" s="68">
        <f t="shared" si="661"/>
        <v>1</v>
      </c>
      <c r="H1297" s="68">
        <f t="shared" si="662"/>
        <v>1</v>
      </c>
      <c r="I1297" s="68">
        <f t="shared" si="663"/>
        <v>1</v>
      </c>
      <c r="J1297" s="74">
        <f t="shared" si="636"/>
        <v>3</v>
      </c>
      <c r="K1297" s="62"/>
    </row>
    <row r="1298" spans="1:18" x14ac:dyDescent="0.25">
      <c r="A1298" s="2"/>
      <c r="B1298" s="37"/>
      <c r="C1298" s="37"/>
      <c r="D1298" s="71"/>
      <c r="E1298" s="71"/>
      <c r="F1298" s="71"/>
      <c r="G1298" s="68" t="str">
        <f t="shared" si="661"/>
        <v/>
      </c>
      <c r="H1298" s="68" t="str">
        <f t="shared" si="662"/>
        <v/>
      </c>
      <c r="I1298" s="68" t="str">
        <f t="shared" si="663"/>
        <v/>
      </c>
      <c r="J1298" s="74" t="str">
        <f t="shared" ref="J1298:J1373" si="670">IF(B1298="","",SUM(D1298:F1298))</f>
        <v/>
      </c>
      <c r="K1298" s="62"/>
    </row>
    <row r="1299" spans="1:18" x14ac:dyDescent="0.25">
      <c r="A1299" s="3"/>
      <c r="B1299" s="40"/>
      <c r="C1299" s="40"/>
      <c r="D1299" s="72"/>
      <c r="E1299" s="72"/>
      <c r="F1299" s="72"/>
      <c r="G1299" s="69" t="str">
        <f t="shared" si="661"/>
        <v/>
      </c>
      <c r="H1299" s="69" t="str">
        <f t="shared" si="662"/>
        <v/>
      </c>
      <c r="I1299" s="69" t="str">
        <f t="shared" si="663"/>
        <v/>
      </c>
      <c r="J1299" s="75" t="str">
        <f t="shared" si="670"/>
        <v/>
      </c>
      <c r="K1299" s="63"/>
    </row>
    <row r="1300" spans="1:18" x14ac:dyDescent="0.25">
      <c r="A1300" s="2" t="s">
        <v>1224</v>
      </c>
      <c r="B1300" s="37" t="s">
        <v>1274</v>
      </c>
      <c r="C1300" s="37"/>
      <c r="D1300" s="71">
        <v>1</v>
      </c>
      <c r="E1300" s="71"/>
      <c r="F1300" s="71"/>
      <c r="G1300" s="68">
        <f t="shared" si="661"/>
        <v>0</v>
      </c>
      <c r="H1300" s="68">
        <f t="shared" si="662"/>
        <v>0</v>
      </c>
      <c r="I1300" s="68">
        <f t="shared" si="663"/>
        <v>0</v>
      </c>
      <c r="J1300" s="74">
        <f t="shared" ref="J1300:J1302" si="671">IF(B1300="","",SUM(D1300:F1300))</f>
        <v>1</v>
      </c>
      <c r="K1300" s="62"/>
    </row>
    <row r="1301" spans="1:18" x14ac:dyDescent="0.25">
      <c r="A1301" s="2"/>
      <c r="B1301" s="37"/>
      <c r="C1301" s="37"/>
      <c r="D1301" s="71"/>
      <c r="E1301" s="71"/>
      <c r="F1301" s="71"/>
      <c r="G1301" s="68" t="str">
        <f t="shared" si="661"/>
        <v/>
      </c>
      <c r="H1301" s="68" t="str">
        <f t="shared" si="662"/>
        <v/>
      </c>
      <c r="I1301" s="68" t="str">
        <f t="shared" si="663"/>
        <v/>
      </c>
      <c r="J1301" s="74" t="str">
        <f t="shared" si="671"/>
        <v/>
      </c>
      <c r="K1301" s="62"/>
    </row>
    <row r="1302" spans="1:18" x14ac:dyDescent="0.25">
      <c r="A1302" s="3"/>
      <c r="B1302" s="40"/>
      <c r="C1302" s="40"/>
      <c r="D1302" s="72"/>
      <c r="E1302" s="72"/>
      <c r="F1302" s="72"/>
      <c r="G1302" s="69" t="str">
        <f t="shared" si="661"/>
        <v/>
      </c>
      <c r="H1302" s="69" t="str">
        <f t="shared" si="662"/>
        <v/>
      </c>
      <c r="I1302" s="69" t="str">
        <f t="shared" si="663"/>
        <v/>
      </c>
      <c r="J1302" s="75" t="str">
        <f t="shared" si="671"/>
        <v/>
      </c>
      <c r="K1302" s="63"/>
    </row>
    <row r="1304" spans="1:18" x14ac:dyDescent="0.25">
      <c r="A1304" s="81">
        <v>66</v>
      </c>
      <c r="B1304" s="49" t="s">
        <v>1182</v>
      </c>
      <c r="C1304" s="31" t="s">
        <v>1460</v>
      </c>
      <c r="D1304" s="76"/>
      <c r="E1304" s="66"/>
      <c r="F1304" s="66"/>
      <c r="G1304" s="66"/>
      <c r="H1304" s="66"/>
      <c r="I1304" s="66"/>
      <c r="J1304" s="60"/>
      <c r="K1304" s="60"/>
    </row>
    <row r="1305" spans="1:18" x14ac:dyDescent="0.25">
      <c r="A1305" s="4" t="s">
        <v>6</v>
      </c>
      <c r="B1305" s="37" t="s">
        <v>554</v>
      </c>
      <c r="C1305" s="37"/>
      <c r="D1305" s="70">
        <v>1</v>
      </c>
      <c r="E1305" s="70">
        <v>1</v>
      </c>
      <c r="F1305" s="70">
        <v>1</v>
      </c>
      <c r="G1305" s="67">
        <f t="shared" ref="G1305:G1322" si="672">IF(B1305="","",IF( AND(D1305=1, E1305=1),1,0))</f>
        <v>1</v>
      </c>
      <c r="H1305" s="67">
        <f t="shared" ref="H1305:H1322" si="673">IF(B1305="","",IF(AND(D1305=1,F1305=1),1,0))</f>
        <v>1</v>
      </c>
      <c r="I1305" s="67">
        <f t="shared" ref="I1305:I1322" si="674">IF(B1305="","",IF(AND(E1305=1,F1305=1),1,0))</f>
        <v>1</v>
      </c>
      <c r="J1305" s="73">
        <f t="shared" ref="J1305" si="675">IF(B1305="","",SUM(D1305:F1305))</f>
        <v>3</v>
      </c>
      <c r="K1305" s="61"/>
      <c r="M1305" s="7">
        <f t="shared" ref="M1305" si="676">SUM(G1305:I1305)/3</f>
        <v>1</v>
      </c>
      <c r="N1305" s="6">
        <f t="shared" ref="N1305" si="677">SUM(G1308:I1308)/3</f>
        <v>1</v>
      </c>
      <c r="O1305" s="7">
        <f t="shared" ref="O1305" si="678">SUM(G1311:I1311)/3</f>
        <v>1</v>
      </c>
      <c r="P1305" s="6">
        <f t="shared" ref="P1305" si="679">SUM(G1314:I1314)/3</f>
        <v>1</v>
      </c>
      <c r="Q1305" s="7">
        <f t="shared" ref="Q1305" si="680">SUM(G1317:I1317)/3</f>
        <v>1</v>
      </c>
      <c r="R1305" s="7">
        <f>SUM(G1320:I1320)/3</f>
        <v>0</v>
      </c>
    </row>
    <row r="1306" spans="1:18" x14ac:dyDescent="0.25">
      <c r="A1306" s="2"/>
      <c r="B1306" s="33" t="s">
        <v>491</v>
      </c>
      <c r="C1306" s="37"/>
      <c r="D1306" s="71">
        <v>1</v>
      </c>
      <c r="E1306" s="71">
        <v>1</v>
      </c>
      <c r="F1306" s="71">
        <v>0</v>
      </c>
      <c r="G1306" s="68">
        <f t="shared" si="672"/>
        <v>1</v>
      </c>
      <c r="H1306" s="68">
        <f t="shared" si="673"/>
        <v>0</v>
      </c>
      <c r="I1306" s="68">
        <f t="shared" si="674"/>
        <v>0</v>
      </c>
      <c r="J1306" s="74">
        <f t="shared" si="670"/>
        <v>2</v>
      </c>
      <c r="K1306" s="62"/>
    </row>
    <row r="1307" spans="1:18" x14ac:dyDescent="0.25">
      <c r="A1307" s="3"/>
      <c r="B1307" s="42"/>
      <c r="C1307" s="42"/>
      <c r="D1307" s="72"/>
      <c r="E1307" s="72"/>
      <c r="F1307" s="72"/>
      <c r="G1307" s="69" t="str">
        <f t="shared" si="672"/>
        <v/>
      </c>
      <c r="H1307" s="69" t="str">
        <f t="shared" si="673"/>
        <v/>
      </c>
      <c r="I1307" s="69" t="str">
        <f t="shared" si="674"/>
        <v/>
      </c>
      <c r="J1307" s="75" t="str">
        <f t="shared" si="670"/>
        <v/>
      </c>
      <c r="K1307" s="63"/>
    </row>
    <row r="1308" spans="1:18" x14ac:dyDescent="0.25">
      <c r="A1308" s="4" t="s">
        <v>5</v>
      </c>
      <c r="B1308" s="33" t="s">
        <v>1068</v>
      </c>
      <c r="C1308" s="33"/>
      <c r="D1308" s="70">
        <v>1</v>
      </c>
      <c r="E1308" s="70">
        <v>1</v>
      </c>
      <c r="F1308" s="70">
        <v>1</v>
      </c>
      <c r="G1308" s="67">
        <f t="shared" si="672"/>
        <v>1</v>
      </c>
      <c r="H1308" s="67">
        <f t="shared" si="673"/>
        <v>1</v>
      </c>
      <c r="I1308" s="67">
        <f t="shared" si="674"/>
        <v>1</v>
      </c>
      <c r="J1308" s="73">
        <f t="shared" si="670"/>
        <v>3</v>
      </c>
      <c r="K1308" s="61"/>
    </row>
    <row r="1309" spans="1:18" x14ac:dyDescent="0.25">
      <c r="A1309" s="2"/>
      <c r="B1309" s="37"/>
      <c r="C1309" s="37"/>
      <c r="D1309" s="71"/>
      <c r="E1309" s="71"/>
      <c r="F1309" s="71"/>
      <c r="G1309" s="68" t="str">
        <f t="shared" si="672"/>
        <v/>
      </c>
      <c r="H1309" s="68" t="str">
        <f t="shared" si="673"/>
        <v/>
      </c>
      <c r="I1309" s="68" t="str">
        <f t="shared" si="674"/>
        <v/>
      </c>
      <c r="J1309" s="74" t="str">
        <f t="shared" si="670"/>
        <v/>
      </c>
      <c r="K1309" s="62"/>
    </row>
    <row r="1310" spans="1:18" x14ac:dyDescent="0.25">
      <c r="A1310" s="3"/>
      <c r="B1310" s="40"/>
      <c r="C1310" s="37"/>
      <c r="D1310" s="71"/>
      <c r="E1310" s="71"/>
      <c r="F1310" s="71"/>
      <c r="G1310" s="69" t="str">
        <f t="shared" si="672"/>
        <v/>
      </c>
      <c r="H1310" s="69" t="str">
        <f t="shared" si="673"/>
        <v/>
      </c>
      <c r="I1310" s="69" t="str">
        <f t="shared" si="674"/>
        <v/>
      </c>
      <c r="J1310" s="75" t="str">
        <f t="shared" si="670"/>
        <v/>
      </c>
      <c r="K1310" s="63"/>
    </row>
    <row r="1311" spans="1:18" x14ac:dyDescent="0.25">
      <c r="A1311" s="4" t="s">
        <v>7</v>
      </c>
      <c r="B1311" s="33" t="s">
        <v>555</v>
      </c>
      <c r="C1311" s="33"/>
      <c r="D1311" s="70">
        <v>1</v>
      </c>
      <c r="E1311" s="70">
        <v>1</v>
      </c>
      <c r="F1311" s="70">
        <v>1</v>
      </c>
      <c r="G1311" s="67">
        <f t="shared" si="672"/>
        <v>1</v>
      </c>
      <c r="H1311" s="67">
        <f t="shared" si="673"/>
        <v>1</v>
      </c>
      <c r="I1311" s="67">
        <f t="shared" si="674"/>
        <v>1</v>
      </c>
      <c r="J1311" s="73">
        <f t="shared" si="670"/>
        <v>3</v>
      </c>
      <c r="K1311" s="61"/>
    </row>
    <row r="1312" spans="1:18" x14ac:dyDescent="0.25">
      <c r="A1312" s="2"/>
      <c r="B1312" s="37"/>
      <c r="C1312" s="37"/>
      <c r="D1312" s="71"/>
      <c r="E1312" s="71"/>
      <c r="F1312" s="71"/>
      <c r="G1312" s="68" t="str">
        <f>IF(B1312="","",IF( AND(D1312=1, E1312=1),1,0))</f>
        <v/>
      </c>
      <c r="H1312" s="68" t="str">
        <f>IF(B1312="","",IF(AND(D1312=1,F1312=1),1,0))</f>
        <v/>
      </c>
      <c r="I1312" s="68" t="str">
        <f>IF(B1312="","",IF(AND(E1312=1,F1312=1),1,0))</f>
        <v/>
      </c>
      <c r="J1312" s="74" t="str">
        <f>IF(B1312="","",SUM(D1312:F1312))</f>
        <v/>
      </c>
      <c r="K1312" s="62"/>
    </row>
    <row r="1313" spans="1:18" x14ac:dyDescent="0.25">
      <c r="A1313" s="3"/>
      <c r="B1313" s="37"/>
      <c r="C1313" s="37"/>
      <c r="D1313" s="72"/>
      <c r="E1313" s="72"/>
      <c r="F1313" s="72"/>
      <c r="G1313" s="69" t="str">
        <f>IF(B1313="","",IF( AND(D1313=1, E1313=1),1,0))</f>
        <v/>
      </c>
      <c r="H1313" s="69" t="str">
        <f>IF(B1313="","",IF(AND(D1313=1,F1313=1),1,0))</f>
        <v/>
      </c>
      <c r="I1313" s="69" t="str">
        <f>IF(B1313="","",IF(AND(E1313=1,F1313=1),1,0))</f>
        <v/>
      </c>
      <c r="J1313" s="75" t="str">
        <f>IF(B1313="","",SUM(D1313:F1313))</f>
        <v/>
      </c>
      <c r="K1313" s="63"/>
    </row>
    <row r="1314" spans="1:18" x14ac:dyDescent="0.25">
      <c r="A1314" s="4" t="s">
        <v>8</v>
      </c>
      <c r="B1314" s="37" t="s">
        <v>159</v>
      </c>
      <c r="C1314" s="37"/>
      <c r="D1314" s="70">
        <v>1</v>
      </c>
      <c r="E1314" s="70">
        <v>1</v>
      </c>
      <c r="F1314" s="70">
        <v>1</v>
      </c>
      <c r="G1314" s="67">
        <f t="shared" si="672"/>
        <v>1</v>
      </c>
      <c r="H1314" s="67">
        <f t="shared" si="673"/>
        <v>1</v>
      </c>
      <c r="I1314" s="67">
        <f t="shared" si="674"/>
        <v>1</v>
      </c>
      <c r="J1314" s="73">
        <f t="shared" si="670"/>
        <v>3</v>
      </c>
      <c r="K1314" s="61"/>
    </row>
    <row r="1315" spans="1:18" x14ac:dyDescent="0.25">
      <c r="A1315" s="2"/>
      <c r="B1315" s="37" t="s">
        <v>490</v>
      </c>
      <c r="C1315" s="37"/>
      <c r="D1315" s="71">
        <v>0</v>
      </c>
      <c r="E1315" s="71">
        <v>1</v>
      </c>
      <c r="F1315" s="71">
        <v>1</v>
      </c>
      <c r="G1315" s="68">
        <f>IF(B1315="","",IF( AND(D1315=1, E1315=1),1,0))</f>
        <v>0</v>
      </c>
      <c r="H1315" s="68">
        <f>IF(B1315="","",IF(AND(D1315=1,F1315=1),1,0))</f>
        <v>0</v>
      </c>
      <c r="I1315" s="68">
        <f>IF(B1315="","",IF(AND(E1315=1,F1315=1),1,0))</f>
        <v>1</v>
      </c>
      <c r="J1315" s="74">
        <f>IF(B1315="","",SUM(D1315:F1315))</f>
        <v>2</v>
      </c>
      <c r="K1315" s="62"/>
    </row>
    <row r="1316" spans="1:18" x14ac:dyDescent="0.25">
      <c r="A1316" s="3"/>
      <c r="B1316" s="37" t="s">
        <v>225</v>
      </c>
      <c r="C1316" s="37"/>
      <c r="D1316" s="72">
        <v>1</v>
      </c>
      <c r="E1316" s="72">
        <v>0</v>
      </c>
      <c r="F1316" s="72">
        <v>1</v>
      </c>
      <c r="G1316" s="69">
        <f>IF(B1316="","",IF( AND(D1316=1, E1316=1),1,0))</f>
        <v>0</v>
      </c>
      <c r="H1316" s="69">
        <f>IF(B1316="","",IF(AND(D1316=1,F1316=1),1,0))</f>
        <v>1</v>
      </c>
      <c r="I1316" s="69">
        <f>IF(B1316="","",IF(AND(E1316=1,F1316=1),1,0))</f>
        <v>0</v>
      </c>
      <c r="J1316" s="75">
        <f>IF(B1316="","",SUM(D1316:F1316))</f>
        <v>2</v>
      </c>
      <c r="K1316" s="63"/>
    </row>
    <row r="1317" spans="1:18" x14ac:dyDescent="0.25">
      <c r="A1317" s="2" t="s">
        <v>9</v>
      </c>
      <c r="B1317" s="37" t="s">
        <v>556</v>
      </c>
      <c r="C1317" s="37"/>
      <c r="D1317" s="71">
        <v>1</v>
      </c>
      <c r="E1317" s="71">
        <v>1</v>
      </c>
      <c r="F1317" s="71">
        <v>1</v>
      </c>
      <c r="G1317" s="68">
        <f t="shared" si="672"/>
        <v>1</v>
      </c>
      <c r="H1317" s="68">
        <f t="shared" si="673"/>
        <v>1</v>
      </c>
      <c r="I1317" s="68">
        <f t="shared" si="674"/>
        <v>1</v>
      </c>
      <c r="J1317" s="74">
        <f t="shared" si="670"/>
        <v>3</v>
      </c>
      <c r="K1317" s="62"/>
    </row>
    <row r="1318" spans="1:18" x14ac:dyDescent="0.25">
      <c r="A1318" s="2"/>
      <c r="B1318" s="37"/>
      <c r="C1318" s="37"/>
      <c r="D1318" s="71"/>
      <c r="E1318" s="71"/>
      <c r="F1318" s="71"/>
      <c r="G1318" s="68" t="str">
        <f t="shared" si="672"/>
        <v/>
      </c>
      <c r="H1318" s="68" t="str">
        <f t="shared" si="673"/>
        <v/>
      </c>
      <c r="I1318" s="68" t="str">
        <f t="shared" si="674"/>
        <v/>
      </c>
      <c r="J1318" s="74" t="str">
        <f t="shared" si="670"/>
        <v/>
      </c>
      <c r="K1318" s="62"/>
    </row>
    <row r="1319" spans="1:18" x14ac:dyDescent="0.25">
      <c r="A1319" s="3"/>
      <c r="B1319" s="40"/>
      <c r="C1319" s="40"/>
      <c r="D1319" s="72"/>
      <c r="E1319" s="72"/>
      <c r="F1319" s="72"/>
      <c r="G1319" s="69" t="str">
        <f t="shared" si="672"/>
        <v/>
      </c>
      <c r="H1319" s="69" t="str">
        <f t="shared" si="673"/>
        <v/>
      </c>
      <c r="I1319" s="69" t="str">
        <f t="shared" si="674"/>
        <v/>
      </c>
      <c r="J1319" s="75" t="str">
        <f t="shared" si="670"/>
        <v/>
      </c>
      <c r="K1319" s="63"/>
    </row>
    <row r="1320" spans="1:18" x14ac:dyDescent="0.25">
      <c r="A1320" s="2" t="s">
        <v>1224</v>
      </c>
      <c r="B1320" s="37" t="s">
        <v>1275</v>
      </c>
      <c r="C1320" s="37"/>
      <c r="D1320" s="71">
        <v>1</v>
      </c>
      <c r="E1320" s="71">
        <v>0</v>
      </c>
      <c r="F1320" s="71">
        <v>0</v>
      </c>
      <c r="G1320" s="68">
        <f t="shared" si="672"/>
        <v>0</v>
      </c>
      <c r="H1320" s="68">
        <f t="shared" si="673"/>
        <v>0</v>
      </c>
      <c r="I1320" s="68">
        <f t="shared" si="674"/>
        <v>0</v>
      </c>
      <c r="J1320" s="74">
        <f t="shared" ref="J1320:J1322" si="681">IF(B1320="","",SUM(D1320:F1320))</f>
        <v>1</v>
      </c>
      <c r="K1320" s="62"/>
    </row>
    <row r="1321" spans="1:18" x14ac:dyDescent="0.25">
      <c r="A1321" s="2"/>
      <c r="B1321" s="37" t="s">
        <v>1336</v>
      </c>
      <c r="C1321" s="37"/>
      <c r="D1321" s="71">
        <v>0</v>
      </c>
      <c r="E1321" s="71">
        <v>1</v>
      </c>
      <c r="F1321" s="71">
        <v>0</v>
      </c>
      <c r="G1321" s="68">
        <f t="shared" si="672"/>
        <v>0</v>
      </c>
      <c r="H1321" s="68">
        <f t="shared" si="673"/>
        <v>0</v>
      </c>
      <c r="I1321" s="68">
        <f t="shared" si="674"/>
        <v>0</v>
      </c>
      <c r="J1321" s="74">
        <f t="shared" si="681"/>
        <v>1</v>
      </c>
      <c r="K1321" s="62"/>
    </row>
    <row r="1322" spans="1:18" x14ac:dyDescent="0.25">
      <c r="A1322" s="3"/>
      <c r="B1322" s="40"/>
      <c r="C1322" s="40"/>
      <c r="D1322" s="72"/>
      <c r="E1322" s="72"/>
      <c r="F1322" s="72"/>
      <c r="G1322" s="69" t="str">
        <f t="shared" si="672"/>
        <v/>
      </c>
      <c r="H1322" s="69" t="str">
        <f t="shared" si="673"/>
        <v/>
      </c>
      <c r="I1322" s="69" t="str">
        <f t="shared" si="674"/>
        <v/>
      </c>
      <c r="J1322" s="75" t="str">
        <f t="shared" si="681"/>
        <v/>
      </c>
      <c r="K1322" s="63"/>
    </row>
    <row r="1324" spans="1:18" x14ac:dyDescent="0.25">
      <c r="A1324" s="81">
        <v>67</v>
      </c>
      <c r="B1324" s="49" t="s">
        <v>1183</v>
      </c>
      <c r="C1324" s="31" t="s">
        <v>1461</v>
      </c>
      <c r="D1324" s="76"/>
      <c r="E1324" s="66"/>
      <c r="F1324" s="66"/>
      <c r="G1324" s="66"/>
      <c r="H1324" s="66"/>
      <c r="I1324" s="66"/>
      <c r="J1324" s="60"/>
      <c r="K1324" s="60"/>
    </row>
    <row r="1325" spans="1:18" x14ac:dyDescent="0.25">
      <c r="A1325" s="4" t="s">
        <v>6</v>
      </c>
      <c r="B1325" s="37" t="s">
        <v>794</v>
      </c>
      <c r="C1325" s="37"/>
      <c r="D1325" s="70">
        <v>1</v>
      </c>
      <c r="E1325" s="70">
        <v>1</v>
      </c>
      <c r="F1325" s="70">
        <v>1</v>
      </c>
      <c r="G1325" s="67">
        <f t="shared" ref="G1325:G1342" si="682">IF(B1325="","",IF( AND(D1325=1, E1325=1),1,0))</f>
        <v>1</v>
      </c>
      <c r="H1325" s="67">
        <f t="shared" ref="H1325:H1342" si="683">IF(B1325="","",IF(AND(D1325=1,F1325=1),1,0))</f>
        <v>1</v>
      </c>
      <c r="I1325" s="67">
        <f t="shared" ref="I1325:I1342" si="684">IF(B1325="","",IF(AND(E1325=1,F1325=1),1,0))</f>
        <v>1</v>
      </c>
      <c r="J1325" s="73">
        <f t="shared" ref="J1325" si="685">IF(B1325="","",SUM(D1325:F1325))</f>
        <v>3</v>
      </c>
      <c r="K1325" s="61"/>
      <c r="M1325" s="7">
        <f t="shared" ref="M1325" si="686">SUM(G1325:I1325)/3</f>
        <v>1</v>
      </c>
      <c r="N1325" s="6">
        <f t="shared" ref="N1325" si="687">SUM(G1328:I1328)/3</f>
        <v>1</v>
      </c>
      <c r="O1325" s="7">
        <f t="shared" ref="O1325" si="688">SUM(G1331:I1331)/3</f>
        <v>1</v>
      </c>
      <c r="P1325" s="6">
        <f t="shared" ref="P1325" si="689">SUM(G1334:I1334)/3</f>
        <v>1</v>
      </c>
      <c r="Q1325" s="7">
        <f t="shared" ref="Q1325" si="690">SUM(G1337:I1337)/3</f>
        <v>1</v>
      </c>
      <c r="R1325" s="7">
        <f>SUM(G1340:I1340)/3</f>
        <v>1</v>
      </c>
    </row>
    <row r="1326" spans="1:18" x14ac:dyDescent="0.25">
      <c r="A1326" s="2"/>
      <c r="B1326" s="33" t="s">
        <v>494</v>
      </c>
      <c r="C1326" s="37"/>
      <c r="D1326" s="71">
        <v>1</v>
      </c>
      <c r="E1326" s="71">
        <v>1</v>
      </c>
      <c r="F1326" s="71">
        <v>0</v>
      </c>
      <c r="G1326" s="68">
        <f t="shared" si="682"/>
        <v>1</v>
      </c>
      <c r="H1326" s="68">
        <f t="shared" si="683"/>
        <v>0</v>
      </c>
      <c r="I1326" s="68">
        <f t="shared" si="684"/>
        <v>0</v>
      </c>
      <c r="J1326" s="74">
        <f t="shared" si="670"/>
        <v>2</v>
      </c>
      <c r="K1326" s="62"/>
    </row>
    <row r="1327" spans="1:18" x14ac:dyDescent="0.25">
      <c r="A1327" s="3"/>
      <c r="B1327" s="42"/>
      <c r="C1327" s="42"/>
      <c r="D1327" s="72"/>
      <c r="E1327" s="72"/>
      <c r="F1327" s="72"/>
      <c r="G1327" s="69" t="str">
        <f t="shared" si="682"/>
        <v/>
      </c>
      <c r="H1327" s="69" t="str">
        <f t="shared" si="683"/>
        <v/>
      </c>
      <c r="I1327" s="69" t="str">
        <f t="shared" si="684"/>
        <v/>
      </c>
      <c r="J1327" s="75" t="str">
        <f t="shared" si="670"/>
        <v/>
      </c>
      <c r="K1327" s="63"/>
    </row>
    <row r="1328" spans="1:18" x14ac:dyDescent="0.25">
      <c r="A1328" s="4" t="s">
        <v>5</v>
      </c>
      <c r="B1328" s="33">
        <v>2016</v>
      </c>
      <c r="C1328" s="33"/>
      <c r="D1328" s="70">
        <v>1</v>
      </c>
      <c r="E1328" s="70">
        <v>1</v>
      </c>
      <c r="F1328" s="70">
        <v>1</v>
      </c>
      <c r="G1328" s="67">
        <f t="shared" si="682"/>
        <v>1</v>
      </c>
      <c r="H1328" s="67">
        <f t="shared" si="683"/>
        <v>1</v>
      </c>
      <c r="I1328" s="67">
        <f t="shared" si="684"/>
        <v>1</v>
      </c>
      <c r="J1328" s="73">
        <f t="shared" si="670"/>
        <v>3</v>
      </c>
      <c r="K1328" s="61"/>
    </row>
    <row r="1329" spans="1:11" x14ac:dyDescent="0.25">
      <c r="A1329" s="2"/>
      <c r="B1329" s="37"/>
      <c r="C1329" s="37"/>
      <c r="D1329" s="71"/>
      <c r="E1329" s="71"/>
      <c r="F1329" s="71"/>
      <c r="G1329" s="68" t="str">
        <f t="shared" si="682"/>
        <v/>
      </c>
      <c r="H1329" s="68" t="str">
        <f t="shared" si="683"/>
        <v/>
      </c>
      <c r="I1329" s="68" t="str">
        <f t="shared" si="684"/>
        <v/>
      </c>
      <c r="J1329" s="74" t="str">
        <f t="shared" si="670"/>
        <v/>
      </c>
      <c r="K1329" s="62"/>
    </row>
    <row r="1330" spans="1:11" x14ac:dyDescent="0.25">
      <c r="A1330" s="3"/>
      <c r="B1330" s="40"/>
      <c r="C1330" s="37"/>
      <c r="D1330" s="71"/>
      <c r="E1330" s="71"/>
      <c r="F1330" s="71"/>
      <c r="G1330" s="69" t="str">
        <f t="shared" si="682"/>
        <v/>
      </c>
      <c r="H1330" s="69" t="str">
        <f t="shared" si="683"/>
        <v/>
      </c>
      <c r="I1330" s="69" t="str">
        <f t="shared" si="684"/>
        <v/>
      </c>
      <c r="J1330" s="75" t="str">
        <f t="shared" si="670"/>
        <v/>
      </c>
      <c r="K1330" s="63"/>
    </row>
    <row r="1331" spans="1:11" x14ac:dyDescent="0.25">
      <c r="A1331" s="4" t="s">
        <v>7</v>
      </c>
      <c r="B1331" s="33" t="s">
        <v>223</v>
      </c>
      <c r="C1331" s="33"/>
      <c r="D1331" s="70">
        <v>1</v>
      </c>
      <c r="E1331" s="70">
        <v>1</v>
      </c>
      <c r="F1331" s="70">
        <v>1</v>
      </c>
      <c r="G1331" s="67">
        <f t="shared" si="682"/>
        <v>1</v>
      </c>
      <c r="H1331" s="67">
        <f t="shared" si="683"/>
        <v>1</v>
      </c>
      <c r="I1331" s="67">
        <f t="shared" si="684"/>
        <v>1</v>
      </c>
      <c r="J1331" s="73">
        <f t="shared" si="670"/>
        <v>3</v>
      </c>
      <c r="K1331" s="61"/>
    </row>
    <row r="1332" spans="1:11" x14ac:dyDescent="0.25">
      <c r="A1332" s="2"/>
      <c r="B1332" s="37"/>
      <c r="C1332" s="37"/>
      <c r="D1332" s="71"/>
      <c r="E1332" s="71"/>
      <c r="F1332" s="71"/>
      <c r="G1332" s="68" t="str">
        <f t="shared" si="682"/>
        <v/>
      </c>
      <c r="H1332" s="68" t="str">
        <f t="shared" si="683"/>
        <v/>
      </c>
      <c r="I1332" s="68" t="str">
        <f t="shared" si="684"/>
        <v/>
      </c>
      <c r="J1332" s="74" t="str">
        <f t="shared" si="670"/>
        <v/>
      </c>
      <c r="K1332" s="62"/>
    </row>
    <row r="1333" spans="1:11" x14ac:dyDescent="0.25">
      <c r="A1333" s="3"/>
      <c r="B1333" s="40"/>
      <c r="C1333" s="40"/>
      <c r="D1333" s="72"/>
      <c r="E1333" s="72"/>
      <c r="F1333" s="72"/>
      <c r="G1333" s="69" t="str">
        <f t="shared" si="682"/>
        <v/>
      </c>
      <c r="H1333" s="69" t="str">
        <f t="shared" si="683"/>
        <v/>
      </c>
      <c r="I1333" s="69" t="str">
        <f t="shared" si="684"/>
        <v/>
      </c>
      <c r="J1333" s="75" t="str">
        <f t="shared" si="670"/>
        <v/>
      </c>
      <c r="K1333" s="63"/>
    </row>
    <row r="1334" spans="1:11" x14ac:dyDescent="0.25">
      <c r="A1334" s="4" t="s">
        <v>8</v>
      </c>
      <c r="B1334" s="37" t="s">
        <v>159</v>
      </c>
      <c r="C1334" s="37"/>
      <c r="D1334" s="70">
        <v>1</v>
      </c>
      <c r="E1334" s="70">
        <v>1</v>
      </c>
      <c r="F1334" s="70">
        <v>1</v>
      </c>
      <c r="G1334" s="67">
        <f t="shared" si="682"/>
        <v>1</v>
      </c>
      <c r="H1334" s="67">
        <f t="shared" si="683"/>
        <v>1</v>
      </c>
      <c r="I1334" s="67">
        <f t="shared" si="684"/>
        <v>1</v>
      </c>
      <c r="J1334" s="73">
        <f t="shared" si="670"/>
        <v>3</v>
      </c>
      <c r="K1334" s="61"/>
    </row>
    <row r="1335" spans="1:11" x14ac:dyDescent="0.25">
      <c r="A1335" s="2"/>
      <c r="B1335" s="37" t="s">
        <v>239</v>
      </c>
      <c r="C1335" s="37"/>
      <c r="D1335" s="71">
        <v>0</v>
      </c>
      <c r="E1335" s="71">
        <v>1</v>
      </c>
      <c r="F1335" s="71">
        <v>1</v>
      </c>
      <c r="G1335" s="68">
        <f t="shared" si="682"/>
        <v>0</v>
      </c>
      <c r="H1335" s="68">
        <f t="shared" si="683"/>
        <v>0</v>
      </c>
      <c r="I1335" s="68">
        <f t="shared" si="684"/>
        <v>1</v>
      </c>
      <c r="J1335" s="74">
        <f t="shared" si="670"/>
        <v>2</v>
      </c>
      <c r="K1335" s="62"/>
    </row>
    <row r="1336" spans="1:11" x14ac:dyDescent="0.25">
      <c r="A1336" s="3"/>
      <c r="B1336" s="37" t="s">
        <v>559</v>
      </c>
      <c r="C1336" s="37"/>
      <c r="D1336" s="72">
        <v>1</v>
      </c>
      <c r="E1336" s="72">
        <v>0</v>
      </c>
      <c r="F1336" s="72">
        <v>1</v>
      </c>
      <c r="G1336" s="69">
        <f t="shared" si="682"/>
        <v>0</v>
      </c>
      <c r="H1336" s="69">
        <f t="shared" si="683"/>
        <v>1</v>
      </c>
      <c r="I1336" s="69">
        <f t="shared" si="684"/>
        <v>0</v>
      </c>
      <c r="J1336" s="75">
        <f t="shared" si="670"/>
        <v>2</v>
      </c>
      <c r="K1336" s="63"/>
    </row>
    <row r="1337" spans="1:11" x14ac:dyDescent="0.25">
      <c r="A1337" s="2" t="s">
        <v>9</v>
      </c>
      <c r="B1337" s="37" t="s">
        <v>1070</v>
      </c>
      <c r="C1337" s="37"/>
      <c r="D1337" s="71">
        <v>1</v>
      </c>
      <c r="E1337" s="71">
        <v>1</v>
      </c>
      <c r="F1337" s="71">
        <v>1</v>
      </c>
      <c r="G1337" s="68">
        <f t="shared" si="682"/>
        <v>1</v>
      </c>
      <c r="H1337" s="68">
        <f t="shared" si="683"/>
        <v>1</v>
      </c>
      <c r="I1337" s="68">
        <f t="shared" si="684"/>
        <v>1</v>
      </c>
      <c r="J1337" s="74">
        <f t="shared" si="670"/>
        <v>3</v>
      </c>
      <c r="K1337" s="62"/>
    </row>
    <row r="1338" spans="1:11" x14ac:dyDescent="0.25">
      <c r="A1338" s="2"/>
      <c r="B1338" s="37"/>
      <c r="C1338" s="37"/>
      <c r="D1338" s="71"/>
      <c r="E1338" s="71"/>
      <c r="F1338" s="71"/>
      <c r="G1338" s="68" t="str">
        <f t="shared" si="682"/>
        <v/>
      </c>
      <c r="H1338" s="68" t="str">
        <f t="shared" si="683"/>
        <v/>
      </c>
      <c r="I1338" s="68" t="str">
        <f t="shared" si="684"/>
        <v/>
      </c>
      <c r="J1338" s="74" t="str">
        <f t="shared" si="670"/>
        <v/>
      </c>
      <c r="K1338" s="62"/>
    </row>
    <row r="1339" spans="1:11" x14ac:dyDescent="0.25">
      <c r="A1339" s="3"/>
      <c r="B1339" s="40"/>
      <c r="C1339" s="40"/>
      <c r="D1339" s="72"/>
      <c r="E1339" s="72"/>
      <c r="F1339" s="72"/>
      <c r="G1339" s="69" t="str">
        <f t="shared" si="682"/>
        <v/>
      </c>
      <c r="H1339" s="69" t="str">
        <f t="shared" si="683"/>
        <v/>
      </c>
      <c r="I1339" s="69" t="str">
        <f t="shared" si="684"/>
        <v/>
      </c>
      <c r="J1339" s="75" t="str">
        <f t="shared" si="670"/>
        <v/>
      </c>
      <c r="K1339" s="63"/>
    </row>
    <row r="1340" spans="1:11" x14ac:dyDescent="0.25">
      <c r="A1340" s="2" t="s">
        <v>1224</v>
      </c>
      <c r="B1340" s="39" t="s">
        <v>1387</v>
      </c>
      <c r="C1340" s="39"/>
      <c r="D1340" s="71">
        <v>1</v>
      </c>
      <c r="E1340" s="71">
        <v>1</v>
      </c>
      <c r="F1340" s="71">
        <v>1</v>
      </c>
      <c r="G1340" s="68">
        <f t="shared" si="682"/>
        <v>1</v>
      </c>
      <c r="H1340" s="68">
        <f t="shared" si="683"/>
        <v>1</v>
      </c>
      <c r="I1340" s="68">
        <f t="shared" si="684"/>
        <v>1</v>
      </c>
      <c r="J1340" s="74">
        <f t="shared" ref="J1340:J1342" si="691">IF(B1340="","",SUM(D1340:F1340))</f>
        <v>3</v>
      </c>
      <c r="K1340" s="62"/>
    </row>
    <row r="1341" spans="1:11" x14ac:dyDescent="0.25">
      <c r="A1341" s="2"/>
      <c r="B1341" s="37"/>
      <c r="C1341" s="37"/>
      <c r="D1341" s="71"/>
      <c r="E1341" s="71"/>
      <c r="F1341" s="71"/>
      <c r="G1341" s="68" t="str">
        <f t="shared" si="682"/>
        <v/>
      </c>
      <c r="H1341" s="68" t="str">
        <f t="shared" si="683"/>
        <v/>
      </c>
      <c r="I1341" s="68" t="str">
        <f t="shared" si="684"/>
        <v/>
      </c>
      <c r="J1341" s="74" t="str">
        <f t="shared" si="691"/>
        <v/>
      </c>
      <c r="K1341" s="62"/>
    </row>
    <row r="1342" spans="1:11" x14ac:dyDescent="0.25">
      <c r="A1342" s="3"/>
      <c r="B1342" s="40"/>
      <c r="C1342" s="40"/>
      <c r="D1342" s="72"/>
      <c r="E1342" s="72"/>
      <c r="F1342" s="72"/>
      <c r="G1342" s="69" t="str">
        <f t="shared" si="682"/>
        <v/>
      </c>
      <c r="H1342" s="69" t="str">
        <f t="shared" si="683"/>
        <v/>
      </c>
      <c r="I1342" s="69" t="str">
        <f t="shared" si="684"/>
        <v/>
      </c>
      <c r="J1342" s="75" t="str">
        <f t="shared" si="691"/>
        <v/>
      </c>
      <c r="K1342" s="63"/>
    </row>
    <row r="1344" spans="1:11" x14ac:dyDescent="0.25">
      <c r="A1344" s="81">
        <v>68</v>
      </c>
      <c r="B1344" s="49" t="s">
        <v>1184</v>
      </c>
      <c r="C1344" s="31" t="s">
        <v>1462</v>
      </c>
      <c r="D1344" s="76"/>
      <c r="E1344" s="66"/>
      <c r="F1344" s="66"/>
      <c r="G1344" s="66"/>
      <c r="H1344" s="66"/>
      <c r="I1344" s="66"/>
      <c r="J1344" s="60"/>
      <c r="K1344" s="60"/>
    </row>
    <row r="1345" spans="1:18" x14ac:dyDescent="0.25">
      <c r="A1345" s="4" t="s">
        <v>6</v>
      </c>
      <c r="B1345" s="37" t="s">
        <v>562</v>
      </c>
      <c r="C1345" s="37"/>
      <c r="D1345" s="70">
        <v>1</v>
      </c>
      <c r="E1345" s="70">
        <v>1</v>
      </c>
      <c r="F1345" s="70">
        <v>1</v>
      </c>
      <c r="G1345" s="67">
        <f t="shared" ref="G1345:G1362" si="692">IF(B1345="","",IF( AND(D1345=1, E1345=1),1,0))</f>
        <v>1</v>
      </c>
      <c r="H1345" s="67">
        <f t="shared" ref="H1345:H1362" si="693">IF(B1345="","",IF(AND(D1345=1,F1345=1),1,0))</f>
        <v>1</v>
      </c>
      <c r="I1345" s="67">
        <f t="shared" ref="I1345:I1362" si="694">IF(B1345="","",IF(AND(E1345=1,F1345=1),1,0))</f>
        <v>1</v>
      </c>
      <c r="J1345" s="73">
        <f t="shared" ref="J1345" si="695">IF(B1345="","",SUM(D1345:F1345))</f>
        <v>3</v>
      </c>
      <c r="K1345" s="61"/>
      <c r="M1345" s="7">
        <f t="shared" ref="M1345" si="696">SUM(G1345:I1345)/3</f>
        <v>1</v>
      </c>
      <c r="N1345" s="6">
        <f t="shared" ref="N1345" si="697">SUM(G1348:I1348)/3</f>
        <v>1</v>
      </c>
      <c r="O1345" s="7">
        <f t="shared" ref="O1345" si="698">SUM(G1351:I1351)/3</f>
        <v>1</v>
      </c>
      <c r="P1345" s="6">
        <f t="shared" ref="P1345" si="699">SUM(G1354:I1354)/3</f>
        <v>1</v>
      </c>
      <c r="Q1345" s="7">
        <f t="shared" ref="Q1345" si="700">SUM(G1357:I1357)/3</f>
        <v>1</v>
      </c>
      <c r="R1345" s="7">
        <f>SUM(G1360:I1360)/3</f>
        <v>0.33333333333333331</v>
      </c>
    </row>
    <row r="1346" spans="1:18" x14ac:dyDescent="0.25">
      <c r="A1346" s="2"/>
      <c r="B1346" s="37"/>
      <c r="C1346" s="37"/>
      <c r="D1346" s="71"/>
      <c r="E1346" s="71"/>
      <c r="F1346" s="71"/>
      <c r="G1346" s="68" t="str">
        <f t="shared" si="692"/>
        <v/>
      </c>
      <c r="H1346" s="68" t="str">
        <f t="shared" si="693"/>
        <v/>
      </c>
      <c r="I1346" s="68" t="str">
        <f t="shared" si="694"/>
        <v/>
      </c>
      <c r="J1346" s="74" t="str">
        <f t="shared" si="670"/>
        <v/>
      </c>
      <c r="K1346" s="62"/>
    </row>
    <row r="1347" spans="1:18" x14ac:dyDescent="0.25">
      <c r="A1347" s="3"/>
      <c r="B1347" s="42"/>
      <c r="C1347" s="42"/>
      <c r="D1347" s="72"/>
      <c r="E1347" s="72"/>
      <c r="F1347" s="72"/>
      <c r="G1347" s="69" t="str">
        <f t="shared" si="692"/>
        <v/>
      </c>
      <c r="H1347" s="69" t="str">
        <f t="shared" si="693"/>
        <v/>
      </c>
      <c r="I1347" s="69" t="str">
        <f t="shared" si="694"/>
        <v/>
      </c>
      <c r="J1347" s="75" t="str">
        <f t="shared" si="670"/>
        <v/>
      </c>
      <c r="K1347" s="63"/>
    </row>
    <row r="1348" spans="1:18" x14ac:dyDescent="0.25">
      <c r="A1348" s="4" t="s">
        <v>5</v>
      </c>
      <c r="B1348" s="33" t="s">
        <v>265</v>
      </c>
      <c r="C1348" s="33"/>
      <c r="D1348" s="70">
        <v>1</v>
      </c>
      <c r="E1348" s="70">
        <v>1</v>
      </c>
      <c r="F1348" s="70">
        <v>1</v>
      </c>
      <c r="G1348" s="67">
        <f t="shared" si="692"/>
        <v>1</v>
      </c>
      <c r="H1348" s="67">
        <f t="shared" si="693"/>
        <v>1</v>
      </c>
      <c r="I1348" s="67">
        <f t="shared" si="694"/>
        <v>1</v>
      </c>
      <c r="J1348" s="73">
        <f t="shared" si="670"/>
        <v>3</v>
      </c>
      <c r="K1348" s="61"/>
    </row>
    <row r="1349" spans="1:18" x14ac:dyDescent="0.25">
      <c r="A1349" s="2"/>
      <c r="B1349" s="37"/>
      <c r="C1349" s="37"/>
      <c r="D1349" s="71"/>
      <c r="E1349" s="71"/>
      <c r="F1349" s="71"/>
      <c r="G1349" s="68" t="str">
        <f t="shared" si="692"/>
        <v/>
      </c>
      <c r="H1349" s="68" t="str">
        <f t="shared" si="693"/>
        <v/>
      </c>
      <c r="I1349" s="68" t="str">
        <f t="shared" si="694"/>
        <v/>
      </c>
      <c r="J1349" s="74" t="str">
        <f t="shared" si="670"/>
        <v/>
      </c>
      <c r="K1349" s="62"/>
    </row>
    <row r="1350" spans="1:18" x14ac:dyDescent="0.25">
      <c r="A1350" s="3"/>
      <c r="B1350" s="40"/>
      <c r="C1350" s="37"/>
      <c r="D1350" s="71"/>
      <c r="E1350" s="71"/>
      <c r="F1350" s="71"/>
      <c r="G1350" s="69" t="str">
        <f t="shared" si="692"/>
        <v/>
      </c>
      <c r="H1350" s="69" t="str">
        <f t="shared" si="693"/>
        <v/>
      </c>
      <c r="I1350" s="69" t="str">
        <f t="shared" si="694"/>
        <v/>
      </c>
      <c r="J1350" s="75" t="str">
        <f t="shared" si="670"/>
        <v/>
      </c>
      <c r="K1350" s="63"/>
    </row>
    <row r="1351" spans="1:18" x14ac:dyDescent="0.25">
      <c r="A1351" s="4" t="s">
        <v>7</v>
      </c>
      <c r="B1351" s="33" t="s">
        <v>1105</v>
      </c>
      <c r="C1351" s="33"/>
      <c r="D1351" s="70">
        <v>1</v>
      </c>
      <c r="E1351" s="70">
        <v>1</v>
      </c>
      <c r="F1351" s="70">
        <v>1</v>
      </c>
      <c r="G1351" s="67">
        <f t="shared" si="692"/>
        <v>1</v>
      </c>
      <c r="H1351" s="67">
        <f t="shared" si="693"/>
        <v>1</v>
      </c>
      <c r="I1351" s="67">
        <f t="shared" si="694"/>
        <v>1</v>
      </c>
      <c r="J1351" s="73">
        <f t="shared" si="670"/>
        <v>3</v>
      </c>
      <c r="K1351" s="61"/>
    </row>
    <row r="1352" spans="1:18" x14ac:dyDescent="0.25">
      <c r="A1352" s="2"/>
      <c r="B1352" s="37"/>
      <c r="C1352" s="37"/>
      <c r="D1352" s="71"/>
      <c r="E1352" s="71"/>
      <c r="F1352" s="71"/>
      <c r="G1352" s="68" t="str">
        <f t="shared" si="692"/>
        <v/>
      </c>
      <c r="H1352" s="68" t="str">
        <f t="shared" si="693"/>
        <v/>
      </c>
      <c r="I1352" s="68" t="str">
        <f t="shared" si="694"/>
        <v/>
      </c>
      <c r="J1352" s="74" t="str">
        <f t="shared" si="670"/>
        <v/>
      </c>
      <c r="K1352" s="62"/>
    </row>
    <row r="1353" spans="1:18" x14ac:dyDescent="0.25">
      <c r="A1353" s="3"/>
      <c r="B1353" s="40"/>
      <c r="C1353" s="40"/>
      <c r="D1353" s="72"/>
      <c r="E1353" s="72"/>
      <c r="F1353" s="72"/>
      <c r="G1353" s="69" t="str">
        <f t="shared" si="692"/>
        <v/>
      </c>
      <c r="H1353" s="69" t="str">
        <f t="shared" si="693"/>
        <v/>
      </c>
      <c r="I1353" s="69" t="str">
        <f t="shared" si="694"/>
        <v/>
      </c>
      <c r="J1353" s="75" t="str">
        <f t="shared" si="670"/>
        <v/>
      </c>
      <c r="K1353" s="63"/>
    </row>
    <row r="1354" spans="1:18" x14ac:dyDescent="0.25">
      <c r="A1354" s="4" t="s">
        <v>8</v>
      </c>
      <c r="B1354" s="37" t="s">
        <v>498</v>
      </c>
      <c r="C1354" s="37"/>
      <c r="D1354" s="70">
        <v>1</v>
      </c>
      <c r="E1354" s="70">
        <v>1</v>
      </c>
      <c r="F1354" s="70">
        <v>1</v>
      </c>
      <c r="G1354" s="67">
        <f t="shared" si="692"/>
        <v>1</v>
      </c>
      <c r="H1354" s="67">
        <f t="shared" si="693"/>
        <v>1</v>
      </c>
      <c r="I1354" s="67">
        <f t="shared" si="694"/>
        <v>1</v>
      </c>
      <c r="J1354" s="73">
        <f t="shared" si="670"/>
        <v>3</v>
      </c>
      <c r="K1354" s="61"/>
    </row>
    <row r="1355" spans="1:18" x14ac:dyDescent="0.25">
      <c r="A1355" s="2"/>
      <c r="B1355" s="35" t="s">
        <v>159</v>
      </c>
      <c r="C1355" s="39"/>
      <c r="D1355" s="71">
        <v>1</v>
      </c>
      <c r="E1355" s="71">
        <v>0</v>
      </c>
      <c r="F1355" s="71">
        <v>1</v>
      </c>
      <c r="G1355" s="68">
        <f t="shared" si="692"/>
        <v>0</v>
      </c>
      <c r="H1355" s="68">
        <f t="shared" si="693"/>
        <v>1</v>
      </c>
      <c r="I1355" s="68">
        <f t="shared" si="694"/>
        <v>0</v>
      </c>
      <c r="J1355" s="74">
        <f t="shared" si="670"/>
        <v>2</v>
      </c>
      <c r="K1355" s="62"/>
    </row>
    <row r="1356" spans="1:18" x14ac:dyDescent="0.25">
      <c r="A1356" s="3"/>
      <c r="B1356" s="42" t="s">
        <v>225</v>
      </c>
      <c r="C1356" s="42"/>
      <c r="D1356" s="72">
        <v>1</v>
      </c>
      <c r="E1356" s="72">
        <v>0</v>
      </c>
      <c r="F1356" s="72">
        <v>1</v>
      </c>
      <c r="G1356" s="69">
        <f t="shared" si="692"/>
        <v>0</v>
      </c>
      <c r="H1356" s="69">
        <f t="shared" si="693"/>
        <v>1</v>
      </c>
      <c r="I1356" s="69">
        <f t="shared" si="694"/>
        <v>0</v>
      </c>
      <c r="J1356" s="75">
        <f t="shared" si="670"/>
        <v>2</v>
      </c>
      <c r="K1356" s="63"/>
    </row>
    <row r="1357" spans="1:18" x14ac:dyDescent="0.25">
      <c r="A1357" s="2" t="s">
        <v>9</v>
      </c>
      <c r="B1357" s="37" t="s">
        <v>499</v>
      </c>
      <c r="C1357" s="37"/>
      <c r="D1357" s="71">
        <v>1</v>
      </c>
      <c r="E1357" s="71">
        <v>1</v>
      </c>
      <c r="F1357" s="71">
        <v>1</v>
      </c>
      <c r="G1357" s="68">
        <f t="shared" si="692"/>
        <v>1</v>
      </c>
      <c r="H1357" s="68">
        <f t="shared" si="693"/>
        <v>1</v>
      </c>
      <c r="I1357" s="68">
        <f t="shared" si="694"/>
        <v>1</v>
      </c>
      <c r="J1357" s="74">
        <f t="shared" si="670"/>
        <v>3</v>
      </c>
      <c r="K1357" s="62"/>
    </row>
    <row r="1358" spans="1:18" x14ac:dyDescent="0.25">
      <c r="A1358" s="2"/>
      <c r="B1358" s="37" t="s">
        <v>563</v>
      </c>
      <c r="C1358" s="37"/>
      <c r="D1358" s="71">
        <v>1</v>
      </c>
      <c r="E1358" s="71">
        <v>0</v>
      </c>
      <c r="F1358" s="71">
        <v>1</v>
      </c>
      <c r="G1358" s="68">
        <f t="shared" si="692"/>
        <v>0</v>
      </c>
      <c r="H1358" s="68">
        <f t="shared" si="693"/>
        <v>1</v>
      </c>
      <c r="I1358" s="68">
        <f t="shared" si="694"/>
        <v>0</v>
      </c>
      <c r="J1358" s="74">
        <f t="shared" si="670"/>
        <v>2</v>
      </c>
      <c r="K1358" s="62"/>
    </row>
    <row r="1359" spans="1:18" x14ac:dyDescent="0.25">
      <c r="A1359" s="3"/>
      <c r="B1359" s="40"/>
      <c r="C1359" s="40"/>
      <c r="D1359" s="72"/>
      <c r="E1359" s="72"/>
      <c r="F1359" s="72"/>
      <c r="G1359" s="69" t="str">
        <f t="shared" si="692"/>
        <v/>
      </c>
      <c r="H1359" s="69" t="str">
        <f t="shared" si="693"/>
        <v/>
      </c>
      <c r="I1359" s="69" t="str">
        <f t="shared" si="694"/>
        <v/>
      </c>
      <c r="J1359" s="75" t="str">
        <f t="shared" si="670"/>
        <v/>
      </c>
      <c r="K1359" s="63"/>
    </row>
    <row r="1360" spans="1:18" x14ac:dyDescent="0.25">
      <c r="A1360" s="2" t="s">
        <v>1224</v>
      </c>
      <c r="B1360" s="37" t="s">
        <v>1276</v>
      </c>
      <c r="C1360" s="37"/>
      <c r="D1360" s="71">
        <v>1</v>
      </c>
      <c r="E1360" s="71">
        <v>1</v>
      </c>
      <c r="F1360" s="71">
        <v>0</v>
      </c>
      <c r="G1360" s="68">
        <f t="shared" si="692"/>
        <v>1</v>
      </c>
      <c r="H1360" s="68">
        <f t="shared" si="693"/>
        <v>0</v>
      </c>
      <c r="I1360" s="68">
        <f t="shared" si="694"/>
        <v>0</v>
      </c>
      <c r="J1360" s="74">
        <f t="shared" ref="J1360:J1362" si="701">IF(B1360="","",SUM(D1360:F1360))</f>
        <v>2</v>
      </c>
      <c r="K1360" s="62"/>
    </row>
    <row r="1361" spans="1:18" x14ac:dyDescent="0.25">
      <c r="A1361" s="2"/>
      <c r="B1361" s="33" t="s">
        <v>221</v>
      </c>
      <c r="C1361" s="37"/>
      <c r="D1361" s="71">
        <v>0</v>
      </c>
      <c r="E1361" s="71">
        <v>0</v>
      </c>
      <c r="F1361" s="71">
        <v>1</v>
      </c>
      <c r="G1361" s="68">
        <f t="shared" si="692"/>
        <v>0</v>
      </c>
      <c r="H1361" s="68">
        <f t="shared" si="693"/>
        <v>0</v>
      </c>
      <c r="I1361" s="68">
        <f t="shared" si="694"/>
        <v>0</v>
      </c>
      <c r="J1361" s="74">
        <f t="shared" si="701"/>
        <v>1</v>
      </c>
      <c r="K1361" s="62"/>
    </row>
    <row r="1362" spans="1:18" x14ac:dyDescent="0.25">
      <c r="A1362" s="3"/>
      <c r="B1362" s="40"/>
      <c r="C1362" s="40"/>
      <c r="D1362" s="72"/>
      <c r="E1362" s="72"/>
      <c r="F1362" s="72"/>
      <c r="G1362" s="69" t="str">
        <f t="shared" si="692"/>
        <v/>
      </c>
      <c r="H1362" s="69" t="str">
        <f t="shared" si="693"/>
        <v/>
      </c>
      <c r="I1362" s="69" t="str">
        <f t="shared" si="694"/>
        <v/>
      </c>
      <c r="J1362" s="75" t="str">
        <f t="shared" si="701"/>
        <v/>
      </c>
      <c r="K1362" s="63"/>
    </row>
    <row r="1364" spans="1:18" x14ac:dyDescent="0.25">
      <c r="A1364" s="81">
        <v>69</v>
      </c>
      <c r="B1364" s="49" t="s">
        <v>1185</v>
      </c>
      <c r="C1364" s="31" t="s">
        <v>1463</v>
      </c>
      <c r="D1364" s="76"/>
      <c r="E1364" s="66"/>
      <c r="F1364" s="66"/>
      <c r="G1364" s="66"/>
      <c r="H1364" s="66"/>
      <c r="I1364" s="66"/>
      <c r="J1364" s="60"/>
      <c r="K1364" s="60"/>
    </row>
    <row r="1365" spans="1:18" x14ac:dyDescent="0.25">
      <c r="A1365" s="4" t="s">
        <v>6</v>
      </c>
      <c r="B1365" s="37" t="s">
        <v>500</v>
      </c>
      <c r="C1365" s="37"/>
      <c r="D1365" s="70">
        <v>0</v>
      </c>
      <c r="E1365" s="70">
        <v>1</v>
      </c>
      <c r="F1365" s="70">
        <v>1</v>
      </c>
      <c r="G1365" s="67">
        <f t="shared" ref="G1365:G1382" si="702">IF(B1365="","",IF( AND(D1365=1, E1365=1),1,0))</f>
        <v>0</v>
      </c>
      <c r="H1365" s="67">
        <f t="shared" ref="H1365:H1382" si="703">IF(B1365="","",IF(AND(D1365=1,F1365=1),1,0))</f>
        <v>0</v>
      </c>
      <c r="I1365" s="67">
        <f t="shared" ref="I1365:I1382" si="704">IF(B1365="","",IF(AND(E1365=1,F1365=1),1,0))</f>
        <v>1</v>
      </c>
      <c r="J1365" s="73">
        <f t="shared" ref="J1365" si="705">IF(B1365="","",SUM(D1365:F1365))</f>
        <v>2</v>
      </c>
      <c r="K1365" s="61"/>
      <c r="M1365" s="7">
        <f t="shared" ref="M1365" si="706">SUM(G1365:I1365)/3</f>
        <v>0.33333333333333331</v>
      </c>
      <c r="N1365" s="6">
        <f t="shared" ref="N1365" si="707">SUM(G1368:I1368)/3</f>
        <v>1</v>
      </c>
      <c r="O1365" s="7">
        <f t="shared" ref="O1365" si="708">SUM(G1371:I1371)/3</f>
        <v>1</v>
      </c>
      <c r="P1365" s="6">
        <f t="shared" ref="P1365" si="709">SUM(G1374:I1374)/3</f>
        <v>0.33333333333333331</v>
      </c>
      <c r="Q1365" s="7">
        <f t="shared" ref="Q1365" si="710">SUM(G1377:I1377)/3</f>
        <v>0.33333333333333331</v>
      </c>
      <c r="R1365" s="7">
        <f>SUM(G1380:I1380)/3</f>
        <v>1</v>
      </c>
    </row>
    <row r="1366" spans="1:18" x14ac:dyDescent="0.25">
      <c r="A1366" s="2"/>
      <c r="B1366" s="37"/>
      <c r="C1366" s="37"/>
      <c r="D1366" s="71"/>
      <c r="E1366" s="71"/>
      <c r="F1366" s="71"/>
      <c r="G1366" s="68" t="str">
        <f t="shared" si="702"/>
        <v/>
      </c>
      <c r="H1366" s="68" t="str">
        <f t="shared" si="703"/>
        <v/>
      </c>
      <c r="I1366" s="68" t="str">
        <f t="shared" si="704"/>
        <v/>
      </c>
      <c r="J1366" s="74" t="str">
        <f t="shared" si="670"/>
        <v/>
      </c>
      <c r="K1366" s="62"/>
    </row>
    <row r="1367" spans="1:18" x14ac:dyDescent="0.25">
      <c r="A1367" s="3"/>
      <c r="B1367" s="42"/>
      <c r="C1367" s="42"/>
      <c r="D1367" s="72"/>
      <c r="E1367" s="72"/>
      <c r="F1367" s="72"/>
      <c r="G1367" s="69" t="str">
        <f t="shared" si="702"/>
        <v/>
      </c>
      <c r="H1367" s="69" t="str">
        <f t="shared" si="703"/>
        <v/>
      </c>
      <c r="I1367" s="69" t="str">
        <f t="shared" si="704"/>
        <v/>
      </c>
      <c r="J1367" s="75" t="str">
        <f t="shared" si="670"/>
        <v/>
      </c>
      <c r="K1367" s="63"/>
    </row>
    <row r="1368" spans="1:18" x14ac:dyDescent="0.25">
      <c r="A1368" s="4" t="s">
        <v>5</v>
      </c>
      <c r="B1368" s="33" t="s">
        <v>265</v>
      </c>
      <c r="C1368" s="33"/>
      <c r="D1368" s="70">
        <v>1</v>
      </c>
      <c r="E1368" s="70">
        <v>1</v>
      </c>
      <c r="F1368" s="70">
        <v>1</v>
      </c>
      <c r="G1368" s="67">
        <f t="shared" si="702"/>
        <v>1</v>
      </c>
      <c r="H1368" s="67">
        <f t="shared" si="703"/>
        <v>1</v>
      </c>
      <c r="I1368" s="67">
        <f t="shared" si="704"/>
        <v>1</v>
      </c>
      <c r="J1368" s="73">
        <f t="shared" si="670"/>
        <v>3</v>
      </c>
      <c r="K1368" s="61"/>
    </row>
    <row r="1369" spans="1:18" x14ac:dyDescent="0.25">
      <c r="A1369" s="2"/>
      <c r="B1369" s="37"/>
      <c r="C1369" s="37"/>
      <c r="D1369" s="71"/>
      <c r="E1369" s="71"/>
      <c r="F1369" s="71"/>
      <c r="G1369" s="68" t="str">
        <f t="shared" si="702"/>
        <v/>
      </c>
      <c r="H1369" s="68" t="str">
        <f t="shared" si="703"/>
        <v/>
      </c>
      <c r="I1369" s="68" t="str">
        <f t="shared" si="704"/>
        <v/>
      </c>
      <c r="J1369" s="74" t="str">
        <f t="shared" si="670"/>
        <v/>
      </c>
      <c r="K1369" s="62"/>
    </row>
    <row r="1370" spans="1:18" x14ac:dyDescent="0.25">
      <c r="A1370" s="3"/>
      <c r="B1370" s="40"/>
      <c r="C1370" s="37"/>
      <c r="D1370" s="71"/>
      <c r="E1370" s="71"/>
      <c r="F1370" s="71"/>
      <c r="G1370" s="69" t="str">
        <f t="shared" si="702"/>
        <v/>
      </c>
      <c r="H1370" s="69" t="str">
        <f t="shared" si="703"/>
        <v/>
      </c>
      <c r="I1370" s="69" t="str">
        <f t="shared" si="704"/>
        <v/>
      </c>
      <c r="J1370" s="75" t="str">
        <f t="shared" si="670"/>
        <v/>
      </c>
      <c r="K1370" s="63"/>
    </row>
    <row r="1371" spans="1:18" x14ac:dyDescent="0.25">
      <c r="A1371" s="4" t="s">
        <v>7</v>
      </c>
      <c r="B1371" s="33" t="s">
        <v>501</v>
      </c>
      <c r="C1371" s="33"/>
      <c r="D1371" s="70">
        <v>1</v>
      </c>
      <c r="E1371" s="70">
        <v>1</v>
      </c>
      <c r="F1371" s="70">
        <v>1</v>
      </c>
      <c r="G1371" s="67">
        <f t="shared" si="702"/>
        <v>1</v>
      </c>
      <c r="H1371" s="67">
        <f t="shared" si="703"/>
        <v>1</v>
      </c>
      <c r="I1371" s="67">
        <f t="shared" si="704"/>
        <v>1</v>
      </c>
      <c r="J1371" s="73">
        <f t="shared" si="670"/>
        <v>3</v>
      </c>
      <c r="K1371" s="61"/>
    </row>
    <row r="1372" spans="1:18" x14ac:dyDescent="0.25">
      <c r="A1372" s="2"/>
      <c r="B1372" s="33" t="s">
        <v>223</v>
      </c>
      <c r="C1372" s="37"/>
      <c r="D1372" s="71">
        <v>1</v>
      </c>
      <c r="E1372" s="71">
        <v>0</v>
      </c>
      <c r="F1372" s="71">
        <v>1</v>
      </c>
      <c r="G1372" s="68">
        <f t="shared" si="702"/>
        <v>0</v>
      </c>
      <c r="H1372" s="68">
        <f t="shared" si="703"/>
        <v>1</v>
      </c>
      <c r="I1372" s="68">
        <f t="shared" si="704"/>
        <v>0</v>
      </c>
      <c r="J1372" s="74">
        <f t="shared" si="670"/>
        <v>2</v>
      </c>
      <c r="K1372" s="62"/>
    </row>
    <row r="1373" spans="1:18" x14ac:dyDescent="0.25">
      <c r="A1373" s="3"/>
      <c r="B1373" s="40"/>
      <c r="C1373" s="40"/>
      <c r="D1373" s="72"/>
      <c r="E1373" s="72"/>
      <c r="F1373" s="72"/>
      <c r="G1373" s="69" t="str">
        <f t="shared" si="702"/>
        <v/>
      </c>
      <c r="H1373" s="69" t="str">
        <f t="shared" si="703"/>
        <v/>
      </c>
      <c r="I1373" s="69" t="str">
        <f t="shared" si="704"/>
        <v/>
      </c>
      <c r="J1373" s="75" t="str">
        <f t="shared" si="670"/>
        <v/>
      </c>
      <c r="K1373" s="63"/>
    </row>
    <row r="1374" spans="1:18" x14ac:dyDescent="0.25">
      <c r="A1374" s="4" t="s">
        <v>8</v>
      </c>
      <c r="B1374" s="37" t="s">
        <v>223</v>
      </c>
      <c r="C1374" s="37"/>
      <c r="D1374" s="70">
        <v>1</v>
      </c>
      <c r="E1374" s="70">
        <v>0</v>
      </c>
      <c r="F1374" s="70">
        <v>1</v>
      </c>
      <c r="G1374" s="67">
        <f t="shared" si="702"/>
        <v>0</v>
      </c>
      <c r="H1374" s="67">
        <f t="shared" si="703"/>
        <v>1</v>
      </c>
      <c r="I1374" s="67">
        <f t="shared" si="704"/>
        <v>0</v>
      </c>
      <c r="J1374" s="73">
        <f t="shared" ref="J1374:J1449" si="711">IF(B1374="","",SUM(D1374:F1374))</f>
        <v>2</v>
      </c>
      <c r="K1374" s="61"/>
    </row>
    <row r="1375" spans="1:18" x14ac:dyDescent="0.25">
      <c r="A1375" s="2"/>
      <c r="B1375" s="37" t="s">
        <v>159</v>
      </c>
      <c r="C1375" s="37"/>
      <c r="D1375" s="71">
        <v>0</v>
      </c>
      <c r="E1375" s="71">
        <v>1</v>
      </c>
      <c r="F1375" s="71">
        <v>1</v>
      </c>
      <c r="G1375" s="68">
        <f t="shared" si="702"/>
        <v>0</v>
      </c>
      <c r="H1375" s="68">
        <f t="shared" si="703"/>
        <v>0</v>
      </c>
      <c r="I1375" s="68">
        <f t="shared" si="704"/>
        <v>1</v>
      </c>
      <c r="J1375" s="74">
        <f t="shared" si="711"/>
        <v>2</v>
      </c>
      <c r="K1375" s="62"/>
    </row>
    <row r="1376" spans="1:18" x14ac:dyDescent="0.25">
      <c r="A1376" s="3"/>
      <c r="B1376" s="40"/>
      <c r="C1376" s="40"/>
      <c r="D1376" s="72"/>
      <c r="E1376" s="72"/>
      <c r="F1376" s="72"/>
      <c r="G1376" s="69" t="str">
        <f t="shared" si="702"/>
        <v/>
      </c>
      <c r="H1376" s="69" t="str">
        <f t="shared" si="703"/>
        <v/>
      </c>
      <c r="I1376" s="69" t="str">
        <f t="shared" si="704"/>
        <v/>
      </c>
      <c r="J1376" s="75" t="str">
        <f t="shared" si="711"/>
        <v/>
      </c>
      <c r="K1376" s="63"/>
    </row>
    <row r="1377" spans="1:18" x14ac:dyDescent="0.25">
      <c r="A1377" s="2" t="s">
        <v>9</v>
      </c>
      <c r="B1377" s="37" t="s">
        <v>565</v>
      </c>
      <c r="C1377" s="37"/>
      <c r="D1377" s="71">
        <v>0</v>
      </c>
      <c r="E1377" s="71">
        <v>1</v>
      </c>
      <c r="F1377" s="71">
        <v>1</v>
      </c>
      <c r="G1377" s="68">
        <f t="shared" si="702"/>
        <v>0</v>
      </c>
      <c r="H1377" s="68">
        <f t="shared" si="703"/>
        <v>0</v>
      </c>
      <c r="I1377" s="68">
        <f t="shared" si="704"/>
        <v>1</v>
      </c>
      <c r="J1377" s="74">
        <f t="shared" si="711"/>
        <v>2</v>
      </c>
      <c r="K1377" s="62"/>
    </row>
    <row r="1378" spans="1:18" x14ac:dyDescent="0.25">
      <c r="A1378" s="2"/>
      <c r="B1378" s="37"/>
      <c r="C1378" s="37"/>
      <c r="D1378" s="71"/>
      <c r="E1378" s="71"/>
      <c r="F1378" s="71"/>
      <c r="G1378" s="68" t="str">
        <f t="shared" si="702"/>
        <v/>
      </c>
      <c r="H1378" s="68" t="str">
        <f t="shared" si="703"/>
        <v/>
      </c>
      <c r="I1378" s="68" t="str">
        <f t="shared" si="704"/>
        <v/>
      </c>
      <c r="J1378" s="74" t="str">
        <f t="shared" si="711"/>
        <v/>
      </c>
      <c r="K1378" s="62"/>
    </row>
    <row r="1379" spans="1:18" x14ac:dyDescent="0.25">
      <c r="A1379" s="3"/>
      <c r="B1379" s="40"/>
      <c r="C1379" s="40"/>
      <c r="D1379" s="72"/>
      <c r="E1379" s="72"/>
      <c r="F1379" s="72"/>
      <c r="G1379" s="69" t="str">
        <f t="shared" si="702"/>
        <v/>
      </c>
      <c r="H1379" s="69" t="str">
        <f t="shared" si="703"/>
        <v/>
      </c>
      <c r="I1379" s="69" t="str">
        <f t="shared" si="704"/>
        <v/>
      </c>
      <c r="J1379" s="75" t="str">
        <f t="shared" si="711"/>
        <v/>
      </c>
      <c r="K1379" s="63"/>
    </row>
    <row r="1380" spans="1:18" x14ac:dyDescent="0.25">
      <c r="A1380" s="2" t="s">
        <v>1224</v>
      </c>
      <c r="B1380" s="37" t="s">
        <v>801</v>
      </c>
      <c r="C1380" s="37"/>
      <c r="D1380" s="71">
        <v>1</v>
      </c>
      <c r="E1380" s="71">
        <v>1</v>
      </c>
      <c r="F1380" s="71">
        <v>1</v>
      </c>
      <c r="G1380" s="68">
        <f t="shared" si="702"/>
        <v>1</v>
      </c>
      <c r="H1380" s="68">
        <f t="shared" si="703"/>
        <v>1</v>
      </c>
      <c r="I1380" s="68">
        <f t="shared" si="704"/>
        <v>1</v>
      </c>
      <c r="J1380" s="74">
        <f t="shared" ref="J1380:J1382" si="712">IF(B1380="","",SUM(D1380:F1380))</f>
        <v>3</v>
      </c>
      <c r="K1380" s="62"/>
    </row>
    <row r="1381" spans="1:18" x14ac:dyDescent="0.25">
      <c r="A1381" s="2"/>
      <c r="B1381" s="37"/>
      <c r="C1381" s="37"/>
      <c r="D1381" s="71"/>
      <c r="E1381" s="71"/>
      <c r="F1381" s="71"/>
      <c r="G1381" s="68" t="str">
        <f t="shared" si="702"/>
        <v/>
      </c>
      <c r="H1381" s="68" t="str">
        <f t="shared" si="703"/>
        <v/>
      </c>
      <c r="I1381" s="68" t="str">
        <f t="shared" si="704"/>
        <v/>
      </c>
      <c r="J1381" s="74" t="str">
        <f t="shared" si="712"/>
        <v/>
      </c>
      <c r="K1381" s="62"/>
    </row>
    <row r="1382" spans="1:18" x14ac:dyDescent="0.25">
      <c r="A1382" s="3"/>
      <c r="B1382" s="40"/>
      <c r="C1382" s="40"/>
      <c r="D1382" s="72"/>
      <c r="E1382" s="72"/>
      <c r="F1382" s="72"/>
      <c r="G1382" s="69" t="str">
        <f t="shared" si="702"/>
        <v/>
      </c>
      <c r="H1382" s="69" t="str">
        <f t="shared" si="703"/>
        <v/>
      </c>
      <c r="I1382" s="69" t="str">
        <f t="shared" si="704"/>
        <v/>
      </c>
      <c r="J1382" s="75" t="str">
        <f t="shared" si="712"/>
        <v/>
      </c>
      <c r="K1382" s="63"/>
    </row>
    <row r="1384" spans="1:18" x14ac:dyDescent="0.25">
      <c r="A1384" s="81">
        <v>70</v>
      </c>
      <c r="B1384" s="49" t="s">
        <v>1186</v>
      </c>
      <c r="C1384" s="31" t="s">
        <v>1464</v>
      </c>
      <c r="D1384" s="76"/>
      <c r="E1384" s="66"/>
      <c r="F1384" s="66"/>
      <c r="G1384" s="66"/>
      <c r="H1384" s="66"/>
      <c r="I1384" s="66"/>
      <c r="J1384" s="60"/>
      <c r="K1384" s="60"/>
    </row>
    <row r="1385" spans="1:18" x14ac:dyDescent="0.25">
      <c r="A1385" s="4" t="s">
        <v>6</v>
      </c>
      <c r="B1385" s="37" t="s">
        <v>503</v>
      </c>
      <c r="C1385" s="37"/>
      <c r="D1385" s="70">
        <v>1</v>
      </c>
      <c r="E1385" s="70">
        <v>1</v>
      </c>
      <c r="F1385" s="70">
        <v>1</v>
      </c>
      <c r="G1385" s="67">
        <f t="shared" ref="G1385:G1402" si="713">IF(B1385="","",IF( AND(D1385=1, E1385=1),1,0))</f>
        <v>1</v>
      </c>
      <c r="H1385" s="67">
        <f t="shared" ref="H1385:H1402" si="714">IF(B1385="","",IF(AND(D1385=1,F1385=1),1,0))</f>
        <v>1</v>
      </c>
      <c r="I1385" s="67">
        <f t="shared" ref="I1385:I1402" si="715">IF(B1385="","",IF(AND(E1385=1,F1385=1),1,0))</f>
        <v>1</v>
      </c>
      <c r="J1385" s="73">
        <f t="shared" ref="J1385" si="716">IF(B1385="","",SUM(D1385:F1385))</f>
        <v>3</v>
      </c>
      <c r="K1385" s="61"/>
      <c r="M1385" s="7">
        <f t="shared" ref="M1385" si="717">SUM(G1385:I1385)/3</f>
        <v>1</v>
      </c>
      <c r="N1385" s="6">
        <f t="shared" ref="N1385" si="718">SUM(G1388:I1388)/3</f>
        <v>1</v>
      </c>
      <c r="O1385" s="7">
        <f t="shared" ref="O1385" si="719">SUM(G1391:I1391)/3</f>
        <v>1</v>
      </c>
      <c r="P1385" s="6">
        <f t="shared" ref="P1385" si="720">SUM(G1394:I1394)/3</f>
        <v>1</v>
      </c>
      <c r="Q1385" s="7">
        <f t="shared" ref="Q1385" si="721">SUM(G1397:I1397)/3</f>
        <v>1</v>
      </c>
      <c r="R1385" s="7">
        <f>SUM(G1400:I1400)/3</f>
        <v>0.33333333333333331</v>
      </c>
    </row>
    <row r="1386" spans="1:18" x14ac:dyDescent="0.25">
      <c r="A1386" s="2"/>
      <c r="B1386" s="37"/>
      <c r="C1386" s="37"/>
      <c r="D1386" s="71"/>
      <c r="E1386" s="71"/>
      <c r="F1386" s="71"/>
      <c r="G1386" s="68" t="str">
        <f t="shared" si="713"/>
        <v/>
      </c>
      <c r="H1386" s="68" t="str">
        <f t="shared" si="714"/>
        <v/>
      </c>
      <c r="I1386" s="68" t="str">
        <f t="shared" si="715"/>
        <v/>
      </c>
      <c r="J1386" s="74" t="str">
        <f t="shared" si="711"/>
        <v/>
      </c>
      <c r="K1386" s="62"/>
    </row>
    <row r="1387" spans="1:18" x14ac:dyDescent="0.25">
      <c r="A1387" s="3"/>
      <c r="B1387" s="42"/>
      <c r="C1387" s="42"/>
      <c r="D1387" s="72"/>
      <c r="E1387" s="72"/>
      <c r="F1387" s="72"/>
      <c r="G1387" s="69" t="str">
        <f t="shared" si="713"/>
        <v/>
      </c>
      <c r="H1387" s="69" t="str">
        <f t="shared" si="714"/>
        <v/>
      </c>
      <c r="I1387" s="69" t="str">
        <f t="shared" si="715"/>
        <v/>
      </c>
      <c r="J1387" s="75" t="str">
        <f t="shared" si="711"/>
        <v/>
      </c>
      <c r="K1387" s="63"/>
    </row>
    <row r="1388" spans="1:18" x14ac:dyDescent="0.25">
      <c r="A1388" s="4" t="s">
        <v>5</v>
      </c>
      <c r="B1388" s="33" t="s">
        <v>265</v>
      </c>
      <c r="C1388" s="33"/>
      <c r="D1388" s="70">
        <v>1</v>
      </c>
      <c r="E1388" s="70">
        <v>1</v>
      </c>
      <c r="F1388" s="70">
        <v>1</v>
      </c>
      <c r="G1388" s="67">
        <f t="shared" si="713"/>
        <v>1</v>
      </c>
      <c r="H1388" s="67">
        <f t="shared" si="714"/>
        <v>1</v>
      </c>
      <c r="I1388" s="67">
        <f t="shared" si="715"/>
        <v>1</v>
      </c>
      <c r="J1388" s="73">
        <f t="shared" si="711"/>
        <v>3</v>
      </c>
      <c r="K1388" s="61"/>
    </row>
    <row r="1389" spans="1:18" x14ac:dyDescent="0.25">
      <c r="A1389" s="2"/>
      <c r="B1389" s="37"/>
      <c r="C1389" s="37"/>
      <c r="D1389" s="71"/>
      <c r="E1389" s="71"/>
      <c r="F1389" s="71"/>
      <c r="G1389" s="68" t="str">
        <f t="shared" si="713"/>
        <v/>
      </c>
      <c r="H1389" s="68" t="str">
        <f t="shared" si="714"/>
        <v/>
      </c>
      <c r="I1389" s="68" t="str">
        <f t="shared" si="715"/>
        <v/>
      </c>
      <c r="J1389" s="74" t="str">
        <f t="shared" si="711"/>
        <v/>
      </c>
      <c r="K1389" s="62"/>
    </row>
    <row r="1390" spans="1:18" x14ac:dyDescent="0.25">
      <c r="A1390" s="3"/>
      <c r="B1390" s="40"/>
      <c r="C1390" s="37"/>
      <c r="D1390" s="71"/>
      <c r="E1390" s="71"/>
      <c r="F1390" s="71"/>
      <c r="G1390" s="69" t="str">
        <f t="shared" si="713"/>
        <v/>
      </c>
      <c r="H1390" s="69" t="str">
        <f t="shared" si="714"/>
        <v/>
      </c>
      <c r="I1390" s="69" t="str">
        <f t="shared" si="715"/>
        <v/>
      </c>
      <c r="J1390" s="75" t="str">
        <f t="shared" si="711"/>
        <v/>
      </c>
      <c r="K1390" s="63"/>
    </row>
    <row r="1391" spans="1:18" x14ac:dyDescent="0.25">
      <c r="A1391" s="4" t="s">
        <v>7</v>
      </c>
      <c r="B1391" s="33" t="s">
        <v>803</v>
      </c>
      <c r="C1391" s="33"/>
      <c r="D1391" s="70">
        <v>1</v>
      </c>
      <c r="E1391" s="70">
        <v>1</v>
      </c>
      <c r="F1391" s="70">
        <v>1</v>
      </c>
      <c r="G1391" s="67">
        <f t="shared" si="713"/>
        <v>1</v>
      </c>
      <c r="H1391" s="67">
        <f t="shared" si="714"/>
        <v>1</v>
      </c>
      <c r="I1391" s="67">
        <f t="shared" si="715"/>
        <v>1</v>
      </c>
      <c r="J1391" s="73">
        <f t="shared" si="711"/>
        <v>3</v>
      </c>
      <c r="K1391" s="61"/>
    </row>
    <row r="1392" spans="1:18" x14ac:dyDescent="0.25">
      <c r="A1392" s="2"/>
      <c r="B1392" s="37"/>
      <c r="C1392" s="37"/>
      <c r="D1392" s="71"/>
      <c r="E1392" s="71"/>
      <c r="F1392" s="71"/>
      <c r="G1392" s="68" t="str">
        <f t="shared" si="713"/>
        <v/>
      </c>
      <c r="H1392" s="68" t="str">
        <f t="shared" si="714"/>
        <v/>
      </c>
      <c r="I1392" s="68" t="str">
        <f t="shared" si="715"/>
        <v/>
      </c>
      <c r="J1392" s="74" t="str">
        <f t="shared" si="711"/>
        <v/>
      </c>
      <c r="K1392" s="62"/>
    </row>
    <row r="1393" spans="1:18" x14ac:dyDescent="0.25">
      <c r="A1393" s="3"/>
      <c r="B1393" s="40"/>
      <c r="C1393" s="40"/>
      <c r="D1393" s="72"/>
      <c r="E1393" s="72"/>
      <c r="F1393" s="72"/>
      <c r="G1393" s="69" t="str">
        <f t="shared" si="713"/>
        <v/>
      </c>
      <c r="H1393" s="69" t="str">
        <f t="shared" si="714"/>
        <v/>
      </c>
      <c r="I1393" s="69" t="str">
        <f t="shared" si="715"/>
        <v/>
      </c>
      <c r="J1393" s="75" t="str">
        <f t="shared" si="711"/>
        <v/>
      </c>
      <c r="K1393" s="63"/>
    </row>
    <row r="1394" spans="1:18" x14ac:dyDescent="0.25">
      <c r="A1394" s="4" t="s">
        <v>8</v>
      </c>
      <c r="B1394" s="37" t="s">
        <v>505</v>
      </c>
      <c r="C1394" s="37"/>
      <c r="D1394" s="70">
        <v>1</v>
      </c>
      <c r="E1394" s="70">
        <v>1</v>
      </c>
      <c r="F1394" s="70">
        <v>1</v>
      </c>
      <c r="G1394" s="67">
        <f t="shared" si="713"/>
        <v>1</v>
      </c>
      <c r="H1394" s="67">
        <f t="shared" si="714"/>
        <v>1</v>
      </c>
      <c r="I1394" s="67">
        <f t="shared" si="715"/>
        <v>1</v>
      </c>
      <c r="J1394" s="73">
        <f t="shared" si="711"/>
        <v>3</v>
      </c>
      <c r="K1394" s="61"/>
    </row>
    <row r="1395" spans="1:18" x14ac:dyDescent="0.25">
      <c r="A1395" s="2"/>
      <c r="B1395" s="37"/>
      <c r="C1395" s="37"/>
      <c r="D1395" s="71"/>
      <c r="E1395" s="71"/>
      <c r="F1395" s="71"/>
      <c r="G1395" s="68" t="str">
        <f t="shared" si="713"/>
        <v/>
      </c>
      <c r="H1395" s="68" t="str">
        <f t="shared" si="714"/>
        <v/>
      </c>
      <c r="I1395" s="68" t="str">
        <f t="shared" si="715"/>
        <v/>
      </c>
      <c r="J1395" s="74" t="str">
        <f t="shared" si="711"/>
        <v/>
      </c>
      <c r="K1395" s="62"/>
    </row>
    <row r="1396" spans="1:18" x14ac:dyDescent="0.25">
      <c r="A1396" s="3"/>
      <c r="B1396" s="40"/>
      <c r="C1396" s="40"/>
      <c r="D1396" s="72"/>
      <c r="E1396" s="72"/>
      <c r="F1396" s="72"/>
      <c r="G1396" s="69" t="str">
        <f t="shared" si="713"/>
        <v/>
      </c>
      <c r="H1396" s="69" t="str">
        <f t="shared" si="714"/>
        <v/>
      </c>
      <c r="I1396" s="69" t="str">
        <f t="shared" si="715"/>
        <v/>
      </c>
      <c r="J1396" s="75" t="str">
        <f t="shared" si="711"/>
        <v/>
      </c>
      <c r="K1396" s="63"/>
    </row>
    <row r="1397" spans="1:18" x14ac:dyDescent="0.25">
      <c r="A1397" s="2" t="s">
        <v>9</v>
      </c>
      <c r="B1397" s="37" t="s">
        <v>237</v>
      </c>
      <c r="C1397" s="37"/>
      <c r="D1397" s="71">
        <v>1</v>
      </c>
      <c r="E1397" s="71">
        <v>1</v>
      </c>
      <c r="F1397" s="71">
        <v>1</v>
      </c>
      <c r="G1397" s="68">
        <f t="shared" si="713"/>
        <v>1</v>
      </c>
      <c r="H1397" s="68">
        <f t="shared" si="714"/>
        <v>1</v>
      </c>
      <c r="I1397" s="68">
        <f t="shared" si="715"/>
        <v>1</v>
      </c>
      <c r="J1397" s="74">
        <f t="shared" si="711"/>
        <v>3</v>
      </c>
      <c r="K1397" s="62"/>
    </row>
    <row r="1398" spans="1:18" x14ac:dyDescent="0.25">
      <c r="A1398" s="2"/>
      <c r="B1398" s="37"/>
      <c r="C1398" s="37"/>
      <c r="D1398" s="71"/>
      <c r="E1398" s="71"/>
      <c r="F1398" s="71"/>
      <c r="G1398" s="68" t="str">
        <f t="shared" si="713"/>
        <v/>
      </c>
      <c r="H1398" s="68" t="str">
        <f t="shared" si="714"/>
        <v/>
      </c>
      <c r="I1398" s="68" t="str">
        <f t="shared" si="715"/>
        <v/>
      </c>
      <c r="J1398" s="74" t="str">
        <f t="shared" si="711"/>
        <v/>
      </c>
      <c r="K1398" s="62"/>
    </row>
    <row r="1399" spans="1:18" x14ac:dyDescent="0.25">
      <c r="A1399" s="3"/>
      <c r="B1399" s="40"/>
      <c r="C1399" s="40"/>
      <c r="D1399" s="72"/>
      <c r="E1399" s="72"/>
      <c r="F1399" s="72"/>
      <c r="G1399" s="69" t="str">
        <f t="shared" si="713"/>
        <v/>
      </c>
      <c r="H1399" s="69" t="str">
        <f t="shared" si="714"/>
        <v/>
      </c>
      <c r="I1399" s="69" t="str">
        <f t="shared" si="715"/>
        <v/>
      </c>
      <c r="J1399" s="75" t="str">
        <f t="shared" si="711"/>
        <v/>
      </c>
      <c r="K1399" s="63"/>
    </row>
    <row r="1400" spans="1:18" x14ac:dyDescent="0.25">
      <c r="A1400" s="2" t="s">
        <v>1224</v>
      </c>
      <c r="B1400" s="37" t="s">
        <v>1339</v>
      </c>
      <c r="C1400" s="37"/>
      <c r="D1400" s="71">
        <v>0</v>
      </c>
      <c r="E1400" s="71">
        <v>1</v>
      </c>
      <c r="F1400" s="71">
        <v>1</v>
      </c>
      <c r="G1400" s="68">
        <f t="shared" si="713"/>
        <v>0</v>
      </c>
      <c r="H1400" s="68">
        <f t="shared" si="714"/>
        <v>0</v>
      </c>
      <c r="I1400" s="68">
        <f t="shared" si="715"/>
        <v>1</v>
      </c>
      <c r="J1400" s="74">
        <f t="shared" ref="J1400:J1402" si="722">IF(B1400="","",SUM(D1400:F1400))</f>
        <v>2</v>
      </c>
      <c r="K1400" s="62"/>
    </row>
    <row r="1401" spans="1:18" x14ac:dyDescent="0.25">
      <c r="A1401" s="2"/>
      <c r="B1401" s="37"/>
      <c r="C1401" s="37"/>
      <c r="D1401" s="71"/>
      <c r="E1401" s="71"/>
      <c r="F1401" s="71"/>
      <c r="G1401" s="68" t="str">
        <f t="shared" si="713"/>
        <v/>
      </c>
      <c r="H1401" s="68" t="str">
        <f t="shared" si="714"/>
        <v/>
      </c>
      <c r="I1401" s="68" t="str">
        <f t="shared" si="715"/>
        <v/>
      </c>
      <c r="J1401" s="74" t="str">
        <f t="shared" si="722"/>
        <v/>
      </c>
      <c r="K1401" s="62"/>
    </row>
    <row r="1402" spans="1:18" x14ac:dyDescent="0.25">
      <c r="A1402" s="3"/>
      <c r="B1402" s="40"/>
      <c r="C1402" s="40"/>
      <c r="D1402" s="72"/>
      <c r="E1402" s="72"/>
      <c r="F1402" s="72"/>
      <c r="G1402" s="69" t="str">
        <f t="shared" si="713"/>
        <v/>
      </c>
      <c r="H1402" s="69" t="str">
        <f t="shared" si="714"/>
        <v/>
      </c>
      <c r="I1402" s="69" t="str">
        <f t="shared" si="715"/>
        <v/>
      </c>
      <c r="J1402" s="75" t="str">
        <f t="shared" si="722"/>
        <v/>
      </c>
      <c r="K1402" s="63"/>
    </row>
    <row r="1404" spans="1:18" x14ac:dyDescent="0.25">
      <c r="A1404" s="81">
        <v>71</v>
      </c>
      <c r="B1404" s="49" t="s">
        <v>1187</v>
      </c>
      <c r="C1404" s="31" t="s">
        <v>1465</v>
      </c>
      <c r="D1404" s="76"/>
      <c r="E1404" s="66"/>
      <c r="F1404" s="66"/>
      <c r="G1404" s="66"/>
      <c r="H1404" s="66"/>
      <c r="I1404" s="66"/>
      <c r="J1404" s="60"/>
      <c r="K1404" s="60"/>
    </row>
    <row r="1405" spans="1:18" x14ac:dyDescent="0.25">
      <c r="A1405" s="4" t="s">
        <v>6</v>
      </c>
      <c r="B1405" s="37" t="s">
        <v>804</v>
      </c>
      <c r="C1405" s="37"/>
      <c r="D1405" s="70">
        <v>1</v>
      </c>
      <c r="E1405" s="70">
        <v>1</v>
      </c>
      <c r="F1405" s="70">
        <v>1</v>
      </c>
      <c r="G1405" s="67">
        <f t="shared" ref="G1405:G1422" si="723">IF(B1405="","",IF( AND(D1405=1, E1405=1),1,0))</f>
        <v>1</v>
      </c>
      <c r="H1405" s="67">
        <f t="shared" ref="H1405:H1422" si="724">IF(B1405="","",IF(AND(D1405=1,F1405=1),1,0))</f>
        <v>1</v>
      </c>
      <c r="I1405" s="67">
        <f t="shared" ref="I1405:I1422" si="725">IF(B1405="","",IF(AND(E1405=1,F1405=1),1,0))</f>
        <v>1</v>
      </c>
      <c r="J1405" s="73">
        <f t="shared" ref="J1405" si="726">IF(B1405="","",SUM(D1405:F1405))</f>
        <v>3</v>
      </c>
      <c r="K1405" s="61"/>
      <c r="M1405" s="7">
        <f t="shared" ref="M1405" si="727">SUM(G1405:I1405)/3</f>
        <v>1</v>
      </c>
      <c r="N1405" s="6">
        <f t="shared" ref="N1405" si="728">SUM(G1408:I1408)/3</f>
        <v>1</v>
      </c>
      <c r="O1405" s="7">
        <f t="shared" ref="O1405" si="729">SUM(G1411:I1411)/3</f>
        <v>1</v>
      </c>
      <c r="P1405" s="6">
        <f t="shared" ref="P1405" si="730">SUM(G1414:I1414)/3</f>
        <v>1</v>
      </c>
      <c r="Q1405" s="7">
        <f t="shared" ref="Q1405" si="731">SUM(G1417:I1417)/3</f>
        <v>1</v>
      </c>
      <c r="R1405" s="7">
        <f>SUM(G1420:I1420)/3</f>
        <v>1</v>
      </c>
    </row>
    <row r="1406" spans="1:18" x14ac:dyDescent="0.25">
      <c r="A1406" s="2"/>
      <c r="B1406" s="37"/>
      <c r="C1406" s="37"/>
      <c r="D1406" s="71"/>
      <c r="E1406" s="71"/>
      <c r="F1406" s="71"/>
      <c r="G1406" s="68" t="str">
        <f t="shared" si="723"/>
        <v/>
      </c>
      <c r="H1406" s="68" t="str">
        <f t="shared" si="724"/>
        <v/>
      </c>
      <c r="I1406" s="68" t="str">
        <f t="shared" si="725"/>
        <v/>
      </c>
      <c r="J1406" s="74" t="str">
        <f t="shared" si="711"/>
        <v/>
      </c>
      <c r="K1406" s="62"/>
    </row>
    <row r="1407" spans="1:18" x14ac:dyDescent="0.25">
      <c r="A1407" s="3"/>
      <c r="B1407" s="42"/>
      <c r="C1407" s="42"/>
      <c r="D1407" s="72"/>
      <c r="E1407" s="72"/>
      <c r="F1407" s="72"/>
      <c r="G1407" s="69" t="str">
        <f t="shared" si="723"/>
        <v/>
      </c>
      <c r="H1407" s="69" t="str">
        <f t="shared" si="724"/>
        <v/>
      </c>
      <c r="I1407" s="69" t="str">
        <f t="shared" si="725"/>
        <v/>
      </c>
      <c r="J1407" s="75" t="str">
        <f t="shared" si="711"/>
        <v/>
      </c>
      <c r="K1407" s="63"/>
    </row>
    <row r="1408" spans="1:18" x14ac:dyDescent="0.25">
      <c r="A1408" s="4" t="s">
        <v>5</v>
      </c>
      <c r="B1408" s="33" t="s">
        <v>1076</v>
      </c>
      <c r="C1408" s="33"/>
      <c r="D1408" s="70">
        <v>1</v>
      </c>
      <c r="E1408" s="70">
        <v>1</v>
      </c>
      <c r="F1408" s="70">
        <v>1</v>
      </c>
      <c r="G1408" s="67">
        <f t="shared" si="723"/>
        <v>1</v>
      </c>
      <c r="H1408" s="67">
        <f t="shared" si="724"/>
        <v>1</v>
      </c>
      <c r="I1408" s="67">
        <f t="shared" si="725"/>
        <v>1</v>
      </c>
      <c r="J1408" s="73">
        <f t="shared" si="711"/>
        <v>3</v>
      </c>
      <c r="K1408" s="61"/>
    </row>
    <row r="1409" spans="1:11" x14ac:dyDescent="0.25">
      <c r="A1409" s="2"/>
      <c r="B1409" s="37"/>
      <c r="C1409" s="37"/>
      <c r="D1409" s="71"/>
      <c r="E1409" s="71"/>
      <c r="F1409" s="71"/>
      <c r="G1409" s="68" t="str">
        <f t="shared" si="723"/>
        <v/>
      </c>
      <c r="H1409" s="68" t="str">
        <f t="shared" si="724"/>
        <v/>
      </c>
      <c r="I1409" s="68" t="str">
        <f t="shared" si="725"/>
        <v/>
      </c>
      <c r="J1409" s="74" t="str">
        <f t="shared" si="711"/>
        <v/>
      </c>
      <c r="K1409" s="62"/>
    </row>
    <row r="1410" spans="1:11" x14ac:dyDescent="0.25">
      <c r="A1410" s="3"/>
      <c r="B1410" s="40"/>
      <c r="C1410" s="37"/>
      <c r="D1410" s="71"/>
      <c r="E1410" s="71"/>
      <c r="F1410" s="71"/>
      <c r="G1410" s="69" t="str">
        <f t="shared" si="723"/>
        <v/>
      </c>
      <c r="H1410" s="69" t="str">
        <f t="shared" si="724"/>
        <v/>
      </c>
      <c r="I1410" s="69" t="str">
        <f t="shared" si="725"/>
        <v/>
      </c>
      <c r="J1410" s="75" t="str">
        <f t="shared" si="711"/>
        <v/>
      </c>
      <c r="K1410" s="63"/>
    </row>
    <row r="1411" spans="1:11" x14ac:dyDescent="0.25">
      <c r="A1411" s="4" t="s">
        <v>7</v>
      </c>
      <c r="B1411" s="33" t="s">
        <v>1221</v>
      </c>
      <c r="C1411" s="33"/>
      <c r="D1411" s="70">
        <v>1</v>
      </c>
      <c r="E1411" s="70">
        <v>1</v>
      </c>
      <c r="F1411" s="70">
        <v>1</v>
      </c>
      <c r="G1411" s="67">
        <f t="shared" si="723"/>
        <v>1</v>
      </c>
      <c r="H1411" s="67">
        <f t="shared" si="724"/>
        <v>1</v>
      </c>
      <c r="I1411" s="67">
        <f t="shared" si="725"/>
        <v>1</v>
      </c>
      <c r="J1411" s="73">
        <f t="shared" si="711"/>
        <v>3</v>
      </c>
      <c r="K1411" s="61"/>
    </row>
    <row r="1412" spans="1:11" x14ac:dyDescent="0.25">
      <c r="A1412" s="2"/>
      <c r="B1412" s="37" t="s">
        <v>571</v>
      </c>
      <c r="C1412" s="37"/>
      <c r="D1412" s="71">
        <v>1</v>
      </c>
      <c r="E1412" s="71">
        <v>0</v>
      </c>
      <c r="F1412" s="71">
        <v>1</v>
      </c>
      <c r="G1412" s="68">
        <f t="shared" si="723"/>
        <v>0</v>
      </c>
      <c r="H1412" s="68">
        <f t="shared" si="724"/>
        <v>1</v>
      </c>
      <c r="I1412" s="68">
        <f t="shared" si="725"/>
        <v>0</v>
      </c>
      <c r="J1412" s="74">
        <f t="shared" si="711"/>
        <v>2</v>
      </c>
      <c r="K1412" s="62"/>
    </row>
    <row r="1413" spans="1:11" x14ac:dyDescent="0.25">
      <c r="A1413" s="3"/>
      <c r="B1413" s="40"/>
      <c r="C1413" s="40"/>
      <c r="D1413" s="72"/>
      <c r="E1413" s="72"/>
      <c r="F1413" s="72"/>
      <c r="G1413" s="69" t="str">
        <f t="shared" si="723"/>
        <v/>
      </c>
      <c r="H1413" s="69" t="str">
        <f t="shared" si="724"/>
        <v/>
      </c>
      <c r="I1413" s="69" t="str">
        <f t="shared" si="725"/>
        <v/>
      </c>
      <c r="J1413" s="75" t="str">
        <f t="shared" si="711"/>
        <v/>
      </c>
      <c r="K1413" s="63"/>
    </row>
    <row r="1414" spans="1:11" x14ac:dyDescent="0.25">
      <c r="A1414" s="4" t="s">
        <v>8</v>
      </c>
      <c r="B1414" s="37" t="s">
        <v>213</v>
      </c>
      <c r="C1414" s="37"/>
      <c r="D1414" s="70">
        <v>1</v>
      </c>
      <c r="E1414" s="70">
        <v>1</v>
      </c>
      <c r="F1414" s="70">
        <v>1</v>
      </c>
      <c r="G1414" s="67">
        <f t="shared" si="723"/>
        <v>1</v>
      </c>
      <c r="H1414" s="67">
        <f t="shared" si="724"/>
        <v>1</v>
      </c>
      <c r="I1414" s="67">
        <f t="shared" si="725"/>
        <v>1</v>
      </c>
      <c r="J1414" s="73">
        <f t="shared" si="711"/>
        <v>3</v>
      </c>
      <c r="K1414" s="61"/>
    </row>
    <row r="1415" spans="1:11" x14ac:dyDescent="0.25">
      <c r="A1415" s="2"/>
      <c r="B1415" s="37" t="s">
        <v>168</v>
      </c>
      <c r="C1415" s="37"/>
      <c r="D1415" s="71">
        <v>1</v>
      </c>
      <c r="E1415" s="71">
        <v>0</v>
      </c>
      <c r="F1415" s="71">
        <v>1</v>
      </c>
      <c r="G1415" s="68">
        <f t="shared" si="723"/>
        <v>0</v>
      </c>
      <c r="H1415" s="68">
        <f t="shared" si="724"/>
        <v>1</v>
      </c>
      <c r="I1415" s="68">
        <f t="shared" si="725"/>
        <v>0</v>
      </c>
      <c r="J1415" s="74">
        <f t="shared" si="711"/>
        <v>2</v>
      </c>
      <c r="K1415" s="62"/>
    </row>
    <row r="1416" spans="1:11" x14ac:dyDescent="0.25">
      <c r="A1416" s="3"/>
      <c r="B1416" s="40" t="s">
        <v>167</v>
      </c>
      <c r="C1416" s="40"/>
      <c r="D1416" s="72">
        <v>1</v>
      </c>
      <c r="E1416" s="72">
        <v>0</v>
      </c>
      <c r="F1416" s="72">
        <v>1</v>
      </c>
      <c r="G1416" s="69">
        <f t="shared" si="723"/>
        <v>0</v>
      </c>
      <c r="H1416" s="69">
        <f t="shared" si="724"/>
        <v>1</v>
      </c>
      <c r="I1416" s="69">
        <f t="shared" si="725"/>
        <v>0</v>
      </c>
      <c r="J1416" s="75">
        <f t="shared" si="711"/>
        <v>2</v>
      </c>
      <c r="K1416" s="63"/>
    </row>
    <row r="1417" spans="1:11" x14ac:dyDescent="0.25">
      <c r="A1417" s="2" t="s">
        <v>9</v>
      </c>
      <c r="B1417" s="37" t="s">
        <v>1079</v>
      </c>
      <c r="C1417" s="37"/>
      <c r="D1417" s="71">
        <v>1</v>
      </c>
      <c r="E1417" s="71">
        <v>1</v>
      </c>
      <c r="F1417" s="71">
        <v>1</v>
      </c>
      <c r="G1417" s="68">
        <f t="shared" si="723"/>
        <v>1</v>
      </c>
      <c r="H1417" s="68">
        <f t="shared" si="724"/>
        <v>1</v>
      </c>
      <c r="I1417" s="68">
        <f t="shared" si="725"/>
        <v>1</v>
      </c>
      <c r="J1417" s="74">
        <f t="shared" si="711"/>
        <v>3</v>
      </c>
      <c r="K1417" s="62"/>
    </row>
    <row r="1418" spans="1:11" x14ac:dyDescent="0.25">
      <c r="A1418" s="2"/>
      <c r="B1418" s="37"/>
      <c r="C1418" s="37"/>
      <c r="D1418" s="71"/>
      <c r="E1418" s="71"/>
      <c r="F1418" s="71"/>
      <c r="G1418" s="68" t="str">
        <f t="shared" si="723"/>
        <v/>
      </c>
      <c r="H1418" s="68" t="str">
        <f t="shared" si="724"/>
        <v/>
      </c>
      <c r="I1418" s="68" t="str">
        <f t="shared" si="725"/>
        <v/>
      </c>
      <c r="J1418" s="74" t="str">
        <f t="shared" si="711"/>
        <v/>
      </c>
      <c r="K1418" s="62"/>
    </row>
    <row r="1419" spans="1:11" x14ac:dyDescent="0.25">
      <c r="A1419" s="3"/>
      <c r="B1419" s="40"/>
      <c r="C1419" s="40"/>
      <c r="D1419" s="72"/>
      <c r="E1419" s="72"/>
      <c r="F1419" s="72"/>
      <c r="G1419" s="69" t="str">
        <f t="shared" si="723"/>
        <v/>
      </c>
      <c r="H1419" s="69" t="str">
        <f t="shared" si="724"/>
        <v/>
      </c>
      <c r="I1419" s="69" t="str">
        <f t="shared" si="725"/>
        <v/>
      </c>
      <c r="J1419" s="75" t="str">
        <f t="shared" si="711"/>
        <v/>
      </c>
      <c r="K1419" s="63"/>
    </row>
    <row r="1420" spans="1:11" x14ac:dyDescent="0.25">
      <c r="A1420" s="2" t="s">
        <v>1224</v>
      </c>
      <c r="B1420" s="37" t="s">
        <v>1340</v>
      </c>
      <c r="C1420" s="37"/>
      <c r="D1420" s="71">
        <v>1</v>
      </c>
      <c r="E1420" s="71">
        <v>1</v>
      </c>
      <c r="F1420" s="71">
        <v>1</v>
      </c>
      <c r="G1420" s="68">
        <f t="shared" si="723"/>
        <v>1</v>
      </c>
      <c r="H1420" s="68">
        <f t="shared" si="724"/>
        <v>1</v>
      </c>
      <c r="I1420" s="68">
        <f t="shared" si="725"/>
        <v>1</v>
      </c>
      <c r="J1420" s="74">
        <f t="shared" ref="J1420:J1422" si="732">IF(B1420="","",SUM(D1420:F1420))</f>
        <v>3</v>
      </c>
      <c r="K1420" s="62"/>
    </row>
    <row r="1421" spans="1:11" x14ac:dyDescent="0.25">
      <c r="A1421" s="2"/>
      <c r="B1421" s="37"/>
      <c r="C1421" s="37"/>
      <c r="D1421" s="71"/>
      <c r="E1421" s="71"/>
      <c r="F1421" s="71"/>
      <c r="G1421" s="68" t="str">
        <f t="shared" si="723"/>
        <v/>
      </c>
      <c r="H1421" s="68" t="str">
        <f t="shared" si="724"/>
        <v/>
      </c>
      <c r="I1421" s="68" t="str">
        <f t="shared" si="725"/>
        <v/>
      </c>
      <c r="J1421" s="74" t="str">
        <f t="shared" si="732"/>
        <v/>
      </c>
      <c r="K1421" s="62"/>
    </row>
    <row r="1422" spans="1:11" x14ac:dyDescent="0.25">
      <c r="A1422" s="3"/>
      <c r="B1422" s="40"/>
      <c r="C1422" s="40"/>
      <c r="D1422" s="72"/>
      <c r="E1422" s="72"/>
      <c r="F1422" s="72"/>
      <c r="G1422" s="69" t="str">
        <f t="shared" si="723"/>
        <v/>
      </c>
      <c r="H1422" s="69" t="str">
        <f t="shared" si="724"/>
        <v/>
      </c>
      <c r="I1422" s="69" t="str">
        <f t="shared" si="725"/>
        <v/>
      </c>
      <c r="J1422" s="75" t="str">
        <f t="shared" si="732"/>
        <v/>
      </c>
      <c r="K1422" s="63"/>
    </row>
    <row r="1424" spans="1:11" x14ac:dyDescent="0.25">
      <c r="A1424" s="81">
        <v>72</v>
      </c>
      <c r="B1424" s="49" t="s">
        <v>1188</v>
      </c>
      <c r="C1424" s="31" t="s">
        <v>1466</v>
      </c>
      <c r="D1424" s="76"/>
      <c r="E1424" s="66"/>
      <c r="F1424" s="66"/>
      <c r="G1424" s="66"/>
      <c r="H1424" s="66"/>
      <c r="I1424" s="66"/>
      <c r="J1424" s="60"/>
      <c r="K1424" s="60"/>
    </row>
    <row r="1425" spans="1:18" x14ac:dyDescent="0.25">
      <c r="A1425" s="4" t="s">
        <v>6</v>
      </c>
      <c r="B1425" s="37" t="s">
        <v>508</v>
      </c>
      <c r="C1425" s="37"/>
      <c r="D1425" s="70">
        <v>1</v>
      </c>
      <c r="E1425" s="70">
        <v>1</v>
      </c>
      <c r="F1425" s="70">
        <v>1</v>
      </c>
      <c r="G1425" s="67">
        <f t="shared" ref="G1425:G1442" si="733">IF(B1425="","",IF( AND(D1425=1, E1425=1),1,0))</f>
        <v>1</v>
      </c>
      <c r="H1425" s="67">
        <f t="shared" ref="H1425:H1442" si="734">IF(B1425="","",IF(AND(D1425=1,F1425=1),1,0))</f>
        <v>1</v>
      </c>
      <c r="I1425" s="67">
        <f t="shared" ref="I1425:I1442" si="735">IF(B1425="","",IF(AND(E1425=1,F1425=1),1,0))</f>
        <v>1</v>
      </c>
      <c r="J1425" s="73">
        <f t="shared" ref="J1425" si="736">IF(B1425="","",SUM(D1425:F1425))</f>
        <v>3</v>
      </c>
      <c r="K1425" s="61"/>
      <c r="M1425" s="7">
        <f t="shared" ref="M1425" si="737">SUM(G1425:I1425)/3</f>
        <v>1</v>
      </c>
      <c r="N1425" s="6">
        <f t="shared" ref="N1425" si="738">SUM(G1428:I1428)/3</f>
        <v>1</v>
      </c>
      <c r="O1425" s="7">
        <f t="shared" ref="O1425" si="739">SUM(G1431:I1431)/3</f>
        <v>1</v>
      </c>
      <c r="P1425" s="6">
        <f t="shared" ref="P1425" si="740">SUM(G1434:I1434)/3</f>
        <v>1</v>
      </c>
      <c r="Q1425" s="7">
        <f t="shared" ref="Q1425" si="741">SUM(G1437:I1437)/3</f>
        <v>1</v>
      </c>
      <c r="R1425" s="7">
        <f>SUM(G1440:I1440)/3</f>
        <v>0.33333333333333331</v>
      </c>
    </row>
    <row r="1426" spans="1:18" x14ac:dyDescent="0.25">
      <c r="A1426" s="2"/>
      <c r="B1426" s="37"/>
      <c r="C1426" s="37"/>
      <c r="D1426" s="71"/>
      <c r="E1426" s="71"/>
      <c r="F1426" s="71"/>
      <c r="G1426" s="68" t="str">
        <f t="shared" si="733"/>
        <v/>
      </c>
      <c r="H1426" s="68" t="str">
        <f t="shared" si="734"/>
        <v/>
      </c>
      <c r="I1426" s="68" t="str">
        <f t="shared" si="735"/>
        <v/>
      </c>
      <c r="J1426" s="74" t="str">
        <f t="shared" si="711"/>
        <v/>
      </c>
      <c r="K1426" s="62"/>
    </row>
    <row r="1427" spans="1:18" x14ac:dyDescent="0.25">
      <c r="A1427" s="3"/>
      <c r="B1427" s="42"/>
      <c r="C1427" s="42"/>
      <c r="D1427" s="72"/>
      <c r="E1427" s="72"/>
      <c r="F1427" s="72"/>
      <c r="G1427" s="69" t="str">
        <f t="shared" si="733"/>
        <v/>
      </c>
      <c r="H1427" s="69" t="str">
        <f t="shared" si="734"/>
        <v/>
      </c>
      <c r="I1427" s="69" t="str">
        <f t="shared" si="735"/>
        <v/>
      </c>
      <c r="J1427" s="75" t="str">
        <f t="shared" si="711"/>
        <v/>
      </c>
      <c r="K1427" s="63"/>
    </row>
    <row r="1428" spans="1:18" x14ac:dyDescent="0.25">
      <c r="A1428" s="4" t="s">
        <v>5</v>
      </c>
      <c r="B1428" s="33" t="s">
        <v>1080</v>
      </c>
      <c r="C1428" s="33"/>
      <c r="D1428" s="70">
        <v>1</v>
      </c>
      <c r="E1428" s="70">
        <v>1</v>
      </c>
      <c r="F1428" s="70">
        <v>1</v>
      </c>
      <c r="G1428" s="67">
        <f t="shared" si="733"/>
        <v>1</v>
      </c>
      <c r="H1428" s="67">
        <f t="shared" si="734"/>
        <v>1</v>
      </c>
      <c r="I1428" s="67">
        <f t="shared" si="735"/>
        <v>1</v>
      </c>
      <c r="J1428" s="73">
        <f t="shared" si="711"/>
        <v>3</v>
      </c>
      <c r="K1428" s="61"/>
    </row>
    <row r="1429" spans="1:18" x14ac:dyDescent="0.25">
      <c r="A1429" s="2"/>
      <c r="B1429" s="33" t="s">
        <v>510</v>
      </c>
      <c r="C1429" s="37"/>
      <c r="D1429" s="71">
        <v>1</v>
      </c>
      <c r="E1429" s="71">
        <v>1</v>
      </c>
      <c r="F1429" s="71">
        <v>0</v>
      </c>
      <c r="G1429" s="68">
        <f t="shared" si="733"/>
        <v>1</v>
      </c>
      <c r="H1429" s="68">
        <f t="shared" si="734"/>
        <v>0</v>
      </c>
      <c r="I1429" s="68">
        <f t="shared" si="735"/>
        <v>0</v>
      </c>
      <c r="J1429" s="74">
        <f t="shared" si="711"/>
        <v>2</v>
      </c>
      <c r="K1429" s="62"/>
    </row>
    <row r="1430" spans="1:18" x14ac:dyDescent="0.25">
      <c r="A1430" s="3"/>
      <c r="B1430" s="40"/>
      <c r="C1430" s="37"/>
      <c r="D1430" s="71"/>
      <c r="E1430" s="71"/>
      <c r="F1430" s="71"/>
      <c r="G1430" s="69" t="str">
        <f t="shared" si="733"/>
        <v/>
      </c>
      <c r="H1430" s="69" t="str">
        <f t="shared" si="734"/>
        <v/>
      </c>
      <c r="I1430" s="69" t="str">
        <f t="shared" si="735"/>
        <v/>
      </c>
      <c r="J1430" s="75" t="str">
        <f t="shared" si="711"/>
        <v/>
      </c>
      <c r="K1430" s="63"/>
    </row>
    <row r="1431" spans="1:18" x14ac:dyDescent="0.25">
      <c r="A1431" s="4" t="s">
        <v>7</v>
      </c>
      <c r="B1431" s="33" t="s">
        <v>574</v>
      </c>
      <c r="C1431" s="33"/>
      <c r="D1431" s="70">
        <v>1</v>
      </c>
      <c r="E1431" s="70">
        <v>1</v>
      </c>
      <c r="F1431" s="70">
        <v>1</v>
      </c>
      <c r="G1431" s="67">
        <f t="shared" si="733"/>
        <v>1</v>
      </c>
      <c r="H1431" s="67">
        <f t="shared" si="734"/>
        <v>1</v>
      </c>
      <c r="I1431" s="67">
        <f t="shared" si="735"/>
        <v>1</v>
      </c>
      <c r="J1431" s="73">
        <f t="shared" si="711"/>
        <v>3</v>
      </c>
      <c r="K1431" s="61"/>
    </row>
    <row r="1432" spans="1:18" x14ac:dyDescent="0.25">
      <c r="A1432" s="2"/>
      <c r="B1432" s="37"/>
      <c r="C1432" s="37"/>
      <c r="D1432" s="71"/>
      <c r="E1432" s="71"/>
      <c r="F1432" s="71"/>
      <c r="G1432" s="68" t="str">
        <f t="shared" si="733"/>
        <v/>
      </c>
      <c r="H1432" s="68" t="str">
        <f t="shared" si="734"/>
        <v/>
      </c>
      <c r="I1432" s="68" t="str">
        <f t="shared" si="735"/>
        <v/>
      </c>
      <c r="J1432" s="74" t="str">
        <f t="shared" si="711"/>
        <v/>
      </c>
      <c r="K1432" s="62"/>
    </row>
    <row r="1433" spans="1:18" x14ac:dyDescent="0.25">
      <c r="A1433" s="3"/>
      <c r="B1433" s="40"/>
      <c r="C1433" s="40"/>
      <c r="D1433" s="72"/>
      <c r="E1433" s="72"/>
      <c r="F1433" s="72"/>
      <c r="G1433" s="69" t="str">
        <f t="shared" si="733"/>
        <v/>
      </c>
      <c r="H1433" s="69" t="str">
        <f t="shared" si="734"/>
        <v/>
      </c>
      <c r="I1433" s="69" t="str">
        <f t="shared" si="735"/>
        <v/>
      </c>
      <c r="J1433" s="75" t="str">
        <f t="shared" si="711"/>
        <v/>
      </c>
      <c r="K1433" s="63"/>
    </row>
    <row r="1434" spans="1:18" x14ac:dyDescent="0.25">
      <c r="A1434" s="4" t="s">
        <v>8</v>
      </c>
      <c r="B1434" s="37" t="s">
        <v>168</v>
      </c>
      <c r="C1434" s="37"/>
      <c r="D1434" s="70">
        <v>1</v>
      </c>
      <c r="E1434" s="70">
        <v>1</v>
      </c>
      <c r="F1434" s="70">
        <v>1</v>
      </c>
      <c r="G1434" s="67">
        <f t="shared" si="733"/>
        <v>1</v>
      </c>
      <c r="H1434" s="67">
        <f t="shared" si="734"/>
        <v>1</v>
      </c>
      <c r="I1434" s="67">
        <f t="shared" si="735"/>
        <v>1</v>
      </c>
      <c r="J1434" s="73">
        <f t="shared" si="711"/>
        <v>3</v>
      </c>
      <c r="K1434" s="61"/>
    </row>
    <row r="1435" spans="1:18" x14ac:dyDescent="0.25">
      <c r="A1435" s="2"/>
      <c r="B1435" s="37" t="s">
        <v>172</v>
      </c>
      <c r="C1435" s="37"/>
      <c r="D1435" s="71">
        <v>1</v>
      </c>
      <c r="E1435" s="71">
        <v>0</v>
      </c>
      <c r="F1435" s="71">
        <v>1</v>
      </c>
      <c r="G1435" s="68">
        <f t="shared" si="733"/>
        <v>0</v>
      </c>
      <c r="H1435" s="68">
        <f t="shared" si="734"/>
        <v>1</v>
      </c>
      <c r="I1435" s="68">
        <f t="shared" si="735"/>
        <v>0</v>
      </c>
      <c r="J1435" s="74">
        <f t="shared" si="711"/>
        <v>2</v>
      </c>
      <c r="K1435" s="62"/>
    </row>
    <row r="1436" spans="1:18" x14ac:dyDescent="0.25">
      <c r="A1436" s="3"/>
      <c r="B1436" s="40"/>
      <c r="C1436" s="40"/>
      <c r="D1436" s="72"/>
      <c r="E1436" s="72"/>
      <c r="F1436" s="72"/>
      <c r="G1436" s="69" t="str">
        <f t="shared" si="733"/>
        <v/>
      </c>
      <c r="H1436" s="69" t="str">
        <f t="shared" si="734"/>
        <v/>
      </c>
      <c r="I1436" s="69" t="str">
        <f t="shared" si="735"/>
        <v/>
      </c>
      <c r="J1436" s="75" t="str">
        <f t="shared" si="711"/>
        <v/>
      </c>
      <c r="K1436" s="63"/>
    </row>
    <row r="1437" spans="1:18" x14ac:dyDescent="0.25">
      <c r="A1437" s="2" t="s">
        <v>9</v>
      </c>
      <c r="B1437" s="37" t="s">
        <v>575</v>
      </c>
      <c r="C1437" s="37"/>
      <c r="D1437" s="71">
        <v>1</v>
      </c>
      <c r="E1437" s="71">
        <v>1</v>
      </c>
      <c r="F1437" s="71">
        <v>1</v>
      </c>
      <c r="G1437" s="68">
        <f t="shared" si="733"/>
        <v>1</v>
      </c>
      <c r="H1437" s="68">
        <f t="shared" si="734"/>
        <v>1</v>
      </c>
      <c r="I1437" s="68">
        <f t="shared" si="735"/>
        <v>1</v>
      </c>
      <c r="J1437" s="74">
        <f t="shared" si="711"/>
        <v>3</v>
      </c>
      <c r="K1437" s="62"/>
    </row>
    <row r="1438" spans="1:18" x14ac:dyDescent="0.25">
      <c r="A1438" s="2"/>
      <c r="B1438" s="37"/>
      <c r="C1438" s="37"/>
      <c r="D1438" s="71"/>
      <c r="E1438" s="71"/>
      <c r="F1438" s="71"/>
      <c r="G1438" s="68" t="str">
        <f t="shared" si="733"/>
        <v/>
      </c>
      <c r="H1438" s="68" t="str">
        <f t="shared" si="734"/>
        <v/>
      </c>
      <c r="I1438" s="68" t="str">
        <f t="shared" si="735"/>
        <v/>
      </c>
      <c r="J1438" s="74" t="str">
        <f t="shared" si="711"/>
        <v/>
      </c>
      <c r="K1438" s="62"/>
    </row>
    <row r="1439" spans="1:18" x14ac:dyDescent="0.25">
      <c r="A1439" s="3"/>
      <c r="B1439" s="40"/>
      <c r="C1439" s="40"/>
      <c r="D1439" s="72"/>
      <c r="E1439" s="72"/>
      <c r="F1439" s="72"/>
      <c r="G1439" s="69" t="str">
        <f t="shared" si="733"/>
        <v/>
      </c>
      <c r="H1439" s="69" t="str">
        <f t="shared" si="734"/>
        <v/>
      </c>
      <c r="I1439" s="69" t="str">
        <f t="shared" si="735"/>
        <v/>
      </c>
      <c r="J1439" s="75" t="str">
        <f t="shared" si="711"/>
        <v/>
      </c>
      <c r="K1439" s="63"/>
    </row>
    <row r="1440" spans="1:18" x14ac:dyDescent="0.25">
      <c r="A1440" s="2" t="s">
        <v>1224</v>
      </c>
      <c r="B1440" s="37" t="s">
        <v>1277</v>
      </c>
      <c r="C1440" s="37"/>
      <c r="D1440" s="71">
        <v>1</v>
      </c>
      <c r="E1440" s="71">
        <v>0</v>
      </c>
      <c r="F1440" s="71">
        <v>1</v>
      </c>
      <c r="G1440" s="68">
        <f t="shared" si="733"/>
        <v>0</v>
      </c>
      <c r="H1440" s="68">
        <f t="shared" si="734"/>
        <v>1</v>
      </c>
      <c r="I1440" s="68">
        <f t="shared" si="735"/>
        <v>0</v>
      </c>
      <c r="J1440" s="74">
        <f t="shared" ref="J1440:J1442" si="742">IF(B1440="","",SUM(D1440:F1440))</f>
        <v>2</v>
      </c>
      <c r="K1440" s="62"/>
    </row>
    <row r="1441" spans="1:18" x14ac:dyDescent="0.25">
      <c r="A1441" s="2"/>
      <c r="B1441" s="37" t="s">
        <v>1341</v>
      </c>
      <c r="C1441" s="37"/>
      <c r="D1441" s="71">
        <v>0</v>
      </c>
      <c r="E1441" s="71">
        <v>1</v>
      </c>
      <c r="F1441" s="71">
        <v>0</v>
      </c>
      <c r="G1441" s="68">
        <f t="shared" si="733"/>
        <v>0</v>
      </c>
      <c r="H1441" s="68">
        <f t="shared" si="734"/>
        <v>0</v>
      </c>
      <c r="I1441" s="68">
        <f t="shared" si="735"/>
        <v>0</v>
      </c>
      <c r="J1441" s="74">
        <f t="shared" si="742"/>
        <v>1</v>
      </c>
      <c r="K1441" s="62"/>
    </row>
    <row r="1442" spans="1:18" x14ac:dyDescent="0.25">
      <c r="A1442" s="3"/>
      <c r="B1442" s="40"/>
      <c r="C1442" s="40"/>
      <c r="D1442" s="72"/>
      <c r="E1442" s="72"/>
      <c r="F1442" s="72"/>
      <c r="G1442" s="69" t="str">
        <f t="shared" si="733"/>
        <v/>
      </c>
      <c r="H1442" s="69" t="str">
        <f t="shared" si="734"/>
        <v/>
      </c>
      <c r="I1442" s="69" t="str">
        <f t="shared" si="735"/>
        <v/>
      </c>
      <c r="J1442" s="75" t="str">
        <f t="shared" si="742"/>
        <v/>
      </c>
      <c r="K1442" s="63"/>
    </row>
    <row r="1444" spans="1:18" x14ac:dyDescent="0.25">
      <c r="A1444" s="81">
        <v>73</v>
      </c>
      <c r="B1444" s="49" t="s">
        <v>1189</v>
      </c>
      <c r="C1444" s="31" t="s">
        <v>1467</v>
      </c>
      <c r="D1444" s="76"/>
      <c r="E1444" s="66"/>
      <c r="F1444" s="66"/>
      <c r="G1444" s="66"/>
      <c r="H1444" s="66"/>
      <c r="I1444" s="66"/>
      <c r="J1444" s="60"/>
      <c r="K1444" s="60"/>
    </row>
    <row r="1445" spans="1:18" x14ac:dyDescent="0.25">
      <c r="A1445" s="4" t="s">
        <v>6</v>
      </c>
      <c r="B1445" s="37" t="s">
        <v>512</v>
      </c>
      <c r="C1445" s="37"/>
      <c r="D1445" s="70">
        <v>1</v>
      </c>
      <c r="E1445" s="70">
        <v>1</v>
      </c>
      <c r="F1445" s="70">
        <v>1</v>
      </c>
      <c r="G1445" s="67">
        <f t="shared" ref="G1445:G1462" si="743">IF(B1445="","",IF( AND(D1445=1, E1445=1),1,0))</f>
        <v>1</v>
      </c>
      <c r="H1445" s="67">
        <f t="shared" ref="H1445:H1462" si="744">IF(B1445="","",IF(AND(D1445=1,F1445=1),1,0))</f>
        <v>1</v>
      </c>
      <c r="I1445" s="67">
        <f t="shared" ref="I1445:I1462" si="745">IF(B1445="","",IF(AND(E1445=1,F1445=1),1,0))</f>
        <v>1</v>
      </c>
      <c r="J1445" s="73">
        <f t="shared" ref="J1445" si="746">IF(B1445="","",SUM(D1445:F1445))</f>
        <v>3</v>
      </c>
      <c r="K1445" s="61"/>
      <c r="M1445" s="7">
        <f t="shared" ref="M1445" si="747">SUM(G1445:I1445)/3</f>
        <v>1</v>
      </c>
      <c r="N1445" s="6">
        <f t="shared" ref="N1445" si="748">SUM(G1448:I1448)/3</f>
        <v>1</v>
      </c>
      <c r="O1445" s="7">
        <f t="shared" ref="O1445" si="749">SUM(G1451:I1451)/3</f>
        <v>0.33333333333333331</v>
      </c>
      <c r="P1445" s="6">
        <f t="shared" ref="P1445" si="750">SUM(G1454:I1454)/3</f>
        <v>1</v>
      </c>
      <c r="Q1445" s="7">
        <f t="shared" ref="Q1445" si="751">SUM(G1457:I1457)/3</f>
        <v>1</v>
      </c>
      <c r="R1445" s="7">
        <f>SUM(G1460:I1460)/3</f>
        <v>0.33333333333333331</v>
      </c>
    </row>
    <row r="1446" spans="1:18" x14ac:dyDescent="0.25">
      <c r="A1446" s="2"/>
      <c r="B1446" s="37"/>
      <c r="C1446" s="37"/>
      <c r="D1446" s="71"/>
      <c r="E1446" s="71"/>
      <c r="F1446" s="71"/>
      <c r="G1446" s="68" t="str">
        <f t="shared" si="743"/>
        <v/>
      </c>
      <c r="H1446" s="68" t="str">
        <f t="shared" si="744"/>
        <v/>
      </c>
      <c r="I1446" s="68" t="str">
        <f t="shared" si="745"/>
        <v/>
      </c>
      <c r="J1446" s="74" t="str">
        <f t="shared" si="711"/>
        <v/>
      </c>
      <c r="K1446" s="62"/>
    </row>
    <row r="1447" spans="1:18" x14ac:dyDescent="0.25">
      <c r="A1447" s="3"/>
      <c r="B1447" s="42"/>
      <c r="C1447" s="42"/>
      <c r="D1447" s="72"/>
      <c r="E1447" s="72"/>
      <c r="F1447" s="72"/>
      <c r="G1447" s="69" t="str">
        <f t="shared" si="743"/>
        <v/>
      </c>
      <c r="H1447" s="69" t="str">
        <f t="shared" si="744"/>
        <v/>
      </c>
      <c r="I1447" s="69" t="str">
        <f t="shared" si="745"/>
        <v/>
      </c>
      <c r="J1447" s="75" t="str">
        <f t="shared" si="711"/>
        <v/>
      </c>
      <c r="K1447" s="63"/>
    </row>
    <row r="1448" spans="1:18" x14ac:dyDescent="0.25">
      <c r="A1448" s="4" t="s">
        <v>5</v>
      </c>
      <c r="B1448" s="33" t="s">
        <v>577</v>
      </c>
      <c r="C1448" s="33"/>
      <c r="D1448" s="70">
        <v>1</v>
      </c>
      <c r="E1448" s="70">
        <v>1</v>
      </c>
      <c r="F1448" s="70">
        <v>1</v>
      </c>
      <c r="G1448" s="67">
        <f t="shared" si="743"/>
        <v>1</v>
      </c>
      <c r="H1448" s="67">
        <f t="shared" si="744"/>
        <v>1</v>
      </c>
      <c r="I1448" s="67">
        <f t="shared" si="745"/>
        <v>1</v>
      </c>
      <c r="J1448" s="73">
        <f t="shared" si="711"/>
        <v>3</v>
      </c>
      <c r="K1448" s="61"/>
    </row>
    <row r="1449" spans="1:18" x14ac:dyDescent="0.25">
      <c r="A1449" s="2"/>
      <c r="B1449" s="37"/>
      <c r="C1449" s="37"/>
      <c r="D1449" s="71"/>
      <c r="E1449" s="71"/>
      <c r="F1449" s="71"/>
      <c r="G1449" s="68" t="str">
        <f t="shared" si="743"/>
        <v/>
      </c>
      <c r="H1449" s="68" t="str">
        <f t="shared" si="744"/>
        <v/>
      </c>
      <c r="I1449" s="68" t="str">
        <f t="shared" si="745"/>
        <v/>
      </c>
      <c r="J1449" s="74" t="str">
        <f t="shared" si="711"/>
        <v/>
      </c>
      <c r="K1449" s="62"/>
    </row>
    <row r="1450" spans="1:18" x14ac:dyDescent="0.25">
      <c r="A1450" s="3"/>
      <c r="B1450" s="40"/>
      <c r="C1450" s="37"/>
      <c r="D1450" s="71"/>
      <c r="E1450" s="71"/>
      <c r="F1450" s="71"/>
      <c r="G1450" s="69" t="str">
        <f t="shared" si="743"/>
        <v/>
      </c>
      <c r="H1450" s="69" t="str">
        <f t="shared" si="744"/>
        <v/>
      </c>
      <c r="I1450" s="69" t="str">
        <f t="shared" si="745"/>
        <v/>
      </c>
      <c r="J1450" s="75" t="str">
        <f t="shared" ref="J1450:J1519" si="752">IF(B1450="","",SUM(D1450:F1450))</f>
        <v/>
      </c>
      <c r="K1450" s="63"/>
    </row>
    <row r="1451" spans="1:18" x14ac:dyDescent="0.25">
      <c r="A1451" s="4" t="s">
        <v>7</v>
      </c>
      <c r="B1451" s="33" t="s">
        <v>1105</v>
      </c>
      <c r="C1451" s="33"/>
      <c r="D1451" s="70">
        <v>1</v>
      </c>
      <c r="E1451" s="70">
        <v>1</v>
      </c>
      <c r="F1451" s="70">
        <v>0</v>
      </c>
      <c r="G1451" s="67">
        <f t="shared" si="743"/>
        <v>1</v>
      </c>
      <c r="H1451" s="67">
        <f t="shared" si="744"/>
        <v>0</v>
      </c>
      <c r="I1451" s="67">
        <f t="shared" si="745"/>
        <v>0</v>
      </c>
      <c r="J1451" s="73">
        <f t="shared" si="752"/>
        <v>2</v>
      </c>
      <c r="K1451" s="61"/>
    </row>
    <row r="1452" spans="1:18" x14ac:dyDescent="0.25">
      <c r="A1452" s="2"/>
      <c r="B1452" s="37"/>
      <c r="C1452" s="37"/>
      <c r="D1452" s="71"/>
      <c r="E1452" s="71"/>
      <c r="F1452" s="71"/>
      <c r="G1452" s="68" t="str">
        <f t="shared" si="743"/>
        <v/>
      </c>
      <c r="H1452" s="68" t="str">
        <f t="shared" si="744"/>
        <v/>
      </c>
      <c r="I1452" s="68" t="str">
        <f t="shared" si="745"/>
        <v/>
      </c>
      <c r="J1452" s="74" t="str">
        <f t="shared" si="752"/>
        <v/>
      </c>
      <c r="K1452" s="62"/>
    </row>
    <row r="1453" spans="1:18" x14ac:dyDescent="0.25">
      <c r="A1453" s="3"/>
      <c r="B1453" s="40"/>
      <c r="C1453" s="40"/>
      <c r="D1453" s="72"/>
      <c r="E1453" s="72"/>
      <c r="F1453" s="72"/>
      <c r="G1453" s="69" t="str">
        <f t="shared" si="743"/>
        <v/>
      </c>
      <c r="H1453" s="69" t="str">
        <f t="shared" si="744"/>
        <v/>
      </c>
      <c r="I1453" s="69" t="str">
        <f t="shared" si="745"/>
        <v/>
      </c>
      <c r="J1453" s="75" t="str">
        <f t="shared" si="752"/>
        <v/>
      </c>
      <c r="K1453" s="63"/>
    </row>
    <row r="1454" spans="1:18" x14ac:dyDescent="0.25">
      <c r="A1454" s="4" t="s">
        <v>8</v>
      </c>
      <c r="B1454" s="37" t="s">
        <v>172</v>
      </c>
      <c r="C1454" s="37"/>
      <c r="D1454" s="70">
        <v>1</v>
      </c>
      <c r="E1454" s="70">
        <v>1</v>
      </c>
      <c r="F1454" s="70">
        <v>1</v>
      </c>
      <c r="G1454" s="67">
        <f t="shared" si="743"/>
        <v>1</v>
      </c>
      <c r="H1454" s="67">
        <f t="shared" si="744"/>
        <v>1</v>
      </c>
      <c r="I1454" s="67">
        <f t="shared" si="745"/>
        <v>1</v>
      </c>
      <c r="J1454" s="73">
        <f t="shared" si="752"/>
        <v>3</v>
      </c>
      <c r="K1454" s="61"/>
    </row>
    <row r="1455" spans="1:18" x14ac:dyDescent="0.25">
      <c r="A1455" s="2"/>
      <c r="B1455" s="37" t="s">
        <v>168</v>
      </c>
      <c r="C1455" s="37"/>
      <c r="D1455" s="71">
        <v>1</v>
      </c>
      <c r="E1455" s="71">
        <v>0</v>
      </c>
      <c r="F1455" s="71">
        <v>1</v>
      </c>
      <c r="G1455" s="68">
        <f t="shared" si="743"/>
        <v>0</v>
      </c>
      <c r="H1455" s="68">
        <f t="shared" si="744"/>
        <v>1</v>
      </c>
      <c r="I1455" s="68">
        <f t="shared" si="745"/>
        <v>0</v>
      </c>
      <c r="J1455" s="74">
        <f t="shared" si="752"/>
        <v>2</v>
      </c>
      <c r="K1455" s="62"/>
    </row>
    <row r="1456" spans="1:18" x14ac:dyDescent="0.25">
      <c r="A1456" s="3"/>
      <c r="B1456" s="40"/>
      <c r="C1456" s="40"/>
      <c r="D1456" s="72"/>
      <c r="E1456" s="72"/>
      <c r="F1456" s="72"/>
      <c r="G1456" s="69" t="str">
        <f t="shared" si="743"/>
        <v/>
      </c>
      <c r="H1456" s="69" t="str">
        <f t="shared" si="744"/>
        <v/>
      </c>
      <c r="I1456" s="69" t="str">
        <f t="shared" si="745"/>
        <v/>
      </c>
      <c r="J1456" s="75" t="str">
        <f t="shared" si="752"/>
        <v/>
      </c>
      <c r="K1456" s="63"/>
    </row>
    <row r="1457" spans="1:18" x14ac:dyDescent="0.25">
      <c r="A1457" s="2" t="s">
        <v>9</v>
      </c>
      <c r="B1457" s="37" t="s">
        <v>578</v>
      </c>
      <c r="C1457" s="37"/>
      <c r="D1457" s="71">
        <v>1</v>
      </c>
      <c r="E1457" s="71">
        <v>1</v>
      </c>
      <c r="F1457" s="71">
        <v>1</v>
      </c>
      <c r="G1457" s="68">
        <f t="shared" si="743"/>
        <v>1</v>
      </c>
      <c r="H1457" s="68">
        <f t="shared" si="744"/>
        <v>1</v>
      </c>
      <c r="I1457" s="68">
        <f t="shared" si="745"/>
        <v>1</v>
      </c>
      <c r="J1457" s="74">
        <f t="shared" si="752"/>
        <v>3</v>
      </c>
      <c r="K1457" s="62"/>
    </row>
    <row r="1458" spans="1:18" x14ac:dyDescent="0.25">
      <c r="A1458" s="2"/>
      <c r="B1458" s="37"/>
      <c r="C1458" s="37"/>
      <c r="D1458" s="71"/>
      <c r="E1458" s="71"/>
      <c r="F1458" s="71"/>
      <c r="G1458" s="68" t="str">
        <f t="shared" si="743"/>
        <v/>
      </c>
      <c r="H1458" s="68" t="str">
        <f t="shared" si="744"/>
        <v/>
      </c>
      <c r="I1458" s="68" t="str">
        <f t="shared" si="745"/>
        <v/>
      </c>
      <c r="J1458" s="74" t="str">
        <f t="shared" si="752"/>
        <v/>
      </c>
      <c r="K1458" s="62"/>
    </row>
    <row r="1459" spans="1:18" x14ac:dyDescent="0.25">
      <c r="A1459" s="3"/>
      <c r="B1459" s="40"/>
      <c r="C1459" s="40"/>
      <c r="D1459" s="72"/>
      <c r="E1459" s="72"/>
      <c r="F1459" s="72"/>
      <c r="G1459" s="69" t="str">
        <f t="shared" si="743"/>
        <v/>
      </c>
      <c r="H1459" s="69" t="str">
        <f t="shared" si="744"/>
        <v/>
      </c>
      <c r="I1459" s="69" t="str">
        <f t="shared" si="745"/>
        <v/>
      </c>
      <c r="J1459" s="75" t="str">
        <f t="shared" si="752"/>
        <v/>
      </c>
      <c r="K1459" s="63"/>
    </row>
    <row r="1460" spans="1:18" x14ac:dyDescent="0.25">
      <c r="A1460" s="2" t="s">
        <v>1224</v>
      </c>
      <c r="B1460" s="37" t="s">
        <v>1278</v>
      </c>
      <c r="C1460" s="37"/>
      <c r="D1460" s="71">
        <v>1</v>
      </c>
      <c r="E1460" s="71">
        <v>1</v>
      </c>
      <c r="F1460" s="71">
        <v>0</v>
      </c>
      <c r="G1460" s="68">
        <f t="shared" si="743"/>
        <v>1</v>
      </c>
      <c r="H1460" s="68">
        <f t="shared" si="744"/>
        <v>0</v>
      </c>
      <c r="I1460" s="68">
        <f t="shared" si="745"/>
        <v>0</v>
      </c>
      <c r="J1460" s="74">
        <f t="shared" ref="J1460:J1462" si="753">IF(B1460="","",SUM(D1460:F1460))</f>
        <v>2</v>
      </c>
      <c r="K1460" s="62"/>
    </row>
    <row r="1461" spans="1:18" x14ac:dyDescent="0.25">
      <c r="A1461" s="2"/>
      <c r="B1461" s="37" t="s">
        <v>1343</v>
      </c>
      <c r="C1461" s="37"/>
      <c r="D1461" s="71">
        <v>0</v>
      </c>
      <c r="E1461" s="71">
        <v>1</v>
      </c>
      <c r="F1461" s="71">
        <v>1</v>
      </c>
      <c r="G1461" s="68">
        <f t="shared" si="743"/>
        <v>0</v>
      </c>
      <c r="H1461" s="68">
        <f t="shared" si="744"/>
        <v>0</v>
      </c>
      <c r="I1461" s="68">
        <f t="shared" si="745"/>
        <v>1</v>
      </c>
      <c r="J1461" s="74">
        <f t="shared" si="753"/>
        <v>2</v>
      </c>
      <c r="K1461" s="62"/>
    </row>
    <row r="1462" spans="1:18" x14ac:dyDescent="0.25">
      <c r="A1462" s="3"/>
      <c r="B1462" s="40"/>
      <c r="C1462" s="40"/>
      <c r="D1462" s="72"/>
      <c r="E1462" s="72"/>
      <c r="F1462" s="72"/>
      <c r="G1462" s="69" t="str">
        <f t="shared" si="743"/>
        <v/>
      </c>
      <c r="H1462" s="69" t="str">
        <f t="shared" si="744"/>
        <v/>
      </c>
      <c r="I1462" s="69" t="str">
        <f t="shared" si="745"/>
        <v/>
      </c>
      <c r="J1462" s="75" t="str">
        <f t="shared" si="753"/>
        <v/>
      </c>
      <c r="K1462" s="63"/>
    </row>
    <row r="1464" spans="1:18" x14ac:dyDescent="0.25">
      <c r="A1464" s="81">
        <v>74</v>
      </c>
      <c r="B1464" s="49" t="s">
        <v>1190</v>
      </c>
      <c r="C1464" s="31" t="s">
        <v>1468</v>
      </c>
      <c r="D1464" s="76"/>
      <c r="E1464" s="66"/>
      <c r="F1464" s="66"/>
      <c r="G1464" s="66"/>
      <c r="H1464" s="66"/>
      <c r="I1464" s="66"/>
      <c r="J1464" s="60"/>
      <c r="K1464" s="60"/>
    </row>
    <row r="1465" spans="1:18" x14ac:dyDescent="0.25">
      <c r="A1465" s="4" t="s">
        <v>6</v>
      </c>
      <c r="B1465" s="37" t="s">
        <v>579</v>
      </c>
      <c r="C1465" s="37"/>
      <c r="D1465" s="70">
        <v>1</v>
      </c>
      <c r="E1465" s="70">
        <v>0</v>
      </c>
      <c r="F1465" s="70">
        <v>1</v>
      </c>
      <c r="G1465" s="67">
        <f t="shared" ref="G1465:G1482" si="754">IF(B1465="","",IF( AND(D1465=1, E1465=1),1,0))</f>
        <v>0</v>
      </c>
      <c r="H1465" s="67">
        <f t="shared" ref="H1465:H1482" si="755">IF(B1465="","",IF(AND(D1465=1,F1465=1),1,0))</f>
        <v>1</v>
      </c>
      <c r="I1465" s="67">
        <f t="shared" ref="I1465:I1482" si="756">IF(B1465="","",IF(AND(E1465=1,F1465=1),1,0))</f>
        <v>0</v>
      </c>
      <c r="J1465" s="73">
        <f t="shared" ref="J1465" si="757">IF(B1465="","",SUM(D1465:F1465))</f>
        <v>2</v>
      </c>
      <c r="K1465" s="61"/>
      <c r="M1465" s="7">
        <f t="shared" ref="M1465" si="758">SUM(G1465:I1465)/3</f>
        <v>0.33333333333333331</v>
      </c>
      <c r="N1465" s="6">
        <f t="shared" ref="N1465" si="759">SUM(G1468:I1468)/3</f>
        <v>0.33333333333333331</v>
      </c>
      <c r="O1465" s="7">
        <f t="shared" ref="O1465" si="760">SUM(G1471:I1471)/3</f>
        <v>1</v>
      </c>
      <c r="P1465" s="6">
        <f t="shared" ref="P1465" si="761">SUM(G1474:I1474)/3</f>
        <v>1</v>
      </c>
      <c r="Q1465" s="7">
        <f t="shared" ref="Q1465" si="762">SUM(G1477:I1477)/3</f>
        <v>0.33333333333333331</v>
      </c>
      <c r="R1465" s="7">
        <f>SUM(G1480:I1480)/3</f>
        <v>1</v>
      </c>
    </row>
    <row r="1466" spans="1:18" x14ac:dyDescent="0.25">
      <c r="A1466" s="2"/>
      <c r="B1466" s="37"/>
      <c r="C1466" s="37"/>
      <c r="D1466" s="71"/>
      <c r="E1466" s="71"/>
      <c r="F1466" s="71"/>
      <c r="G1466" s="68" t="str">
        <f t="shared" si="754"/>
        <v/>
      </c>
      <c r="H1466" s="68" t="str">
        <f t="shared" si="755"/>
        <v/>
      </c>
      <c r="I1466" s="68" t="str">
        <f t="shared" si="756"/>
        <v/>
      </c>
      <c r="J1466" s="74" t="str">
        <f t="shared" si="752"/>
        <v/>
      </c>
      <c r="K1466" s="62"/>
    </row>
    <row r="1467" spans="1:18" x14ac:dyDescent="0.25">
      <c r="A1467" s="3"/>
      <c r="B1467" s="42"/>
      <c r="C1467" s="42"/>
      <c r="D1467" s="72"/>
      <c r="E1467" s="72"/>
      <c r="F1467" s="72"/>
      <c r="G1467" s="69" t="str">
        <f t="shared" si="754"/>
        <v/>
      </c>
      <c r="H1467" s="69" t="str">
        <f t="shared" si="755"/>
        <v/>
      </c>
      <c r="I1467" s="69" t="str">
        <f t="shared" si="756"/>
        <v/>
      </c>
      <c r="J1467" s="75" t="str">
        <f t="shared" si="752"/>
        <v/>
      </c>
      <c r="K1467" s="63"/>
    </row>
    <row r="1468" spans="1:18" x14ac:dyDescent="0.25">
      <c r="A1468" s="4" t="s">
        <v>5</v>
      </c>
      <c r="B1468" s="37" t="s">
        <v>581</v>
      </c>
      <c r="C1468" s="37"/>
      <c r="D1468" s="70">
        <v>1</v>
      </c>
      <c r="E1468" s="70">
        <v>0</v>
      </c>
      <c r="F1468" s="70">
        <v>1</v>
      </c>
      <c r="G1468" s="67">
        <f t="shared" si="754"/>
        <v>0</v>
      </c>
      <c r="H1468" s="67">
        <f t="shared" si="755"/>
        <v>1</v>
      </c>
      <c r="I1468" s="67">
        <f t="shared" si="756"/>
        <v>0</v>
      </c>
      <c r="J1468" s="73">
        <f t="shared" si="752"/>
        <v>2</v>
      </c>
      <c r="K1468" s="61"/>
    </row>
    <row r="1469" spans="1:18" x14ac:dyDescent="0.25">
      <c r="A1469" s="2"/>
      <c r="B1469" s="37" t="s">
        <v>582</v>
      </c>
      <c r="C1469" s="37"/>
      <c r="D1469" s="71">
        <v>1</v>
      </c>
      <c r="E1469" s="71">
        <v>1</v>
      </c>
      <c r="F1469" s="71">
        <v>0</v>
      </c>
      <c r="G1469" s="68">
        <f t="shared" si="754"/>
        <v>1</v>
      </c>
      <c r="H1469" s="68">
        <f t="shared" si="755"/>
        <v>0</v>
      </c>
      <c r="I1469" s="68">
        <f t="shared" si="756"/>
        <v>0</v>
      </c>
      <c r="J1469" s="74">
        <f t="shared" si="752"/>
        <v>2</v>
      </c>
      <c r="K1469" s="62"/>
    </row>
    <row r="1470" spans="1:18" x14ac:dyDescent="0.25">
      <c r="A1470" s="3"/>
      <c r="B1470" s="40"/>
      <c r="C1470" s="37"/>
      <c r="D1470" s="71"/>
      <c r="E1470" s="71"/>
      <c r="F1470" s="71"/>
      <c r="G1470" s="69" t="str">
        <f t="shared" si="754"/>
        <v/>
      </c>
      <c r="H1470" s="69" t="str">
        <f t="shared" si="755"/>
        <v/>
      </c>
      <c r="I1470" s="69" t="str">
        <f t="shared" si="756"/>
        <v/>
      </c>
      <c r="J1470" s="75" t="str">
        <f t="shared" si="752"/>
        <v/>
      </c>
      <c r="K1470" s="63"/>
    </row>
    <row r="1471" spans="1:18" x14ac:dyDescent="0.25">
      <c r="A1471" s="4" t="s">
        <v>7</v>
      </c>
      <c r="B1471" s="33" t="s">
        <v>1105</v>
      </c>
      <c r="C1471" s="33"/>
      <c r="D1471" s="70">
        <v>1</v>
      </c>
      <c r="E1471" s="70">
        <v>1</v>
      </c>
      <c r="F1471" s="70">
        <v>1</v>
      </c>
      <c r="G1471" s="67">
        <f t="shared" si="754"/>
        <v>1</v>
      </c>
      <c r="H1471" s="67">
        <f t="shared" si="755"/>
        <v>1</v>
      </c>
      <c r="I1471" s="67">
        <f t="shared" si="756"/>
        <v>1</v>
      </c>
      <c r="J1471" s="73">
        <f t="shared" si="752"/>
        <v>3</v>
      </c>
      <c r="K1471" s="61"/>
    </row>
    <row r="1472" spans="1:18" x14ac:dyDescent="0.25">
      <c r="A1472" s="2"/>
      <c r="B1472" s="37"/>
      <c r="C1472" s="37"/>
      <c r="D1472" s="71"/>
      <c r="E1472" s="71"/>
      <c r="F1472" s="71"/>
      <c r="G1472" s="68" t="str">
        <f t="shared" si="754"/>
        <v/>
      </c>
      <c r="H1472" s="68" t="str">
        <f t="shared" si="755"/>
        <v/>
      </c>
      <c r="I1472" s="68" t="str">
        <f t="shared" si="756"/>
        <v/>
      </c>
      <c r="J1472" s="74" t="str">
        <f t="shared" si="752"/>
        <v/>
      </c>
      <c r="K1472" s="62"/>
    </row>
    <row r="1473" spans="1:18" x14ac:dyDescent="0.25">
      <c r="A1473" s="3"/>
      <c r="B1473" s="40"/>
      <c r="C1473" s="40"/>
      <c r="D1473" s="72"/>
      <c r="E1473" s="72"/>
      <c r="F1473" s="72"/>
      <c r="G1473" s="69" t="str">
        <f t="shared" si="754"/>
        <v/>
      </c>
      <c r="H1473" s="69" t="str">
        <f t="shared" si="755"/>
        <v/>
      </c>
      <c r="I1473" s="69" t="str">
        <f t="shared" si="756"/>
        <v/>
      </c>
      <c r="J1473" s="75" t="str">
        <f t="shared" si="752"/>
        <v/>
      </c>
      <c r="K1473" s="63"/>
    </row>
    <row r="1474" spans="1:18" x14ac:dyDescent="0.25">
      <c r="A1474" s="4" t="s">
        <v>8</v>
      </c>
      <c r="B1474" s="37" t="s">
        <v>172</v>
      </c>
      <c r="C1474" s="37"/>
      <c r="D1474" s="70">
        <v>1</v>
      </c>
      <c r="E1474" s="70">
        <v>1</v>
      </c>
      <c r="F1474" s="70">
        <v>1</v>
      </c>
      <c r="G1474" s="67">
        <f t="shared" si="754"/>
        <v>1</v>
      </c>
      <c r="H1474" s="67">
        <f t="shared" si="755"/>
        <v>1</v>
      </c>
      <c r="I1474" s="67">
        <f t="shared" si="756"/>
        <v>1</v>
      </c>
      <c r="J1474" s="73">
        <f t="shared" si="752"/>
        <v>3</v>
      </c>
      <c r="K1474" s="61"/>
    </row>
    <row r="1475" spans="1:18" x14ac:dyDescent="0.25">
      <c r="A1475" s="2"/>
      <c r="B1475" s="37" t="s">
        <v>168</v>
      </c>
      <c r="C1475" s="37"/>
      <c r="D1475" s="71">
        <v>1</v>
      </c>
      <c r="E1475" s="71">
        <v>0</v>
      </c>
      <c r="F1475" s="71">
        <v>1</v>
      </c>
      <c r="G1475" s="68">
        <f t="shared" si="754"/>
        <v>0</v>
      </c>
      <c r="H1475" s="68">
        <f t="shared" si="755"/>
        <v>1</v>
      </c>
      <c r="I1475" s="68">
        <f t="shared" si="756"/>
        <v>0</v>
      </c>
      <c r="J1475" s="74">
        <f t="shared" si="752"/>
        <v>2</v>
      </c>
      <c r="K1475" s="62"/>
    </row>
    <row r="1476" spans="1:18" x14ac:dyDescent="0.25">
      <c r="A1476" s="3"/>
      <c r="B1476" s="40"/>
      <c r="C1476" s="40"/>
      <c r="D1476" s="72"/>
      <c r="E1476" s="72"/>
      <c r="F1476" s="72"/>
      <c r="G1476" s="69" t="str">
        <f t="shared" si="754"/>
        <v/>
      </c>
      <c r="H1476" s="69" t="str">
        <f t="shared" si="755"/>
        <v/>
      </c>
      <c r="I1476" s="69" t="str">
        <f t="shared" si="756"/>
        <v/>
      </c>
      <c r="J1476" s="75" t="str">
        <f t="shared" si="752"/>
        <v/>
      </c>
      <c r="K1476" s="63"/>
    </row>
    <row r="1477" spans="1:18" x14ac:dyDescent="0.25">
      <c r="A1477" s="2" t="s">
        <v>9</v>
      </c>
      <c r="B1477" s="37" t="s">
        <v>1105</v>
      </c>
      <c r="C1477" s="37"/>
      <c r="D1477" s="71">
        <v>1</v>
      </c>
      <c r="E1477" s="71">
        <v>0</v>
      </c>
      <c r="F1477" s="71">
        <v>1</v>
      </c>
      <c r="G1477" s="68">
        <f t="shared" si="754"/>
        <v>0</v>
      </c>
      <c r="H1477" s="68">
        <f t="shared" si="755"/>
        <v>1</v>
      </c>
      <c r="I1477" s="68">
        <f t="shared" si="756"/>
        <v>0</v>
      </c>
      <c r="J1477" s="74">
        <f t="shared" si="752"/>
        <v>2</v>
      </c>
      <c r="K1477" s="62"/>
    </row>
    <row r="1478" spans="1:18" x14ac:dyDescent="0.25">
      <c r="A1478" s="2"/>
      <c r="B1478" s="37"/>
      <c r="C1478" s="37"/>
      <c r="D1478" s="71"/>
      <c r="E1478" s="71"/>
      <c r="F1478" s="71"/>
      <c r="G1478" s="68" t="str">
        <f t="shared" si="754"/>
        <v/>
      </c>
      <c r="H1478" s="68" t="str">
        <f t="shared" si="755"/>
        <v/>
      </c>
      <c r="I1478" s="68" t="str">
        <f t="shared" si="756"/>
        <v/>
      </c>
      <c r="J1478" s="74" t="str">
        <f t="shared" si="752"/>
        <v/>
      </c>
      <c r="K1478" s="62"/>
    </row>
    <row r="1479" spans="1:18" x14ac:dyDescent="0.25">
      <c r="A1479" s="3"/>
      <c r="B1479" s="40"/>
      <c r="C1479" s="40"/>
      <c r="D1479" s="72"/>
      <c r="E1479" s="72"/>
      <c r="F1479" s="72"/>
      <c r="G1479" s="69" t="str">
        <f t="shared" si="754"/>
        <v/>
      </c>
      <c r="H1479" s="69" t="str">
        <f t="shared" si="755"/>
        <v/>
      </c>
      <c r="I1479" s="69" t="str">
        <f t="shared" si="756"/>
        <v/>
      </c>
      <c r="J1479" s="75" t="str">
        <f t="shared" si="752"/>
        <v/>
      </c>
      <c r="K1479" s="63"/>
    </row>
    <row r="1480" spans="1:18" x14ac:dyDescent="0.25">
      <c r="A1480" s="2" t="s">
        <v>1224</v>
      </c>
      <c r="B1480" s="37" t="s">
        <v>1343</v>
      </c>
      <c r="C1480" s="37"/>
      <c r="D1480" s="71">
        <v>1</v>
      </c>
      <c r="E1480" s="71">
        <v>1</v>
      </c>
      <c r="F1480" s="71">
        <v>1</v>
      </c>
      <c r="G1480" s="68">
        <f t="shared" si="754"/>
        <v>1</v>
      </c>
      <c r="H1480" s="68">
        <f t="shared" si="755"/>
        <v>1</v>
      </c>
      <c r="I1480" s="68">
        <f t="shared" si="756"/>
        <v>1</v>
      </c>
      <c r="J1480" s="74">
        <f t="shared" ref="J1480:J1482" si="763">IF(B1480="","",SUM(D1480:F1480))</f>
        <v>3</v>
      </c>
      <c r="K1480" s="62"/>
    </row>
    <row r="1481" spans="1:18" x14ac:dyDescent="0.25">
      <c r="A1481" s="2"/>
      <c r="B1481" s="37"/>
      <c r="C1481" s="37"/>
      <c r="D1481" s="71"/>
      <c r="E1481" s="71"/>
      <c r="F1481" s="71"/>
      <c r="G1481" s="68" t="str">
        <f t="shared" si="754"/>
        <v/>
      </c>
      <c r="H1481" s="68" t="str">
        <f t="shared" si="755"/>
        <v/>
      </c>
      <c r="I1481" s="68" t="str">
        <f t="shared" si="756"/>
        <v/>
      </c>
      <c r="J1481" s="74" t="str">
        <f t="shared" si="763"/>
        <v/>
      </c>
      <c r="K1481" s="62"/>
    </row>
    <row r="1482" spans="1:18" x14ac:dyDescent="0.25">
      <c r="A1482" s="3"/>
      <c r="B1482" s="40"/>
      <c r="C1482" s="40"/>
      <c r="D1482" s="72"/>
      <c r="E1482" s="72"/>
      <c r="F1482" s="72"/>
      <c r="G1482" s="69" t="str">
        <f t="shared" si="754"/>
        <v/>
      </c>
      <c r="H1482" s="69" t="str">
        <f t="shared" si="755"/>
        <v/>
      </c>
      <c r="I1482" s="69" t="str">
        <f t="shared" si="756"/>
        <v/>
      </c>
      <c r="J1482" s="75" t="str">
        <f t="shared" si="763"/>
        <v/>
      </c>
      <c r="K1482" s="63"/>
    </row>
    <row r="1484" spans="1:18" x14ac:dyDescent="0.25">
      <c r="A1484" s="81">
        <v>75</v>
      </c>
      <c r="B1484" s="49" t="s">
        <v>1191</v>
      </c>
      <c r="C1484" s="31" t="s">
        <v>1469</v>
      </c>
      <c r="D1484" s="76"/>
      <c r="E1484" s="66"/>
      <c r="F1484" s="66"/>
      <c r="G1484" s="66"/>
      <c r="H1484" s="66"/>
      <c r="I1484" s="66"/>
      <c r="J1484" s="60"/>
      <c r="K1484" s="60"/>
    </row>
    <row r="1485" spans="1:18" x14ac:dyDescent="0.25">
      <c r="A1485" s="4" t="s">
        <v>6</v>
      </c>
      <c r="B1485" s="37" t="s">
        <v>516</v>
      </c>
      <c r="C1485" s="37"/>
      <c r="D1485" s="70">
        <v>1</v>
      </c>
      <c r="E1485" s="70">
        <v>1</v>
      </c>
      <c r="F1485" s="70">
        <v>1</v>
      </c>
      <c r="G1485" s="67">
        <f t="shared" ref="G1485:G1502" si="764">IF(B1485="","",IF( AND(D1485=1, E1485=1),1,0))</f>
        <v>1</v>
      </c>
      <c r="H1485" s="67">
        <f t="shared" ref="H1485:H1502" si="765">IF(B1485="","",IF(AND(D1485=1,F1485=1),1,0))</f>
        <v>1</v>
      </c>
      <c r="I1485" s="67">
        <f t="shared" ref="I1485:I1502" si="766">IF(B1485="","",IF(AND(E1485=1,F1485=1),1,0))</f>
        <v>1</v>
      </c>
      <c r="J1485" s="73">
        <f t="shared" ref="J1485" si="767">IF(B1485="","",SUM(D1485:F1485))</f>
        <v>3</v>
      </c>
      <c r="K1485" s="61"/>
      <c r="M1485" s="7">
        <f t="shared" ref="M1485" si="768">SUM(G1485:I1485)/3</f>
        <v>1</v>
      </c>
      <c r="N1485" s="6">
        <f t="shared" ref="N1485" si="769">SUM(G1488:I1488)/3</f>
        <v>1</v>
      </c>
      <c r="O1485" s="7">
        <f t="shared" ref="O1485" si="770">SUM(G1491:I1491)/3</f>
        <v>1</v>
      </c>
      <c r="P1485" s="6">
        <f t="shared" ref="P1485" si="771">SUM(G1494:I1494)/3</f>
        <v>1</v>
      </c>
      <c r="Q1485" s="7">
        <f t="shared" ref="Q1485" si="772">SUM(G1497:I1497)/3</f>
        <v>0</v>
      </c>
      <c r="R1485" s="7">
        <f>SUM(G1500:I1500)/3</f>
        <v>0.33333333333333331</v>
      </c>
    </row>
    <row r="1486" spans="1:18" x14ac:dyDescent="0.25">
      <c r="A1486" s="2"/>
      <c r="B1486" s="37"/>
      <c r="C1486" s="37"/>
      <c r="D1486" s="71"/>
      <c r="E1486" s="71"/>
      <c r="F1486" s="71"/>
      <c r="G1486" s="68" t="str">
        <f t="shared" si="764"/>
        <v/>
      </c>
      <c r="H1486" s="68" t="str">
        <f t="shared" si="765"/>
        <v/>
      </c>
      <c r="I1486" s="68" t="str">
        <f t="shared" si="766"/>
        <v/>
      </c>
      <c r="J1486" s="74" t="str">
        <f t="shared" si="752"/>
        <v/>
      </c>
      <c r="K1486" s="62"/>
    </row>
    <row r="1487" spans="1:18" x14ac:dyDescent="0.25">
      <c r="A1487" s="3"/>
      <c r="B1487" s="42"/>
      <c r="C1487" s="42"/>
      <c r="D1487" s="72"/>
      <c r="E1487" s="72"/>
      <c r="F1487" s="72"/>
      <c r="G1487" s="69" t="str">
        <f t="shared" si="764"/>
        <v/>
      </c>
      <c r="H1487" s="69" t="str">
        <f t="shared" si="765"/>
        <v/>
      </c>
      <c r="I1487" s="69" t="str">
        <f t="shared" si="766"/>
        <v/>
      </c>
      <c r="J1487" s="75" t="str">
        <f t="shared" si="752"/>
        <v/>
      </c>
      <c r="K1487" s="63"/>
    </row>
    <row r="1488" spans="1:18" x14ac:dyDescent="0.25">
      <c r="A1488" s="4" t="s">
        <v>5</v>
      </c>
      <c r="B1488" s="33" t="s">
        <v>23</v>
      </c>
      <c r="C1488" s="33"/>
      <c r="D1488" s="70">
        <v>1</v>
      </c>
      <c r="E1488" s="70">
        <v>1</v>
      </c>
      <c r="F1488" s="70">
        <v>1</v>
      </c>
      <c r="G1488" s="67">
        <f t="shared" si="764"/>
        <v>1</v>
      </c>
      <c r="H1488" s="67">
        <f t="shared" si="765"/>
        <v>1</v>
      </c>
      <c r="I1488" s="67">
        <f t="shared" si="766"/>
        <v>1</v>
      </c>
      <c r="J1488" s="73">
        <f t="shared" si="752"/>
        <v>3</v>
      </c>
      <c r="K1488" s="61"/>
    </row>
    <row r="1489" spans="1:11" x14ac:dyDescent="0.25">
      <c r="A1489" s="2"/>
      <c r="B1489" s="37"/>
      <c r="C1489" s="37"/>
      <c r="D1489" s="71"/>
      <c r="E1489" s="71"/>
      <c r="F1489" s="71"/>
      <c r="G1489" s="68" t="str">
        <f t="shared" si="764"/>
        <v/>
      </c>
      <c r="H1489" s="68" t="str">
        <f t="shared" si="765"/>
        <v/>
      </c>
      <c r="I1489" s="68" t="str">
        <f t="shared" si="766"/>
        <v/>
      </c>
      <c r="J1489" s="74" t="str">
        <f t="shared" si="752"/>
        <v/>
      </c>
      <c r="K1489" s="62"/>
    </row>
    <row r="1490" spans="1:11" x14ac:dyDescent="0.25">
      <c r="A1490" s="3"/>
      <c r="B1490" s="40"/>
      <c r="C1490" s="37"/>
      <c r="D1490" s="71"/>
      <c r="E1490" s="71"/>
      <c r="F1490" s="71"/>
      <c r="G1490" s="69" t="str">
        <f t="shared" si="764"/>
        <v/>
      </c>
      <c r="H1490" s="69" t="str">
        <f t="shared" si="765"/>
        <v/>
      </c>
      <c r="I1490" s="69" t="str">
        <f t="shared" si="766"/>
        <v/>
      </c>
      <c r="J1490" s="75" t="str">
        <f t="shared" si="752"/>
        <v/>
      </c>
      <c r="K1490" s="63"/>
    </row>
    <row r="1491" spans="1:11" x14ac:dyDescent="0.25">
      <c r="A1491" s="4" t="s">
        <v>7</v>
      </c>
      <c r="B1491" s="33" t="s">
        <v>1105</v>
      </c>
      <c r="C1491" s="33"/>
      <c r="D1491" s="70">
        <v>1</v>
      </c>
      <c r="E1491" s="70">
        <v>1</v>
      </c>
      <c r="F1491" s="70">
        <v>1</v>
      </c>
      <c r="G1491" s="67">
        <f t="shared" si="764"/>
        <v>1</v>
      </c>
      <c r="H1491" s="67">
        <f t="shared" si="765"/>
        <v>1</v>
      </c>
      <c r="I1491" s="67">
        <f t="shared" si="766"/>
        <v>1</v>
      </c>
      <c r="J1491" s="73">
        <f t="shared" si="752"/>
        <v>3</v>
      </c>
      <c r="K1491" s="61"/>
    </row>
    <row r="1492" spans="1:11" x14ac:dyDescent="0.25">
      <c r="A1492" s="2"/>
      <c r="B1492" s="37"/>
      <c r="C1492" s="37"/>
      <c r="D1492" s="71"/>
      <c r="E1492" s="71"/>
      <c r="F1492" s="71"/>
      <c r="G1492" s="68" t="str">
        <f t="shared" si="764"/>
        <v/>
      </c>
      <c r="H1492" s="68" t="str">
        <f t="shared" si="765"/>
        <v/>
      </c>
      <c r="I1492" s="68" t="str">
        <f t="shared" si="766"/>
        <v/>
      </c>
      <c r="J1492" s="74" t="str">
        <f t="shared" si="752"/>
        <v/>
      </c>
      <c r="K1492" s="62"/>
    </row>
    <row r="1493" spans="1:11" x14ac:dyDescent="0.25">
      <c r="A1493" s="3"/>
      <c r="B1493" s="40"/>
      <c r="C1493" s="40"/>
      <c r="D1493" s="72"/>
      <c r="E1493" s="72"/>
      <c r="F1493" s="72"/>
      <c r="G1493" s="69" t="str">
        <f t="shared" si="764"/>
        <v/>
      </c>
      <c r="H1493" s="69" t="str">
        <f t="shared" si="765"/>
        <v/>
      </c>
      <c r="I1493" s="69" t="str">
        <f t="shared" si="766"/>
        <v/>
      </c>
      <c r="J1493" s="75" t="str">
        <f t="shared" si="752"/>
        <v/>
      </c>
      <c r="K1493" s="63"/>
    </row>
    <row r="1494" spans="1:11" x14ac:dyDescent="0.25">
      <c r="A1494" s="4" t="s">
        <v>8</v>
      </c>
      <c r="B1494" s="37" t="s">
        <v>168</v>
      </c>
      <c r="C1494" s="37"/>
      <c r="D1494" s="70">
        <v>1</v>
      </c>
      <c r="E1494" s="70">
        <v>1</v>
      </c>
      <c r="F1494" s="70">
        <v>1</v>
      </c>
      <c r="G1494" s="67">
        <f t="shared" si="764"/>
        <v>1</v>
      </c>
      <c r="H1494" s="67">
        <f t="shared" si="765"/>
        <v>1</v>
      </c>
      <c r="I1494" s="67">
        <f t="shared" si="766"/>
        <v>1</v>
      </c>
      <c r="J1494" s="73">
        <f t="shared" si="752"/>
        <v>3</v>
      </c>
      <c r="K1494" s="61"/>
    </row>
    <row r="1495" spans="1:11" x14ac:dyDescent="0.25">
      <c r="A1495" s="2"/>
      <c r="B1495" s="33" t="s">
        <v>285</v>
      </c>
      <c r="C1495" s="37"/>
      <c r="D1495" s="71">
        <v>1</v>
      </c>
      <c r="E1495" s="71">
        <v>0</v>
      </c>
      <c r="F1495" s="71">
        <v>1</v>
      </c>
      <c r="G1495" s="68">
        <f t="shared" si="764"/>
        <v>0</v>
      </c>
      <c r="H1495" s="68">
        <f t="shared" si="765"/>
        <v>1</v>
      </c>
      <c r="I1495" s="68">
        <f t="shared" si="766"/>
        <v>0</v>
      </c>
      <c r="J1495" s="74">
        <f t="shared" si="752"/>
        <v>2</v>
      </c>
      <c r="K1495" s="62"/>
    </row>
    <row r="1496" spans="1:11" x14ac:dyDescent="0.25">
      <c r="A1496" s="3"/>
      <c r="B1496" s="37" t="s">
        <v>172</v>
      </c>
      <c r="C1496" s="37"/>
      <c r="D1496" s="72">
        <v>1</v>
      </c>
      <c r="E1496" s="72">
        <v>0</v>
      </c>
      <c r="F1496" s="72">
        <v>1</v>
      </c>
      <c r="G1496" s="69">
        <f t="shared" si="764"/>
        <v>0</v>
      </c>
      <c r="H1496" s="69">
        <f t="shared" si="765"/>
        <v>1</v>
      </c>
      <c r="I1496" s="69">
        <f t="shared" si="766"/>
        <v>0</v>
      </c>
      <c r="J1496" s="75">
        <f t="shared" si="752"/>
        <v>2</v>
      </c>
      <c r="K1496" s="63"/>
    </row>
    <row r="1497" spans="1:11" x14ac:dyDescent="0.25">
      <c r="A1497" s="2" t="s">
        <v>9</v>
      </c>
      <c r="B1497" s="37" t="s">
        <v>519</v>
      </c>
      <c r="C1497" s="37"/>
      <c r="D1497" s="71">
        <v>1</v>
      </c>
      <c r="E1497" s="71">
        <v>0</v>
      </c>
      <c r="F1497" s="71">
        <v>0</v>
      </c>
      <c r="G1497" s="68">
        <f t="shared" si="764"/>
        <v>0</v>
      </c>
      <c r="H1497" s="68">
        <f t="shared" si="765"/>
        <v>0</v>
      </c>
      <c r="I1497" s="68">
        <f t="shared" si="766"/>
        <v>0</v>
      </c>
      <c r="J1497" s="74">
        <f t="shared" si="752"/>
        <v>1</v>
      </c>
      <c r="K1497" s="62"/>
    </row>
    <row r="1498" spans="1:11" x14ac:dyDescent="0.25">
      <c r="A1498" s="2"/>
      <c r="B1498" s="37" t="s">
        <v>822</v>
      </c>
      <c r="C1498" s="37"/>
      <c r="D1498" s="71">
        <v>0</v>
      </c>
      <c r="E1498" s="71">
        <v>1</v>
      </c>
      <c r="F1498" s="71">
        <v>0</v>
      </c>
      <c r="G1498" s="68">
        <f t="shared" si="764"/>
        <v>0</v>
      </c>
      <c r="H1498" s="68">
        <f t="shared" si="765"/>
        <v>0</v>
      </c>
      <c r="I1498" s="68">
        <f t="shared" si="766"/>
        <v>0</v>
      </c>
      <c r="J1498" s="74">
        <f t="shared" si="752"/>
        <v>1</v>
      </c>
      <c r="K1498" s="62"/>
    </row>
    <row r="1499" spans="1:11" x14ac:dyDescent="0.25">
      <c r="A1499" s="3"/>
      <c r="B1499" s="40" t="s">
        <v>1105</v>
      </c>
      <c r="C1499" s="40"/>
      <c r="D1499" s="72">
        <v>0</v>
      </c>
      <c r="E1499" s="72">
        <v>0</v>
      </c>
      <c r="F1499" s="72">
        <v>1</v>
      </c>
      <c r="G1499" s="69">
        <f t="shared" si="764"/>
        <v>0</v>
      </c>
      <c r="H1499" s="69">
        <f t="shared" si="765"/>
        <v>0</v>
      </c>
      <c r="I1499" s="69">
        <f t="shared" si="766"/>
        <v>0</v>
      </c>
      <c r="J1499" s="75">
        <f t="shared" si="752"/>
        <v>1</v>
      </c>
      <c r="K1499" s="63"/>
    </row>
    <row r="1500" spans="1:11" x14ac:dyDescent="0.25">
      <c r="A1500" s="2" t="s">
        <v>1224</v>
      </c>
      <c r="B1500" s="37" t="s">
        <v>1280</v>
      </c>
      <c r="C1500" s="37"/>
      <c r="D1500" s="71">
        <v>1</v>
      </c>
      <c r="E1500" s="71">
        <v>0</v>
      </c>
      <c r="F1500" s="71">
        <v>1</v>
      </c>
      <c r="G1500" s="68">
        <f t="shared" si="764"/>
        <v>0</v>
      </c>
      <c r="H1500" s="68">
        <f t="shared" si="765"/>
        <v>1</v>
      </c>
      <c r="I1500" s="68">
        <f t="shared" si="766"/>
        <v>0</v>
      </c>
      <c r="J1500" s="74">
        <f t="shared" ref="J1500:J1502" si="773">IF(B1500="","",SUM(D1500:F1500))</f>
        <v>2</v>
      </c>
      <c r="K1500" s="62"/>
    </row>
    <row r="1501" spans="1:11" x14ac:dyDescent="0.25">
      <c r="A1501" s="2"/>
      <c r="B1501" s="37" t="s">
        <v>1344</v>
      </c>
      <c r="C1501" s="37"/>
      <c r="D1501" s="71">
        <v>0</v>
      </c>
      <c r="E1501" s="71">
        <v>1</v>
      </c>
      <c r="F1501" s="71">
        <v>0</v>
      </c>
      <c r="G1501" s="68">
        <f t="shared" si="764"/>
        <v>0</v>
      </c>
      <c r="H1501" s="68">
        <f t="shared" si="765"/>
        <v>0</v>
      </c>
      <c r="I1501" s="68">
        <f t="shared" si="766"/>
        <v>0</v>
      </c>
      <c r="J1501" s="74">
        <f t="shared" si="773"/>
        <v>1</v>
      </c>
      <c r="K1501" s="62"/>
    </row>
    <row r="1502" spans="1:11" x14ac:dyDescent="0.25">
      <c r="A1502" s="3"/>
      <c r="B1502" s="40"/>
      <c r="C1502" s="40"/>
      <c r="D1502" s="72"/>
      <c r="E1502" s="72"/>
      <c r="F1502" s="72"/>
      <c r="G1502" s="69" t="str">
        <f t="shared" si="764"/>
        <v/>
      </c>
      <c r="H1502" s="69" t="str">
        <f t="shared" si="765"/>
        <v/>
      </c>
      <c r="I1502" s="69" t="str">
        <f t="shared" si="766"/>
        <v/>
      </c>
      <c r="J1502" s="75" t="str">
        <f t="shared" si="773"/>
        <v/>
      </c>
      <c r="K1502" s="63"/>
    </row>
    <row r="1504" spans="1:11" x14ac:dyDescent="0.25">
      <c r="A1504" s="81">
        <v>76</v>
      </c>
      <c r="B1504" s="49" t="s">
        <v>1192</v>
      </c>
      <c r="C1504" s="31" t="s">
        <v>1470</v>
      </c>
      <c r="D1504" s="76"/>
      <c r="E1504" s="66"/>
      <c r="F1504" s="66"/>
      <c r="G1504" s="66"/>
      <c r="H1504" s="66"/>
      <c r="I1504" s="66"/>
      <c r="J1504" s="60"/>
      <c r="K1504" s="60"/>
    </row>
    <row r="1505" spans="1:18" x14ac:dyDescent="0.25">
      <c r="A1505" s="4" t="s">
        <v>6</v>
      </c>
      <c r="B1505" s="37" t="s">
        <v>669</v>
      </c>
      <c r="C1505" s="37"/>
      <c r="D1505" s="70">
        <v>1</v>
      </c>
      <c r="E1505" s="70">
        <v>1</v>
      </c>
      <c r="F1505" s="70">
        <v>1</v>
      </c>
      <c r="G1505" s="67">
        <f t="shared" ref="G1505:G1522" si="774">IF(B1505="","",IF( AND(D1505=1, E1505=1),1,0))</f>
        <v>1</v>
      </c>
      <c r="H1505" s="67">
        <f t="shared" ref="H1505:H1522" si="775">IF(B1505="","",IF(AND(D1505=1,F1505=1),1,0))</f>
        <v>1</v>
      </c>
      <c r="I1505" s="67">
        <f t="shared" ref="I1505:I1522" si="776">IF(B1505="","",IF(AND(E1505=1,F1505=1),1,0))</f>
        <v>1</v>
      </c>
      <c r="J1505" s="73">
        <f t="shared" ref="J1505" si="777">IF(B1505="","",SUM(D1505:F1505))</f>
        <v>3</v>
      </c>
      <c r="K1505" s="61"/>
      <c r="M1505" s="7">
        <f t="shared" ref="M1505" si="778">SUM(G1505:I1505)/3</f>
        <v>1</v>
      </c>
      <c r="N1505" s="6">
        <f t="shared" ref="N1505" si="779">SUM(G1508:I1508)/3</f>
        <v>0.33333333333333331</v>
      </c>
      <c r="O1505" s="7">
        <f t="shared" ref="O1505" si="780">SUM(G1511:I1511)/3</f>
        <v>1</v>
      </c>
      <c r="P1505" s="6">
        <f t="shared" ref="P1505" si="781">SUM(G1514:I1514)/3</f>
        <v>1</v>
      </c>
      <c r="Q1505" s="7">
        <f t="shared" ref="Q1505" si="782">SUM(G1517:I1517)/3</f>
        <v>1</v>
      </c>
      <c r="R1505" s="7">
        <f>SUM(G1520:I1520)/3</f>
        <v>0.33333333333333331</v>
      </c>
    </row>
    <row r="1506" spans="1:18" x14ac:dyDescent="0.25">
      <c r="A1506" s="2"/>
      <c r="B1506" s="37"/>
      <c r="C1506" s="37"/>
      <c r="D1506" s="71"/>
      <c r="E1506" s="71"/>
      <c r="F1506" s="71"/>
      <c r="G1506" s="68" t="str">
        <f t="shared" si="774"/>
        <v/>
      </c>
      <c r="H1506" s="68" t="str">
        <f t="shared" si="775"/>
        <v/>
      </c>
      <c r="I1506" s="68" t="str">
        <f t="shared" si="776"/>
        <v/>
      </c>
      <c r="J1506" s="74" t="str">
        <f t="shared" si="752"/>
        <v/>
      </c>
      <c r="K1506" s="62"/>
    </row>
    <row r="1507" spans="1:18" x14ac:dyDescent="0.25">
      <c r="A1507" s="3"/>
      <c r="B1507" s="42"/>
      <c r="C1507" s="42"/>
      <c r="D1507" s="72"/>
      <c r="E1507" s="72"/>
      <c r="F1507" s="72"/>
      <c r="G1507" s="69" t="str">
        <f t="shared" si="774"/>
        <v/>
      </c>
      <c r="H1507" s="69" t="str">
        <f t="shared" si="775"/>
        <v/>
      </c>
      <c r="I1507" s="69" t="str">
        <f t="shared" si="776"/>
        <v/>
      </c>
      <c r="J1507" s="75" t="str">
        <f t="shared" si="752"/>
        <v/>
      </c>
      <c r="K1507" s="63"/>
    </row>
    <row r="1508" spans="1:18" x14ac:dyDescent="0.25">
      <c r="A1508" s="4" t="s">
        <v>5</v>
      </c>
      <c r="B1508" s="33" t="s">
        <v>1105</v>
      </c>
      <c r="C1508" s="33"/>
      <c r="D1508" s="70">
        <v>1</v>
      </c>
      <c r="E1508" s="70">
        <v>1</v>
      </c>
      <c r="F1508" s="70">
        <v>0</v>
      </c>
      <c r="G1508" s="67">
        <f t="shared" si="774"/>
        <v>1</v>
      </c>
      <c r="H1508" s="67">
        <f t="shared" si="775"/>
        <v>0</v>
      </c>
      <c r="I1508" s="67">
        <f t="shared" si="776"/>
        <v>0</v>
      </c>
      <c r="J1508" s="73">
        <f t="shared" si="752"/>
        <v>2</v>
      </c>
      <c r="K1508" s="61"/>
    </row>
    <row r="1509" spans="1:18" x14ac:dyDescent="0.25">
      <c r="A1509" s="2"/>
      <c r="B1509" s="37"/>
      <c r="C1509" s="37"/>
      <c r="D1509" s="71"/>
      <c r="E1509" s="71"/>
      <c r="F1509" s="71"/>
      <c r="G1509" s="68" t="str">
        <f t="shared" si="774"/>
        <v/>
      </c>
      <c r="H1509" s="68" t="str">
        <f t="shared" si="775"/>
        <v/>
      </c>
      <c r="I1509" s="68" t="str">
        <f t="shared" si="776"/>
        <v/>
      </c>
      <c r="J1509" s="74" t="str">
        <f t="shared" si="752"/>
        <v/>
      </c>
      <c r="K1509" s="62"/>
    </row>
    <row r="1510" spans="1:18" x14ac:dyDescent="0.25">
      <c r="A1510" s="3"/>
      <c r="B1510" s="40"/>
      <c r="C1510" s="37"/>
      <c r="D1510" s="71"/>
      <c r="E1510" s="71"/>
      <c r="F1510" s="71"/>
      <c r="G1510" s="69" t="str">
        <f t="shared" si="774"/>
        <v/>
      </c>
      <c r="H1510" s="69" t="str">
        <f t="shared" si="775"/>
        <v/>
      </c>
      <c r="I1510" s="69" t="str">
        <f t="shared" si="776"/>
        <v/>
      </c>
      <c r="J1510" s="75" t="str">
        <f t="shared" si="752"/>
        <v/>
      </c>
      <c r="K1510" s="63"/>
    </row>
    <row r="1511" spans="1:18" x14ac:dyDescent="0.25">
      <c r="A1511" s="4" t="s">
        <v>7</v>
      </c>
      <c r="B1511" s="33" t="s">
        <v>672</v>
      </c>
      <c r="C1511" s="33"/>
      <c r="D1511" s="70">
        <v>1</v>
      </c>
      <c r="E1511" s="70">
        <v>1</v>
      </c>
      <c r="F1511" s="70">
        <v>1</v>
      </c>
      <c r="G1511" s="67">
        <f t="shared" si="774"/>
        <v>1</v>
      </c>
      <c r="H1511" s="67">
        <f t="shared" si="775"/>
        <v>1</v>
      </c>
      <c r="I1511" s="67">
        <f t="shared" si="776"/>
        <v>1</v>
      </c>
      <c r="J1511" s="73">
        <f t="shared" si="752"/>
        <v>3</v>
      </c>
      <c r="K1511" s="61"/>
    </row>
    <row r="1512" spans="1:18" x14ac:dyDescent="0.25">
      <c r="A1512" s="2"/>
      <c r="B1512" s="37"/>
      <c r="C1512" s="37"/>
      <c r="D1512" s="71"/>
      <c r="E1512" s="71"/>
      <c r="F1512" s="71"/>
      <c r="G1512" s="68" t="str">
        <f t="shared" si="774"/>
        <v/>
      </c>
      <c r="H1512" s="68" t="str">
        <f t="shared" si="775"/>
        <v/>
      </c>
      <c r="I1512" s="68" t="str">
        <f t="shared" si="776"/>
        <v/>
      </c>
      <c r="J1512" s="74" t="str">
        <f t="shared" si="752"/>
        <v/>
      </c>
      <c r="K1512" s="62"/>
    </row>
    <row r="1513" spans="1:18" x14ac:dyDescent="0.25">
      <c r="A1513" s="3"/>
      <c r="B1513" s="40"/>
      <c r="C1513" s="40"/>
      <c r="D1513" s="72"/>
      <c r="E1513" s="72"/>
      <c r="F1513" s="72"/>
      <c r="G1513" s="69" t="str">
        <f t="shared" si="774"/>
        <v/>
      </c>
      <c r="H1513" s="69" t="str">
        <f t="shared" si="775"/>
        <v/>
      </c>
      <c r="I1513" s="69" t="str">
        <f t="shared" si="776"/>
        <v/>
      </c>
      <c r="J1513" s="75" t="str">
        <f t="shared" si="752"/>
        <v/>
      </c>
      <c r="K1513" s="63"/>
    </row>
    <row r="1514" spans="1:18" x14ac:dyDescent="0.25">
      <c r="A1514" s="4" t="s">
        <v>8</v>
      </c>
      <c r="B1514" s="37" t="s">
        <v>200</v>
      </c>
      <c r="C1514" s="37"/>
      <c r="D1514" s="70">
        <v>1</v>
      </c>
      <c r="E1514" s="70">
        <v>1</v>
      </c>
      <c r="F1514" s="70">
        <v>1</v>
      </c>
      <c r="G1514" s="67">
        <f t="shared" si="774"/>
        <v>1</v>
      </c>
      <c r="H1514" s="67">
        <f t="shared" si="775"/>
        <v>1</v>
      </c>
      <c r="I1514" s="67">
        <f t="shared" si="776"/>
        <v>1</v>
      </c>
      <c r="J1514" s="73">
        <f t="shared" si="752"/>
        <v>3</v>
      </c>
      <c r="K1514" s="61"/>
    </row>
    <row r="1515" spans="1:18" x14ac:dyDescent="0.25">
      <c r="A1515" s="2"/>
      <c r="B1515" s="37"/>
      <c r="C1515" s="37"/>
      <c r="D1515" s="71"/>
      <c r="E1515" s="71"/>
      <c r="F1515" s="71"/>
      <c r="G1515" s="68" t="str">
        <f t="shared" si="774"/>
        <v/>
      </c>
      <c r="H1515" s="68" t="str">
        <f t="shared" si="775"/>
        <v/>
      </c>
      <c r="I1515" s="68" t="str">
        <f t="shared" si="776"/>
        <v/>
      </c>
      <c r="J1515" s="74" t="str">
        <f t="shared" si="752"/>
        <v/>
      </c>
      <c r="K1515" s="62"/>
    </row>
    <row r="1516" spans="1:18" x14ac:dyDescent="0.25">
      <c r="A1516" s="3"/>
      <c r="B1516" s="40"/>
      <c r="C1516" s="40"/>
      <c r="D1516" s="72"/>
      <c r="E1516" s="72"/>
      <c r="F1516" s="72"/>
      <c r="G1516" s="69" t="str">
        <f t="shared" si="774"/>
        <v/>
      </c>
      <c r="H1516" s="69" t="str">
        <f t="shared" si="775"/>
        <v/>
      </c>
      <c r="I1516" s="69" t="str">
        <f t="shared" si="776"/>
        <v/>
      </c>
      <c r="J1516" s="75" t="str">
        <f t="shared" si="752"/>
        <v/>
      </c>
      <c r="K1516" s="63"/>
    </row>
    <row r="1517" spans="1:18" x14ac:dyDescent="0.25">
      <c r="A1517" s="2" t="s">
        <v>9</v>
      </c>
      <c r="B1517" s="37" t="s">
        <v>985</v>
      </c>
      <c r="C1517" s="37"/>
      <c r="D1517" s="71">
        <v>1</v>
      </c>
      <c r="E1517" s="71">
        <v>1</v>
      </c>
      <c r="F1517" s="71">
        <v>1</v>
      </c>
      <c r="G1517" s="68">
        <f t="shared" si="774"/>
        <v>1</v>
      </c>
      <c r="H1517" s="68">
        <f t="shared" si="775"/>
        <v>1</v>
      </c>
      <c r="I1517" s="68">
        <f t="shared" si="776"/>
        <v>1</v>
      </c>
      <c r="J1517" s="74">
        <f t="shared" si="752"/>
        <v>3</v>
      </c>
      <c r="K1517" s="62"/>
    </row>
    <row r="1518" spans="1:18" x14ac:dyDescent="0.25">
      <c r="A1518" s="2"/>
      <c r="B1518" s="37"/>
      <c r="C1518" s="37"/>
      <c r="D1518" s="71"/>
      <c r="E1518" s="71"/>
      <c r="F1518" s="71"/>
      <c r="G1518" s="68" t="str">
        <f t="shared" si="774"/>
        <v/>
      </c>
      <c r="H1518" s="68" t="str">
        <f t="shared" si="775"/>
        <v/>
      </c>
      <c r="I1518" s="68" t="str">
        <f t="shared" si="776"/>
        <v/>
      </c>
      <c r="J1518" s="74" t="str">
        <f t="shared" si="752"/>
        <v/>
      </c>
      <c r="K1518" s="62"/>
    </row>
    <row r="1519" spans="1:18" x14ac:dyDescent="0.25">
      <c r="A1519" s="3"/>
      <c r="B1519" s="40"/>
      <c r="C1519" s="40"/>
      <c r="D1519" s="72"/>
      <c r="E1519" s="72"/>
      <c r="F1519" s="72"/>
      <c r="G1519" s="69" t="str">
        <f t="shared" si="774"/>
        <v/>
      </c>
      <c r="H1519" s="69" t="str">
        <f t="shared" si="775"/>
        <v/>
      </c>
      <c r="I1519" s="69" t="str">
        <f t="shared" si="776"/>
        <v/>
      </c>
      <c r="J1519" s="75" t="str">
        <f t="shared" si="752"/>
        <v/>
      </c>
      <c r="K1519" s="63"/>
    </row>
    <row r="1520" spans="1:18" x14ac:dyDescent="0.25">
      <c r="A1520" s="2" t="s">
        <v>1224</v>
      </c>
      <c r="B1520" s="39" t="s">
        <v>1390</v>
      </c>
      <c r="C1520" s="39"/>
      <c r="D1520" s="71">
        <v>0</v>
      </c>
      <c r="E1520" s="71">
        <v>1</v>
      </c>
      <c r="F1520" s="71">
        <v>1</v>
      </c>
      <c r="G1520" s="68">
        <f t="shared" si="774"/>
        <v>0</v>
      </c>
      <c r="H1520" s="68">
        <f t="shared" si="775"/>
        <v>0</v>
      </c>
      <c r="I1520" s="68">
        <f t="shared" si="776"/>
        <v>1</v>
      </c>
      <c r="J1520" s="74">
        <f t="shared" ref="J1520:J1522" si="783">IF(B1520="","",SUM(D1520:F1520))</f>
        <v>2</v>
      </c>
      <c r="K1520" s="62"/>
    </row>
    <row r="1521" spans="1:18" x14ac:dyDescent="0.25">
      <c r="A1521" s="2"/>
      <c r="B1521" s="37" t="s">
        <v>1281</v>
      </c>
      <c r="C1521" s="37"/>
      <c r="D1521" s="71">
        <v>0</v>
      </c>
      <c r="E1521" s="71">
        <v>1</v>
      </c>
      <c r="F1521" s="71">
        <v>0</v>
      </c>
      <c r="G1521" s="68">
        <f t="shared" si="774"/>
        <v>0</v>
      </c>
      <c r="H1521" s="68">
        <f t="shared" si="775"/>
        <v>0</v>
      </c>
      <c r="I1521" s="68">
        <f t="shared" si="776"/>
        <v>0</v>
      </c>
      <c r="J1521" s="74">
        <f t="shared" si="783"/>
        <v>1</v>
      </c>
      <c r="K1521" s="62"/>
    </row>
    <row r="1522" spans="1:18" x14ac:dyDescent="0.25">
      <c r="A1522" s="3"/>
      <c r="B1522" s="37" t="s">
        <v>1343</v>
      </c>
      <c r="C1522" s="37"/>
      <c r="D1522" s="72">
        <v>1</v>
      </c>
      <c r="E1522" s="72">
        <v>0</v>
      </c>
      <c r="F1522" s="72">
        <v>0</v>
      </c>
      <c r="G1522" s="69">
        <f t="shared" si="774"/>
        <v>0</v>
      </c>
      <c r="H1522" s="69">
        <f t="shared" si="775"/>
        <v>0</v>
      </c>
      <c r="I1522" s="69">
        <f t="shared" si="776"/>
        <v>0</v>
      </c>
      <c r="J1522" s="75">
        <f t="shared" si="783"/>
        <v>1</v>
      </c>
      <c r="K1522" s="63"/>
    </row>
    <row r="1524" spans="1:18" x14ac:dyDescent="0.25">
      <c r="A1524" s="81">
        <v>77</v>
      </c>
      <c r="B1524" s="49" t="s">
        <v>1193</v>
      </c>
      <c r="C1524" s="31" t="s">
        <v>1471</v>
      </c>
      <c r="D1524" s="76"/>
      <c r="E1524" s="66"/>
      <c r="F1524" s="66"/>
      <c r="G1524" s="66"/>
      <c r="H1524" s="66"/>
      <c r="I1524" s="66"/>
      <c r="J1524" s="60"/>
      <c r="K1524" s="60"/>
    </row>
    <row r="1525" spans="1:18" x14ac:dyDescent="0.25">
      <c r="A1525" s="4" t="s">
        <v>6</v>
      </c>
      <c r="B1525" s="37" t="s">
        <v>674</v>
      </c>
      <c r="C1525" s="37"/>
      <c r="D1525" s="70">
        <v>1</v>
      </c>
      <c r="E1525" s="70">
        <v>1</v>
      </c>
      <c r="F1525" s="70">
        <v>1</v>
      </c>
      <c r="G1525" s="67">
        <f t="shared" ref="G1525:G1542" si="784">IF(B1525="","",IF( AND(D1525=1, E1525=1),1,0))</f>
        <v>1</v>
      </c>
      <c r="H1525" s="67">
        <f t="shared" ref="H1525:H1542" si="785">IF(B1525="","",IF(AND(D1525=1,F1525=1),1,0))</f>
        <v>1</v>
      </c>
      <c r="I1525" s="67">
        <f t="shared" ref="I1525:I1542" si="786">IF(B1525="","",IF(AND(E1525=1,F1525=1),1,0))</f>
        <v>1</v>
      </c>
      <c r="J1525" s="73">
        <f t="shared" ref="J1525:J1597" si="787">IF(B1525="","",SUM(D1525:F1525))</f>
        <v>3</v>
      </c>
      <c r="K1525" s="61"/>
      <c r="M1525" s="7">
        <f t="shared" ref="M1525" si="788">SUM(G1525:I1525)/3</f>
        <v>1</v>
      </c>
      <c r="N1525" s="6">
        <f t="shared" ref="N1525" si="789">SUM(G1528:I1528)/3</f>
        <v>1</v>
      </c>
      <c r="O1525" s="7">
        <f t="shared" ref="O1525" si="790">SUM(G1531:I1531)/3</f>
        <v>0.33333333333333331</v>
      </c>
      <c r="P1525" s="6">
        <f t="shared" ref="P1525" si="791">SUM(G1534:I1534)/3</f>
        <v>1</v>
      </c>
      <c r="Q1525" s="7">
        <f t="shared" ref="Q1525" si="792">SUM(G1537:I1537)/3</f>
        <v>1</v>
      </c>
      <c r="R1525" s="7">
        <f>SUM(G1540:I1540)/3</f>
        <v>0.33333333333333331</v>
      </c>
    </row>
    <row r="1526" spans="1:18" x14ac:dyDescent="0.25">
      <c r="A1526" s="2"/>
      <c r="B1526" s="39" t="s">
        <v>675</v>
      </c>
      <c r="C1526" s="39"/>
      <c r="D1526" s="71">
        <v>0</v>
      </c>
      <c r="E1526" s="71">
        <v>1</v>
      </c>
      <c r="F1526" s="71">
        <v>1</v>
      </c>
      <c r="G1526" s="68">
        <f t="shared" si="784"/>
        <v>0</v>
      </c>
      <c r="H1526" s="68">
        <f t="shared" si="785"/>
        <v>0</v>
      </c>
      <c r="I1526" s="68">
        <f t="shared" si="786"/>
        <v>1</v>
      </c>
      <c r="J1526" s="74">
        <f t="shared" si="787"/>
        <v>2</v>
      </c>
      <c r="K1526" s="62"/>
    </row>
    <row r="1527" spans="1:18" x14ac:dyDescent="0.25">
      <c r="A1527" s="3"/>
      <c r="B1527" s="42"/>
      <c r="C1527" s="42"/>
      <c r="D1527" s="72"/>
      <c r="E1527" s="72"/>
      <c r="F1527" s="72"/>
      <c r="G1527" s="69" t="str">
        <f t="shared" si="784"/>
        <v/>
      </c>
      <c r="H1527" s="69" t="str">
        <f t="shared" si="785"/>
        <v/>
      </c>
      <c r="I1527" s="69" t="str">
        <f t="shared" si="786"/>
        <v/>
      </c>
      <c r="J1527" s="75" t="str">
        <f t="shared" si="787"/>
        <v/>
      </c>
      <c r="K1527" s="63"/>
    </row>
    <row r="1528" spans="1:18" x14ac:dyDescent="0.25">
      <c r="A1528" s="4" t="s">
        <v>5</v>
      </c>
      <c r="B1528" s="33" t="s">
        <v>23</v>
      </c>
      <c r="C1528" s="33"/>
      <c r="D1528" s="70">
        <v>1</v>
      </c>
      <c r="E1528" s="70">
        <v>1</v>
      </c>
      <c r="F1528" s="70">
        <v>1</v>
      </c>
      <c r="G1528" s="67">
        <f t="shared" si="784"/>
        <v>1</v>
      </c>
      <c r="H1528" s="67">
        <f t="shared" si="785"/>
        <v>1</v>
      </c>
      <c r="I1528" s="67">
        <f t="shared" si="786"/>
        <v>1</v>
      </c>
      <c r="J1528" s="73">
        <f t="shared" si="787"/>
        <v>3</v>
      </c>
      <c r="K1528" s="61"/>
    </row>
    <row r="1529" spans="1:18" x14ac:dyDescent="0.25">
      <c r="A1529" s="2"/>
      <c r="B1529" s="37"/>
      <c r="C1529" s="37"/>
      <c r="D1529" s="71"/>
      <c r="E1529" s="71"/>
      <c r="F1529" s="71"/>
      <c r="G1529" s="68" t="str">
        <f t="shared" si="784"/>
        <v/>
      </c>
      <c r="H1529" s="68" t="str">
        <f t="shared" si="785"/>
        <v/>
      </c>
      <c r="I1529" s="68" t="str">
        <f t="shared" si="786"/>
        <v/>
      </c>
      <c r="J1529" s="74" t="str">
        <f t="shared" si="787"/>
        <v/>
      </c>
      <c r="K1529" s="62"/>
    </row>
    <row r="1530" spans="1:18" x14ac:dyDescent="0.25">
      <c r="A1530" s="3"/>
      <c r="B1530" s="40"/>
      <c r="C1530" s="37"/>
      <c r="D1530" s="71"/>
      <c r="E1530" s="71"/>
      <c r="F1530" s="71"/>
      <c r="G1530" s="69" t="str">
        <f t="shared" si="784"/>
        <v/>
      </c>
      <c r="H1530" s="69" t="str">
        <f t="shared" si="785"/>
        <v/>
      </c>
      <c r="I1530" s="69" t="str">
        <f t="shared" si="786"/>
        <v/>
      </c>
      <c r="J1530" s="75" t="str">
        <f t="shared" si="787"/>
        <v/>
      </c>
      <c r="K1530" s="63"/>
    </row>
    <row r="1531" spans="1:18" x14ac:dyDescent="0.25">
      <c r="A1531" s="4" t="s">
        <v>7</v>
      </c>
      <c r="B1531" s="33" t="s">
        <v>574</v>
      </c>
      <c r="C1531" s="33"/>
      <c r="D1531" s="70">
        <v>1</v>
      </c>
      <c r="E1531" s="70">
        <v>0</v>
      </c>
      <c r="F1531" s="70">
        <v>1</v>
      </c>
      <c r="G1531" s="67">
        <f t="shared" si="784"/>
        <v>0</v>
      </c>
      <c r="H1531" s="67">
        <f t="shared" si="785"/>
        <v>1</v>
      </c>
      <c r="I1531" s="67">
        <f t="shared" si="786"/>
        <v>0</v>
      </c>
      <c r="J1531" s="73">
        <f t="shared" si="787"/>
        <v>2</v>
      </c>
      <c r="K1531" s="61"/>
    </row>
    <row r="1532" spans="1:18" x14ac:dyDescent="0.25">
      <c r="A1532" s="2"/>
      <c r="B1532" s="37"/>
      <c r="C1532" s="37"/>
      <c r="D1532" s="71"/>
      <c r="E1532" s="71"/>
      <c r="F1532" s="71"/>
      <c r="G1532" s="68" t="str">
        <f t="shared" si="784"/>
        <v/>
      </c>
      <c r="H1532" s="68" t="str">
        <f t="shared" si="785"/>
        <v/>
      </c>
      <c r="I1532" s="68" t="str">
        <f t="shared" si="786"/>
        <v/>
      </c>
      <c r="J1532" s="74" t="str">
        <f t="shared" si="787"/>
        <v/>
      </c>
      <c r="K1532" s="62"/>
    </row>
    <row r="1533" spans="1:18" x14ac:dyDescent="0.25">
      <c r="A1533" s="3"/>
      <c r="B1533" s="40"/>
      <c r="C1533" s="40"/>
      <c r="D1533" s="72"/>
      <c r="E1533" s="72"/>
      <c r="F1533" s="72"/>
      <c r="G1533" s="69" t="str">
        <f t="shared" si="784"/>
        <v/>
      </c>
      <c r="H1533" s="69" t="str">
        <f t="shared" si="785"/>
        <v/>
      </c>
      <c r="I1533" s="69" t="str">
        <f t="shared" si="786"/>
        <v/>
      </c>
      <c r="J1533" s="75" t="str">
        <f t="shared" si="787"/>
        <v/>
      </c>
      <c r="K1533" s="63"/>
    </row>
    <row r="1534" spans="1:18" x14ac:dyDescent="0.25">
      <c r="A1534" s="4" t="s">
        <v>8</v>
      </c>
      <c r="B1534" s="37" t="s">
        <v>217</v>
      </c>
      <c r="C1534" s="37"/>
      <c r="D1534" s="70">
        <v>1</v>
      </c>
      <c r="E1534" s="70">
        <v>1</v>
      </c>
      <c r="F1534" s="70">
        <v>1</v>
      </c>
      <c r="G1534" s="67">
        <f t="shared" si="784"/>
        <v>1</v>
      </c>
      <c r="H1534" s="67">
        <f t="shared" si="785"/>
        <v>1</v>
      </c>
      <c r="I1534" s="67">
        <f t="shared" si="786"/>
        <v>1</v>
      </c>
      <c r="J1534" s="73">
        <f t="shared" si="787"/>
        <v>3</v>
      </c>
      <c r="K1534" s="61"/>
    </row>
    <row r="1535" spans="1:18" x14ac:dyDescent="0.25">
      <c r="A1535" s="2"/>
      <c r="B1535" s="37"/>
      <c r="C1535" s="37"/>
      <c r="D1535" s="71"/>
      <c r="E1535" s="71"/>
      <c r="F1535" s="71"/>
      <c r="G1535" s="68" t="str">
        <f t="shared" si="784"/>
        <v/>
      </c>
      <c r="H1535" s="68" t="str">
        <f t="shared" si="785"/>
        <v/>
      </c>
      <c r="I1535" s="68" t="str">
        <f t="shared" si="786"/>
        <v/>
      </c>
      <c r="J1535" s="74" t="str">
        <f t="shared" si="787"/>
        <v/>
      </c>
      <c r="K1535" s="62"/>
    </row>
    <row r="1536" spans="1:18" x14ac:dyDescent="0.25">
      <c r="A1536" s="3"/>
      <c r="B1536" s="40"/>
      <c r="C1536" s="40"/>
      <c r="D1536" s="72"/>
      <c r="E1536" s="72"/>
      <c r="F1536" s="72"/>
      <c r="G1536" s="69" t="str">
        <f t="shared" si="784"/>
        <v/>
      </c>
      <c r="H1536" s="69" t="str">
        <f t="shared" si="785"/>
        <v/>
      </c>
      <c r="I1536" s="69" t="str">
        <f t="shared" si="786"/>
        <v/>
      </c>
      <c r="J1536" s="75" t="str">
        <f t="shared" si="787"/>
        <v/>
      </c>
      <c r="K1536" s="63"/>
    </row>
    <row r="1537" spans="1:18" x14ac:dyDescent="0.25">
      <c r="A1537" s="2" t="s">
        <v>9</v>
      </c>
      <c r="B1537" s="37" t="s">
        <v>1085</v>
      </c>
      <c r="C1537" s="37"/>
      <c r="D1537" s="71">
        <v>1</v>
      </c>
      <c r="E1537" s="71">
        <v>1</v>
      </c>
      <c r="F1537" s="71">
        <v>1</v>
      </c>
      <c r="G1537" s="68">
        <f t="shared" si="784"/>
        <v>1</v>
      </c>
      <c r="H1537" s="68">
        <f t="shared" si="785"/>
        <v>1</v>
      </c>
      <c r="I1537" s="68">
        <f t="shared" si="786"/>
        <v>1</v>
      </c>
      <c r="J1537" s="74">
        <f t="shared" si="787"/>
        <v>3</v>
      </c>
      <c r="K1537" s="62"/>
    </row>
    <row r="1538" spans="1:18" x14ac:dyDescent="0.25">
      <c r="A1538" s="2"/>
      <c r="B1538" s="37"/>
      <c r="C1538" s="37"/>
      <c r="D1538" s="71"/>
      <c r="E1538" s="71"/>
      <c r="F1538" s="71"/>
      <c r="G1538" s="68" t="str">
        <f t="shared" si="784"/>
        <v/>
      </c>
      <c r="H1538" s="68" t="str">
        <f t="shared" si="785"/>
        <v/>
      </c>
      <c r="I1538" s="68" t="str">
        <f t="shared" si="786"/>
        <v/>
      </c>
      <c r="J1538" s="74" t="str">
        <f t="shared" si="787"/>
        <v/>
      </c>
      <c r="K1538" s="62"/>
    </row>
    <row r="1539" spans="1:18" x14ac:dyDescent="0.25">
      <c r="A1539" s="3"/>
      <c r="B1539" s="40"/>
      <c r="C1539" s="40"/>
      <c r="D1539" s="72"/>
      <c r="E1539" s="72"/>
      <c r="F1539" s="72"/>
      <c r="G1539" s="69" t="str">
        <f t="shared" si="784"/>
        <v/>
      </c>
      <c r="H1539" s="69" t="str">
        <f t="shared" si="785"/>
        <v/>
      </c>
      <c r="I1539" s="69" t="str">
        <f t="shared" si="786"/>
        <v/>
      </c>
      <c r="J1539" s="75" t="str">
        <f t="shared" si="787"/>
        <v/>
      </c>
      <c r="K1539" s="63"/>
    </row>
    <row r="1540" spans="1:18" x14ac:dyDescent="0.25">
      <c r="A1540" s="2" t="s">
        <v>1224</v>
      </c>
      <c r="B1540" s="39" t="s">
        <v>1391</v>
      </c>
      <c r="C1540" s="39"/>
      <c r="D1540" s="71">
        <v>0</v>
      </c>
      <c r="E1540" s="71">
        <v>1</v>
      </c>
      <c r="F1540" s="71">
        <v>1</v>
      </c>
      <c r="G1540" s="68">
        <f t="shared" si="784"/>
        <v>0</v>
      </c>
      <c r="H1540" s="68">
        <f t="shared" si="785"/>
        <v>0</v>
      </c>
      <c r="I1540" s="68">
        <f t="shared" si="786"/>
        <v>1</v>
      </c>
      <c r="J1540" s="74">
        <f t="shared" si="787"/>
        <v>2</v>
      </c>
      <c r="K1540" s="62"/>
    </row>
    <row r="1541" spans="1:18" x14ac:dyDescent="0.25">
      <c r="A1541" s="2"/>
      <c r="B1541" s="37"/>
      <c r="C1541" s="37"/>
      <c r="D1541" s="71"/>
      <c r="E1541" s="71"/>
      <c r="F1541" s="71"/>
      <c r="G1541" s="68" t="str">
        <f t="shared" si="784"/>
        <v/>
      </c>
      <c r="H1541" s="68" t="str">
        <f t="shared" si="785"/>
        <v/>
      </c>
      <c r="I1541" s="68" t="str">
        <f t="shared" si="786"/>
        <v/>
      </c>
      <c r="J1541" s="74" t="str">
        <f t="shared" si="787"/>
        <v/>
      </c>
      <c r="K1541" s="62"/>
    </row>
    <row r="1542" spans="1:18" x14ac:dyDescent="0.25">
      <c r="A1542" s="3"/>
      <c r="B1542" s="40"/>
      <c r="C1542" s="40"/>
      <c r="D1542" s="72"/>
      <c r="E1542" s="72"/>
      <c r="F1542" s="72"/>
      <c r="G1542" s="69" t="str">
        <f t="shared" si="784"/>
        <v/>
      </c>
      <c r="H1542" s="69" t="str">
        <f t="shared" si="785"/>
        <v/>
      </c>
      <c r="I1542" s="69" t="str">
        <f t="shared" si="786"/>
        <v/>
      </c>
      <c r="J1542" s="75" t="str">
        <f t="shared" si="787"/>
        <v/>
      </c>
      <c r="K1542" s="63"/>
    </row>
    <row r="1544" spans="1:18" x14ac:dyDescent="0.25">
      <c r="A1544" s="81">
        <v>78</v>
      </c>
      <c r="B1544" s="49" t="s">
        <v>1194</v>
      </c>
      <c r="C1544" s="31" t="s">
        <v>1472</v>
      </c>
      <c r="D1544" s="76"/>
      <c r="E1544" s="66"/>
      <c r="F1544" s="66"/>
      <c r="G1544" s="66"/>
      <c r="H1544" s="66"/>
      <c r="I1544" s="66"/>
      <c r="J1544" s="60"/>
      <c r="K1544" s="60"/>
    </row>
    <row r="1545" spans="1:18" x14ac:dyDescent="0.25">
      <c r="A1545" s="4" t="s">
        <v>6</v>
      </c>
      <c r="B1545" s="37" t="s">
        <v>677</v>
      </c>
      <c r="C1545" s="37"/>
      <c r="D1545" s="70">
        <v>1</v>
      </c>
      <c r="E1545" s="70">
        <v>1</v>
      </c>
      <c r="F1545" s="70">
        <v>1</v>
      </c>
      <c r="G1545" s="67">
        <f t="shared" ref="G1545:G1562" si="793">IF(B1545="","",IF( AND(D1545=1, E1545=1),1,0))</f>
        <v>1</v>
      </c>
      <c r="H1545" s="67">
        <f t="shared" ref="H1545:H1562" si="794">IF(B1545="","",IF(AND(D1545=1,F1545=1),1,0))</f>
        <v>1</v>
      </c>
      <c r="I1545" s="67">
        <f t="shared" ref="I1545:I1562" si="795">IF(B1545="","",IF(AND(E1545=1,F1545=1),1,0))</f>
        <v>1</v>
      </c>
      <c r="J1545" s="73">
        <f t="shared" ref="J1545" si="796">IF(B1545="","",SUM(D1545:F1545))</f>
        <v>3</v>
      </c>
      <c r="K1545" s="61"/>
      <c r="M1545" s="7">
        <f t="shared" ref="M1545" si="797">SUM(G1545:I1545)/3</f>
        <v>1</v>
      </c>
      <c r="N1545" s="6">
        <f t="shared" ref="N1545" si="798">SUM(G1548:I1548)/3</f>
        <v>1</v>
      </c>
      <c r="O1545" s="7">
        <f t="shared" ref="O1545" si="799">SUM(G1551:I1551)/3</f>
        <v>1</v>
      </c>
      <c r="P1545" s="6">
        <f t="shared" ref="P1545" si="800">SUM(G1554:I1554)/3</f>
        <v>1</v>
      </c>
      <c r="Q1545" s="7">
        <f t="shared" ref="Q1545" si="801">SUM(G1557:I1557)/3</f>
        <v>0</v>
      </c>
      <c r="R1545" s="7">
        <f>SUM(G1560:I1560)/3</f>
        <v>0.33333333333333331</v>
      </c>
    </row>
    <row r="1546" spans="1:18" x14ac:dyDescent="0.25">
      <c r="A1546" s="2"/>
      <c r="B1546" s="37"/>
      <c r="C1546" s="37"/>
      <c r="D1546" s="71"/>
      <c r="E1546" s="71"/>
      <c r="F1546" s="71"/>
      <c r="G1546" s="68" t="str">
        <f t="shared" si="793"/>
        <v/>
      </c>
      <c r="H1546" s="68" t="str">
        <f t="shared" si="794"/>
        <v/>
      </c>
      <c r="I1546" s="68" t="str">
        <f t="shared" si="795"/>
        <v/>
      </c>
      <c r="J1546" s="74" t="str">
        <f t="shared" si="787"/>
        <v/>
      </c>
      <c r="K1546" s="62"/>
    </row>
    <row r="1547" spans="1:18" x14ac:dyDescent="0.25">
      <c r="A1547" s="3"/>
      <c r="B1547" s="42"/>
      <c r="C1547" s="42"/>
      <c r="D1547" s="72"/>
      <c r="E1547" s="72"/>
      <c r="F1547" s="72"/>
      <c r="G1547" s="69" t="str">
        <f t="shared" si="793"/>
        <v/>
      </c>
      <c r="H1547" s="69" t="str">
        <f t="shared" si="794"/>
        <v/>
      </c>
      <c r="I1547" s="69" t="str">
        <f t="shared" si="795"/>
        <v/>
      </c>
      <c r="J1547" s="75" t="str">
        <f t="shared" si="787"/>
        <v/>
      </c>
      <c r="K1547" s="63"/>
    </row>
    <row r="1548" spans="1:18" x14ac:dyDescent="0.25">
      <c r="A1548" s="4" t="s">
        <v>5</v>
      </c>
      <c r="B1548" s="33" t="s">
        <v>288</v>
      </c>
      <c r="C1548" s="33"/>
      <c r="D1548" s="70">
        <v>1</v>
      </c>
      <c r="E1548" s="70">
        <v>1</v>
      </c>
      <c r="F1548" s="70">
        <v>1</v>
      </c>
      <c r="G1548" s="67">
        <f t="shared" si="793"/>
        <v>1</v>
      </c>
      <c r="H1548" s="67">
        <f t="shared" si="794"/>
        <v>1</v>
      </c>
      <c r="I1548" s="67">
        <f t="shared" si="795"/>
        <v>1</v>
      </c>
      <c r="J1548" s="73">
        <f t="shared" si="787"/>
        <v>3</v>
      </c>
      <c r="K1548" s="61"/>
    </row>
    <row r="1549" spans="1:18" x14ac:dyDescent="0.25">
      <c r="A1549" s="2"/>
      <c r="B1549" s="37"/>
      <c r="C1549" s="37"/>
      <c r="D1549" s="71"/>
      <c r="E1549" s="71"/>
      <c r="F1549" s="71"/>
      <c r="G1549" s="68" t="str">
        <f t="shared" si="793"/>
        <v/>
      </c>
      <c r="H1549" s="68" t="str">
        <f t="shared" si="794"/>
        <v/>
      </c>
      <c r="I1549" s="68" t="str">
        <f t="shared" si="795"/>
        <v/>
      </c>
      <c r="J1549" s="74" t="str">
        <f t="shared" si="787"/>
        <v/>
      </c>
      <c r="K1549" s="62"/>
    </row>
    <row r="1550" spans="1:18" x14ac:dyDescent="0.25">
      <c r="A1550" s="3"/>
      <c r="B1550" s="40"/>
      <c r="C1550" s="37"/>
      <c r="D1550" s="71"/>
      <c r="E1550" s="71"/>
      <c r="F1550" s="71"/>
      <c r="G1550" s="69" t="str">
        <f t="shared" si="793"/>
        <v/>
      </c>
      <c r="H1550" s="69" t="str">
        <f t="shared" si="794"/>
        <v/>
      </c>
      <c r="I1550" s="69" t="str">
        <f t="shared" si="795"/>
        <v/>
      </c>
      <c r="J1550" s="75" t="str">
        <f t="shared" si="787"/>
        <v/>
      </c>
      <c r="K1550" s="63"/>
    </row>
    <row r="1551" spans="1:18" x14ac:dyDescent="0.25">
      <c r="A1551" s="4" t="s">
        <v>7</v>
      </c>
      <c r="B1551" s="33" t="s">
        <v>1105</v>
      </c>
      <c r="C1551" s="33"/>
      <c r="D1551" s="70">
        <v>1</v>
      </c>
      <c r="E1551" s="70">
        <v>1</v>
      </c>
      <c r="F1551" s="70">
        <v>1</v>
      </c>
      <c r="G1551" s="67">
        <f t="shared" si="793"/>
        <v>1</v>
      </c>
      <c r="H1551" s="67">
        <f t="shared" si="794"/>
        <v>1</v>
      </c>
      <c r="I1551" s="67">
        <f t="shared" si="795"/>
        <v>1</v>
      </c>
      <c r="J1551" s="73">
        <f t="shared" si="787"/>
        <v>3</v>
      </c>
      <c r="K1551" s="61"/>
    </row>
    <row r="1552" spans="1:18" x14ac:dyDescent="0.25">
      <c r="A1552" s="2"/>
      <c r="B1552" s="37"/>
      <c r="C1552" s="37"/>
      <c r="D1552" s="71"/>
      <c r="E1552" s="71"/>
      <c r="F1552" s="71"/>
      <c r="G1552" s="68" t="str">
        <f t="shared" si="793"/>
        <v/>
      </c>
      <c r="H1552" s="68" t="str">
        <f t="shared" si="794"/>
        <v/>
      </c>
      <c r="I1552" s="68" t="str">
        <f t="shared" si="795"/>
        <v/>
      </c>
      <c r="J1552" s="74" t="str">
        <f t="shared" si="787"/>
        <v/>
      </c>
      <c r="K1552" s="62"/>
    </row>
    <row r="1553" spans="1:18" x14ac:dyDescent="0.25">
      <c r="A1553" s="3"/>
      <c r="B1553" s="40"/>
      <c r="C1553" s="40"/>
      <c r="D1553" s="72"/>
      <c r="E1553" s="72"/>
      <c r="F1553" s="72"/>
      <c r="G1553" s="69" t="str">
        <f t="shared" si="793"/>
        <v/>
      </c>
      <c r="H1553" s="69" t="str">
        <f t="shared" si="794"/>
        <v/>
      </c>
      <c r="I1553" s="69" t="str">
        <f t="shared" si="795"/>
        <v/>
      </c>
      <c r="J1553" s="75" t="str">
        <f t="shared" si="787"/>
        <v/>
      </c>
      <c r="K1553" s="63"/>
    </row>
    <row r="1554" spans="1:18" x14ac:dyDescent="0.25">
      <c r="A1554" s="4" t="s">
        <v>8</v>
      </c>
      <c r="B1554" s="37" t="s">
        <v>172</v>
      </c>
      <c r="C1554" s="37"/>
      <c r="D1554" s="70">
        <v>1</v>
      </c>
      <c r="E1554" s="70">
        <v>1</v>
      </c>
      <c r="F1554" s="70">
        <v>1</v>
      </c>
      <c r="G1554" s="67">
        <f t="shared" si="793"/>
        <v>1</v>
      </c>
      <c r="H1554" s="67">
        <f t="shared" si="794"/>
        <v>1</v>
      </c>
      <c r="I1554" s="67">
        <f t="shared" si="795"/>
        <v>1</v>
      </c>
      <c r="J1554" s="73">
        <f t="shared" si="787"/>
        <v>3</v>
      </c>
      <c r="K1554" s="61"/>
    </row>
    <row r="1555" spans="1:18" x14ac:dyDescent="0.25">
      <c r="A1555" s="2"/>
      <c r="B1555" s="37"/>
      <c r="C1555" s="37"/>
      <c r="D1555" s="71"/>
      <c r="E1555" s="71"/>
      <c r="F1555" s="71"/>
      <c r="G1555" s="68" t="str">
        <f t="shared" si="793"/>
        <v/>
      </c>
      <c r="H1555" s="68" t="str">
        <f t="shared" si="794"/>
        <v/>
      </c>
      <c r="I1555" s="68" t="str">
        <f t="shared" si="795"/>
        <v/>
      </c>
      <c r="J1555" s="74" t="str">
        <f t="shared" si="787"/>
        <v/>
      </c>
      <c r="K1555" s="62"/>
    </row>
    <row r="1556" spans="1:18" x14ac:dyDescent="0.25">
      <c r="A1556" s="3"/>
      <c r="B1556" s="40"/>
      <c r="C1556" s="40"/>
      <c r="D1556" s="72"/>
      <c r="E1556" s="72"/>
      <c r="F1556" s="72"/>
      <c r="G1556" s="69" t="str">
        <f t="shared" si="793"/>
        <v/>
      </c>
      <c r="H1556" s="69" t="str">
        <f t="shared" si="794"/>
        <v/>
      </c>
      <c r="I1556" s="69" t="str">
        <f t="shared" si="795"/>
        <v/>
      </c>
      <c r="J1556" s="75" t="str">
        <f t="shared" si="787"/>
        <v/>
      </c>
      <c r="K1556" s="63"/>
    </row>
    <row r="1557" spans="1:18" x14ac:dyDescent="0.25">
      <c r="A1557" s="2" t="s">
        <v>9</v>
      </c>
      <c r="B1557" s="37" t="s">
        <v>947</v>
      </c>
      <c r="C1557" s="37"/>
      <c r="D1557" s="71">
        <v>1</v>
      </c>
      <c r="E1557" s="71">
        <v>0</v>
      </c>
      <c r="F1557" s="71">
        <v>0</v>
      </c>
      <c r="G1557" s="68">
        <f t="shared" si="793"/>
        <v>0</v>
      </c>
      <c r="H1557" s="68">
        <f t="shared" si="794"/>
        <v>0</v>
      </c>
      <c r="I1557" s="68">
        <f t="shared" si="795"/>
        <v>0</v>
      </c>
      <c r="J1557" s="74">
        <f t="shared" si="787"/>
        <v>1</v>
      </c>
      <c r="K1557" s="62"/>
    </row>
    <row r="1558" spans="1:18" x14ac:dyDescent="0.25">
      <c r="A1558" s="2"/>
      <c r="B1558" s="37" t="s">
        <v>678</v>
      </c>
      <c r="C1558" s="37"/>
      <c r="D1558" s="71">
        <v>0</v>
      </c>
      <c r="E1558" s="71">
        <v>0</v>
      </c>
      <c r="F1558" s="71">
        <v>1</v>
      </c>
      <c r="G1558" s="68">
        <f t="shared" si="793"/>
        <v>0</v>
      </c>
      <c r="H1558" s="68">
        <f t="shared" si="794"/>
        <v>0</v>
      </c>
      <c r="I1558" s="68">
        <f t="shared" si="795"/>
        <v>0</v>
      </c>
      <c r="J1558" s="74">
        <f t="shared" si="787"/>
        <v>1</v>
      </c>
      <c r="K1558" s="62"/>
    </row>
    <row r="1559" spans="1:18" x14ac:dyDescent="0.25">
      <c r="A1559" s="3"/>
      <c r="B1559" s="40" t="s">
        <v>1105</v>
      </c>
      <c r="C1559" s="40"/>
      <c r="D1559" s="72">
        <v>0</v>
      </c>
      <c r="E1559" s="72">
        <v>1</v>
      </c>
      <c r="F1559" s="72">
        <v>0</v>
      </c>
      <c r="G1559" s="69">
        <f t="shared" si="793"/>
        <v>0</v>
      </c>
      <c r="H1559" s="69">
        <f t="shared" si="794"/>
        <v>0</v>
      </c>
      <c r="I1559" s="69">
        <f t="shared" si="795"/>
        <v>0</v>
      </c>
      <c r="J1559" s="75">
        <f t="shared" si="787"/>
        <v>1</v>
      </c>
      <c r="K1559" s="63"/>
    </row>
    <row r="1560" spans="1:18" x14ac:dyDescent="0.25">
      <c r="A1560" s="2" t="s">
        <v>1224</v>
      </c>
      <c r="B1560" s="37" t="s">
        <v>1348</v>
      </c>
      <c r="C1560" s="37"/>
      <c r="D1560" s="71">
        <v>0</v>
      </c>
      <c r="E1560" s="71">
        <v>1</v>
      </c>
      <c r="F1560" s="71">
        <v>1</v>
      </c>
      <c r="G1560" s="68">
        <f t="shared" si="793"/>
        <v>0</v>
      </c>
      <c r="H1560" s="68">
        <f t="shared" si="794"/>
        <v>0</v>
      </c>
      <c r="I1560" s="68">
        <f t="shared" si="795"/>
        <v>1</v>
      </c>
      <c r="J1560" s="74">
        <f t="shared" ref="J1560:J1562" si="802">IF(B1560="","",SUM(D1560:F1560))</f>
        <v>2</v>
      </c>
      <c r="K1560" s="62"/>
    </row>
    <row r="1561" spans="1:18" x14ac:dyDescent="0.25">
      <c r="A1561" s="2"/>
      <c r="B1561" s="37" t="s">
        <v>1282</v>
      </c>
      <c r="C1561" s="37"/>
      <c r="D1561" s="71">
        <v>1</v>
      </c>
      <c r="E1561" s="71">
        <v>0</v>
      </c>
      <c r="F1561" s="71">
        <v>0</v>
      </c>
      <c r="G1561" s="68">
        <f t="shared" si="793"/>
        <v>0</v>
      </c>
      <c r="H1561" s="68">
        <f t="shared" si="794"/>
        <v>0</v>
      </c>
      <c r="I1561" s="68">
        <f t="shared" si="795"/>
        <v>0</v>
      </c>
      <c r="J1561" s="74">
        <f t="shared" si="802"/>
        <v>1</v>
      </c>
      <c r="K1561" s="62"/>
    </row>
    <row r="1562" spans="1:18" x14ac:dyDescent="0.25">
      <c r="A1562" s="3"/>
      <c r="B1562" s="40"/>
      <c r="C1562" s="40"/>
      <c r="D1562" s="72"/>
      <c r="E1562" s="72"/>
      <c r="F1562" s="72"/>
      <c r="G1562" s="69" t="str">
        <f t="shared" si="793"/>
        <v/>
      </c>
      <c r="H1562" s="69" t="str">
        <f t="shared" si="794"/>
        <v/>
      </c>
      <c r="I1562" s="69" t="str">
        <f t="shared" si="795"/>
        <v/>
      </c>
      <c r="J1562" s="75" t="str">
        <f t="shared" si="802"/>
        <v/>
      </c>
      <c r="K1562" s="63"/>
    </row>
    <row r="1564" spans="1:18" x14ac:dyDescent="0.25">
      <c r="A1564" s="81">
        <v>79</v>
      </c>
      <c r="B1564" s="49" t="s">
        <v>1195</v>
      </c>
      <c r="C1564" s="31" t="s">
        <v>1473</v>
      </c>
      <c r="D1564" s="76"/>
      <c r="E1564" s="66"/>
      <c r="F1564" s="66"/>
      <c r="G1564" s="66"/>
      <c r="H1564" s="66"/>
      <c r="I1564" s="66"/>
      <c r="J1564" s="60"/>
      <c r="K1564" s="60"/>
    </row>
    <row r="1565" spans="1:18" x14ac:dyDescent="0.25">
      <c r="A1565" s="4" t="s">
        <v>6</v>
      </c>
      <c r="B1565" s="37" t="s">
        <v>679</v>
      </c>
      <c r="C1565" s="37"/>
      <c r="D1565" s="70">
        <v>1</v>
      </c>
      <c r="E1565" s="70">
        <v>1</v>
      </c>
      <c r="F1565" s="70">
        <v>1</v>
      </c>
      <c r="G1565" s="67">
        <f t="shared" ref="G1565:G1582" si="803">IF(B1565="","",IF( AND(D1565=1, E1565=1),1,0))</f>
        <v>1</v>
      </c>
      <c r="H1565" s="67">
        <f t="shared" ref="H1565:H1582" si="804">IF(B1565="","",IF(AND(D1565=1,F1565=1),1,0))</f>
        <v>1</v>
      </c>
      <c r="I1565" s="67">
        <f t="shared" ref="I1565:I1582" si="805">IF(B1565="","",IF(AND(E1565=1,F1565=1),1,0))</f>
        <v>1</v>
      </c>
      <c r="J1565" s="73">
        <f t="shared" ref="J1565" si="806">IF(B1565="","",SUM(D1565:F1565))</f>
        <v>3</v>
      </c>
      <c r="K1565" s="61"/>
      <c r="M1565" s="7">
        <f t="shared" ref="M1565" si="807">SUM(G1565:I1565)/3</f>
        <v>1</v>
      </c>
      <c r="N1565" s="6">
        <f t="shared" ref="N1565" si="808">SUM(G1568:I1568)/3</f>
        <v>1</v>
      </c>
      <c r="O1565" s="7">
        <f t="shared" ref="O1565" si="809">SUM(G1571:I1571)/3</f>
        <v>0.33333333333333331</v>
      </c>
      <c r="P1565" s="6">
        <f t="shared" ref="P1565" si="810">SUM(G1574:I1574)/3</f>
        <v>1</v>
      </c>
      <c r="Q1565" s="7">
        <f t="shared" ref="Q1565" si="811">SUM(G1577:I1577)/3</f>
        <v>1</v>
      </c>
      <c r="R1565" s="7">
        <f>SUM(G1580:I1580)/3</f>
        <v>0.33333333333333331</v>
      </c>
    </row>
    <row r="1566" spans="1:18" x14ac:dyDescent="0.25">
      <c r="A1566" s="2"/>
      <c r="B1566" s="37"/>
      <c r="C1566" s="37"/>
      <c r="D1566" s="71"/>
      <c r="E1566" s="71"/>
      <c r="F1566" s="71"/>
      <c r="G1566" s="68" t="str">
        <f t="shared" si="803"/>
        <v/>
      </c>
      <c r="H1566" s="68" t="str">
        <f t="shared" si="804"/>
        <v/>
      </c>
      <c r="I1566" s="68" t="str">
        <f t="shared" si="805"/>
        <v/>
      </c>
      <c r="J1566" s="74" t="str">
        <f t="shared" si="787"/>
        <v/>
      </c>
      <c r="K1566" s="62"/>
    </row>
    <row r="1567" spans="1:18" x14ac:dyDescent="0.25">
      <c r="A1567" s="3"/>
      <c r="B1567" s="42"/>
      <c r="C1567" s="42"/>
      <c r="D1567" s="72"/>
      <c r="E1567" s="72"/>
      <c r="F1567" s="72"/>
      <c r="G1567" s="69" t="str">
        <f t="shared" si="803"/>
        <v/>
      </c>
      <c r="H1567" s="69" t="str">
        <f t="shared" si="804"/>
        <v/>
      </c>
      <c r="I1567" s="69" t="str">
        <f t="shared" si="805"/>
        <v/>
      </c>
      <c r="J1567" s="75" t="str">
        <f t="shared" si="787"/>
        <v/>
      </c>
      <c r="K1567" s="63"/>
    </row>
    <row r="1568" spans="1:18" x14ac:dyDescent="0.25">
      <c r="A1568" s="4" t="s">
        <v>5</v>
      </c>
      <c r="B1568" s="33" t="s">
        <v>288</v>
      </c>
      <c r="C1568" s="33"/>
      <c r="D1568" s="70">
        <v>1</v>
      </c>
      <c r="E1568" s="70">
        <v>1</v>
      </c>
      <c r="F1568" s="70">
        <v>1</v>
      </c>
      <c r="G1568" s="67">
        <f t="shared" si="803"/>
        <v>1</v>
      </c>
      <c r="H1568" s="67">
        <f t="shared" si="804"/>
        <v>1</v>
      </c>
      <c r="I1568" s="67">
        <f t="shared" si="805"/>
        <v>1</v>
      </c>
      <c r="J1568" s="73">
        <f t="shared" si="787"/>
        <v>3</v>
      </c>
      <c r="K1568" s="61"/>
    </row>
    <row r="1569" spans="1:11" x14ac:dyDescent="0.25">
      <c r="A1569" s="2"/>
      <c r="B1569" s="37"/>
      <c r="C1569" s="37"/>
      <c r="D1569" s="71"/>
      <c r="E1569" s="71"/>
      <c r="F1569" s="71"/>
      <c r="G1569" s="68" t="str">
        <f t="shared" si="803"/>
        <v/>
      </c>
      <c r="H1569" s="68" t="str">
        <f t="shared" si="804"/>
        <v/>
      </c>
      <c r="I1569" s="68" t="str">
        <f t="shared" si="805"/>
        <v/>
      </c>
      <c r="J1569" s="74" t="str">
        <f t="shared" si="787"/>
        <v/>
      </c>
      <c r="K1569" s="62"/>
    </row>
    <row r="1570" spans="1:11" x14ac:dyDescent="0.25">
      <c r="A1570" s="3"/>
      <c r="B1570" s="40"/>
      <c r="C1570" s="37"/>
      <c r="D1570" s="71"/>
      <c r="E1570" s="71"/>
      <c r="F1570" s="71"/>
      <c r="G1570" s="69" t="str">
        <f t="shared" si="803"/>
        <v/>
      </c>
      <c r="H1570" s="69" t="str">
        <f t="shared" si="804"/>
        <v/>
      </c>
      <c r="I1570" s="69" t="str">
        <f t="shared" si="805"/>
        <v/>
      </c>
      <c r="J1570" s="75" t="str">
        <f t="shared" si="787"/>
        <v/>
      </c>
      <c r="K1570" s="63"/>
    </row>
    <row r="1571" spans="1:11" x14ac:dyDescent="0.25">
      <c r="A1571" s="4" t="s">
        <v>7</v>
      </c>
      <c r="B1571" s="33" t="s">
        <v>1105</v>
      </c>
      <c r="C1571" s="33"/>
      <c r="D1571" s="70">
        <v>1</v>
      </c>
      <c r="E1571" s="70">
        <v>1</v>
      </c>
      <c r="F1571" s="70">
        <v>0</v>
      </c>
      <c r="G1571" s="67">
        <f t="shared" si="803"/>
        <v>1</v>
      </c>
      <c r="H1571" s="67">
        <f t="shared" si="804"/>
        <v>0</v>
      </c>
      <c r="I1571" s="67">
        <f t="shared" si="805"/>
        <v>0</v>
      </c>
      <c r="J1571" s="73">
        <f t="shared" si="787"/>
        <v>2</v>
      </c>
      <c r="K1571" s="61"/>
    </row>
    <row r="1572" spans="1:11" x14ac:dyDescent="0.25">
      <c r="A1572" s="2"/>
      <c r="B1572" s="37"/>
      <c r="C1572" s="37"/>
      <c r="D1572" s="71"/>
      <c r="E1572" s="71"/>
      <c r="F1572" s="71"/>
      <c r="G1572" s="68"/>
      <c r="H1572" s="68"/>
      <c r="I1572" s="68"/>
      <c r="J1572" s="74"/>
      <c r="K1572" s="62"/>
    </row>
    <row r="1573" spans="1:11" x14ac:dyDescent="0.25">
      <c r="A1573" s="3"/>
      <c r="B1573" s="40"/>
      <c r="C1573" s="40"/>
      <c r="D1573" s="72"/>
      <c r="E1573" s="72"/>
      <c r="F1573" s="72"/>
      <c r="G1573" s="69"/>
      <c r="H1573" s="69"/>
      <c r="I1573" s="69"/>
      <c r="J1573" s="75"/>
      <c r="K1573" s="63"/>
    </row>
    <row r="1574" spans="1:11" x14ac:dyDescent="0.25">
      <c r="A1574" s="4" t="s">
        <v>8</v>
      </c>
      <c r="B1574" s="37" t="s">
        <v>681</v>
      </c>
      <c r="C1574" s="37"/>
      <c r="D1574" s="70">
        <v>1</v>
      </c>
      <c r="E1574" s="70">
        <v>1</v>
      </c>
      <c r="F1574" s="70">
        <v>1</v>
      </c>
      <c r="G1574" s="67">
        <f t="shared" si="803"/>
        <v>1</v>
      </c>
      <c r="H1574" s="67">
        <f t="shared" si="804"/>
        <v>1</v>
      </c>
      <c r="I1574" s="67">
        <f t="shared" si="805"/>
        <v>1</v>
      </c>
      <c r="J1574" s="73">
        <f t="shared" si="787"/>
        <v>3</v>
      </c>
      <c r="K1574" s="61"/>
    </row>
    <row r="1575" spans="1:11" x14ac:dyDescent="0.25">
      <c r="A1575" s="2"/>
      <c r="B1575" s="37"/>
      <c r="C1575" s="37"/>
      <c r="D1575" s="71"/>
      <c r="E1575" s="71"/>
      <c r="F1575" s="71"/>
      <c r="G1575" s="68" t="str">
        <f t="shared" si="803"/>
        <v/>
      </c>
      <c r="H1575" s="68" t="str">
        <f t="shared" si="804"/>
        <v/>
      </c>
      <c r="I1575" s="68" t="str">
        <f t="shared" si="805"/>
        <v/>
      </c>
      <c r="J1575" s="74" t="str">
        <f t="shared" si="787"/>
        <v/>
      </c>
      <c r="K1575" s="62"/>
    </row>
    <row r="1576" spans="1:11" x14ac:dyDescent="0.25">
      <c r="A1576" s="3"/>
      <c r="B1576" s="40"/>
      <c r="C1576" s="40"/>
      <c r="D1576" s="72"/>
      <c r="E1576" s="72"/>
      <c r="F1576" s="72"/>
      <c r="G1576" s="69" t="str">
        <f t="shared" si="803"/>
        <v/>
      </c>
      <c r="H1576" s="69" t="str">
        <f t="shared" si="804"/>
        <v/>
      </c>
      <c r="I1576" s="69" t="str">
        <f t="shared" si="805"/>
        <v/>
      </c>
      <c r="J1576" s="75" t="str">
        <f t="shared" si="787"/>
        <v/>
      </c>
      <c r="K1576" s="63"/>
    </row>
    <row r="1577" spans="1:11" x14ac:dyDescent="0.25">
      <c r="A1577" s="2" t="s">
        <v>9</v>
      </c>
      <c r="B1577" s="37" t="s">
        <v>682</v>
      </c>
      <c r="C1577" s="37"/>
      <c r="D1577" s="71">
        <v>1</v>
      </c>
      <c r="E1577" s="71">
        <v>1</v>
      </c>
      <c r="F1577" s="71">
        <v>1</v>
      </c>
      <c r="G1577" s="68">
        <f t="shared" si="803"/>
        <v>1</v>
      </c>
      <c r="H1577" s="68">
        <f t="shared" si="804"/>
        <v>1</v>
      </c>
      <c r="I1577" s="68">
        <f t="shared" si="805"/>
        <v>1</v>
      </c>
      <c r="J1577" s="74">
        <f t="shared" si="787"/>
        <v>3</v>
      </c>
      <c r="K1577" s="62"/>
    </row>
    <row r="1578" spans="1:11" x14ac:dyDescent="0.25">
      <c r="A1578" s="2"/>
      <c r="B1578" s="37"/>
      <c r="C1578" s="37"/>
      <c r="D1578" s="71"/>
      <c r="E1578" s="71"/>
      <c r="F1578" s="71"/>
      <c r="G1578" s="68" t="str">
        <f t="shared" si="803"/>
        <v/>
      </c>
      <c r="H1578" s="68" t="str">
        <f t="shared" si="804"/>
        <v/>
      </c>
      <c r="I1578" s="68" t="str">
        <f t="shared" si="805"/>
        <v/>
      </c>
      <c r="J1578" s="74" t="str">
        <f t="shared" si="787"/>
        <v/>
      </c>
      <c r="K1578" s="62"/>
    </row>
    <row r="1579" spans="1:11" x14ac:dyDescent="0.25">
      <c r="A1579" s="3"/>
      <c r="B1579" s="40"/>
      <c r="C1579" s="40"/>
      <c r="D1579" s="72"/>
      <c r="E1579" s="72"/>
      <c r="F1579" s="72"/>
      <c r="G1579" s="69" t="str">
        <f t="shared" si="803"/>
        <v/>
      </c>
      <c r="H1579" s="69" t="str">
        <f t="shared" si="804"/>
        <v/>
      </c>
      <c r="I1579" s="69" t="str">
        <f t="shared" si="805"/>
        <v/>
      </c>
      <c r="J1579" s="75" t="str">
        <f t="shared" si="787"/>
        <v/>
      </c>
      <c r="K1579" s="63"/>
    </row>
    <row r="1580" spans="1:11" x14ac:dyDescent="0.25">
      <c r="A1580" s="2" t="s">
        <v>1224</v>
      </c>
      <c r="B1580" s="37" t="s">
        <v>1283</v>
      </c>
      <c r="C1580" s="37"/>
      <c r="D1580" s="71">
        <v>1</v>
      </c>
      <c r="E1580" s="71">
        <v>0</v>
      </c>
      <c r="F1580" s="71">
        <v>1</v>
      </c>
      <c r="G1580" s="68">
        <f t="shared" si="803"/>
        <v>0</v>
      </c>
      <c r="H1580" s="68">
        <f t="shared" si="804"/>
        <v>1</v>
      </c>
      <c r="I1580" s="68">
        <f t="shared" si="805"/>
        <v>0</v>
      </c>
      <c r="J1580" s="74">
        <f t="shared" si="787"/>
        <v>2</v>
      </c>
      <c r="K1580" s="62"/>
    </row>
    <row r="1581" spans="1:11" x14ac:dyDescent="0.25">
      <c r="A1581" s="2"/>
      <c r="B1581" s="37" t="s">
        <v>1349</v>
      </c>
      <c r="C1581" s="37"/>
      <c r="D1581" s="71">
        <v>0</v>
      </c>
      <c r="E1581" s="71">
        <v>1</v>
      </c>
      <c r="F1581" s="71">
        <v>0</v>
      </c>
      <c r="G1581" s="68">
        <f t="shared" si="803"/>
        <v>0</v>
      </c>
      <c r="H1581" s="68">
        <f t="shared" si="804"/>
        <v>0</v>
      </c>
      <c r="I1581" s="68">
        <f t="shared" si="805"/>
        <v>0</v>
      </c>
      <c r="J1581" s="74">
        <f t="shared" si="787"/>
        <v>1</v>
      </c>
      <c r="K1581" s="62"/>
    </row>
    <row r="1582" spans="1:11" x14ac:dyDescent="0.25">
      <c r="A1582" s="3"/>
      <c r="B1582" s="40"/>
      <c r="C1582" s="40"/>
      <c r="D1582" s="72"/>
      <c r="E1582" s="72"/>
      <c r="F1582" s="72"/>
      <c r="G1582" s="69" t="str">
        <f t="shared" si="803"/>
        <v/>
      </c>
      <c r="H1582" s="69" t="str">
        <f t="shared" si="804"/>
        <v/>
      </c>
      <c r="I1582" s="69" t="str">
        <f t="shared" si="805"/>
        <v/>
      </c>
      <c r="J1582" s="75" t="str">
        <f t="shared" si="787"/>
        <v/>
      </c>
      <c r="K1582" s="63"/>
    </row>
    <row r="1584" spans="1:11" x14ac:dyDescent="0.25">
      <c r="A1584" s="81">
        <v>80</v>
      </c>
      <c r="B1584" s="49" t="s">
        <v>1196</v>
      </c>
      <c r="C1584" s="31" t="s">
        <v>1474</v>
      </c>
      <c r="D1584" s="76"/>
      <c r="E1584" s="66"/>
      <c r="F1584" s="66"/>
      <c r="G1584" s="66"/>
      <c r="H1584" s="66"/>
      <c r="I1584" s="66"/>
      <c r="J1584" s="60"/>
      <c r="K1584" s="60"/>
    </row>
    <row r="1585" spans="1:18" x14ac:dyDescent="0.25">
      <c r="A1585" s="4" t="s">
        <v>6</v>
      </c>
      <c r="B1585" s="37" t="s">
        <v>683</v>
      </c>
      <c r="C1585" s="37"/>
      <c r="D1585" s="70">
        <v>1</v>
      </c>
      <c r="E1585" s="70">
        <v>1</v>
      </c>
      <c r="F1585" s="70">
        <v>1</v>
      </c>
      <c r="G1585" s="67">
        <f t="shared" ref="G1585:G1602" si="812">IF(B1585="","",IF( AND(D1585=1, E1585=1),1,0))</f>
        <v>1</v>
      </c>
      <c r="H1585" s="67">
        <f t="shared" ref="H1585:H1602" si="813">IF(B1585="","",IF(AND(D1585=1,F1585=1),1,0))</f>
        <v>1</v>
      </c>
      <c r="I1585" s="67">
        <f t="shared" ref="I1585:I1602" si="814">IF(B1585="","",IF(AND(E1585=1,F1585=1),1,0))</f>
        <v>1</v>
      </c>
      <c r="J1585" s="73">
        <f t="shared" ref="J1585" si="815">IF(B1585="","",SUM(D1585:F1585))</f>
        <v>3</v>
      </c>
      <c r="K1585" s="61"/>
      <c r="M1585" s="7">
        <f t="shared" ref="M1585" si="816">SUM(G1585:I1585)/3</f>
        <v>1</v>
      </c>
      <c r="N1585" s="6">
        <f t="shared" ref="N1585" si="817">SUM(G1588:I1588)/3</f>
        <v>0.33333333333333331</v>
      </c>
      <c r="O1585" s="7">
        <f t="shared" ref="O1585" si="818">SUM(G1591:I1591)/3</f>
        <v>1</v>
      </c>
      <c r="P1585" s="6">
        <f t="shared" ref="P1585" si="819">SUM(G1594:I1594)/3</f>
        <v>1</v>
      </c>
      <c r="Q1585" s="7">
        <f t="shared" ref="Q1585" si="820">SUM(G1597:I1597)/3</f>
        <v>1</v>
      </c>
      <c r="R1585" s="7">
        <f>SUM(G1600:I1600)/3</f>
        <v>0</v>
      </c>
    </row>
    <row r="1586" spans="1:18" x14ac:dyDescent="0.25">
      <c r="A1586" s="2"/>
      <c r="B1586" s="39" t="s">
        <v>684</v>
      </c>
      <c r="C1586" s="39"/>
      <c r="D1586" s="71">
        <v>0</v>
      </c>
      <c r="E1586" s="71">
        <v>1</v>
      </c>
      <c r="F1586" s="71">
        <v>1</v>
      </c>
      <c r="G1586" s="68">
        <f t="shared" si="812"/>
        <v>0</v>
      </c>
      <c r="H1586" s="68">
        <f t="shared" si="813"/>
        <v>0</v>
      </c>
      <c r="I1586" s="68">
        <f t="shared" si="814"/>
        <v>1</v>
      </c>
      <c r="J1586" s="74">
        <f t="shared" si="787"/>
        <v>2</v>
      </c>
      <c r="K1586" s="62"/>
    </row>
    <row r="1587" spans="1:18" x14ac:dyDescent="0.25">
      <c r="A1587" s="3"/>
      <c r="B1587" s="42"/>
      <c r="C1587" s="42"/>
      <c r="D1587" s="72"/>
      <c r="E1587" s="72"/>
      <c r="F1587" s="72"/>
      <c r="G1587" s="69" t="str">
        <f t="shared" si="812"/>
        <v/>
      </c>
      <c r="H1587" s="69" t="str">
        <f t="shared" si="813"/>
        <v/>
      </c>
      <c r="I1587" s="69" t="str">
        <f t="shared" si="814"/>
        <v/>
      </c>
      <c r="J1587" s="75" t="str">
        <f t="shared" si="787"/>
        <v/>
      </c>
      <c r="K1587" s="63"/>
    </row>
    <row r="1588" spans="1:18" x14ac:dyDescent="0.25">
      <c r="A1588" s="4" t="s">
        <v>5</v>
      </c>
      <c r="B1588" s="33" t="s">
        <v>288</v>
      </c>
      <c r="C1588" s="33"/>
      <c r="D1588" s="70">
        <v>1</v>
      </c>
      <c r="E1588" s="70">
        <v>0</v>
      </c>
      <c r="F1588" s="70">
        <v>1</v>
      </c>
      <c r="G1588" s="67">
        <f t="shared" si="812"/>
        <v>0</v>
      </c>
      <c r="H1588" s="67">
        <f t="shared" si="813"/>
        <v>1</v>
      </c>
      <c r="I1588" s="67">
        <f t="shared" si="814"/>
        <v>0</v>
      </c>
      <c r="J1588" s="73">
        <f t="shared" si="787"/>
        <v>2</v>
      </c>
      <c r="K1588" s="61"/>
    </row>
    <row r="1589" spans="1:18" x14ac:dyDescent="0.25">
      <c r="A1589" s="2"/>
      <c r="B1589" s="37"/>
      <c r="C1589" s="37"/>
      <c r="D1589" s="71"/>
      <c r="E1589" s="71"/>
      <c r="F1589" s="71"/>
      <c r="G1589" s="68" t="str">
        <f t="shared" si="812"/>
        <v/>
      </c>
      <c r="H1589" s="68" t="str">
        <f t="shared" si="813"/>
        <v/>
      </c>
      <c r="I1589" s="68" t="str">
        <f t="shared" si="814"/>
        <v/>
      </c>
      <c r="J1589" s="74" t="str">
        <f t="shared" si="787"/>
        <v/>
      </c>
      <c r="K1589" s="62"/>
    </row>
    <row r="1590" spans="1:18" x14ac:dyDescent="0.25">
      <c r="A1590" s="3"/>
      <c r="B1590" s="40"/>
      <c r="C1590" s="37"/>
      <c r="D1590" s="71"/>
      <c r="E1590" s="71"/>
      <c r="F1590" s="71"/>
      <c r="G1590" s="69" t="str">
        <f t="shared" si="812"/>
        <v/>
      </c>
      <c r="H1590" s="69" t="str">
        <f t="shared" si="813"/>
        <v/>
      </c>
      <c r="I1590" s="69" t="str">
        <f t="shared" si="814"/>
        <v/>
      </c>
      <c r="J1590" s="75" t="str">
        <f t="shared" si="787"/>
        <v/>
      </c>
      <c r="K1590" s="63"/>
    </row>
    <row r="1591" spans="1:18" x14ac:dyDescent="0.25">
      <c r="A1591" s="4" t="s">
        <v>7</v>
      </c>
      <c r="B1591" s="33" t="s">
        <v>1105</v>
      </c>
      <c r="C1591" s="33"/>
      <c r="D1591" s="70">
        <v>1</v>
      </c>
      <c r="E1591" s="70">
        <v>1</v>
      </c>
      <c r="F1591" s="70">
        <v>1</v>
      </c>
      <c r="G1591" s="67">
        <f t="shared" si="812"/>
        <v>1</v>
      </c>
      <c r="H1591" s="67">
        <f t="shared" si="813"/>
        <v>1</v>
      </c>
      <c r="I1591" s="67">
        <f t="shared" si="814"/>
        <v>1</v>
      </c>
      <c r="J1591" s="73">
        <f t="shared" si="787"/>
        <v>3</v>
      </c>
      <c r="K1591" s="61"/>
    </row>
    <row r="1592" spans="1:18" x14ac:dyDescent="0.25">
      <c r="A1592" s="2"/>
      <c r="B1592" s="37"/>
      <c r="C1592" s="37"/>
      <c r="D1592" s="71"/>
      <c r="E1592" s="71"/>
      <c r="F1592" s="71"/>
      <c r="G1592" s="68" t="str">
        <f t="shared" si="812"/>
        <v/>
      </c>
      <c r="H1592" s="68" t="str">
        <f t="shared" si="813"/>
        <v/>
      </c>
      <c r="I1592" s="68" t="str">
        <f t="shared" si="814"/>
        <v/>
      </c>
      <c r="J1592" s="74" t="str">
        <f t="shared" si="787"/>
        <v/>
      </c>
      <c r="K1592" s="62"/>
    </row>
    <row r="1593" spans="1:18" x14ac:dyDescent="0.25">
      <c r="A1593" s="3"/>
      <c r="B1593" s="40"/>
      <c r="C1593" s="40"/>
      <c r="D1593" s="72"/>
      <c r="E1593" s="72"/>
      <c r="F1593" s="72"/>
      <c r="G1593" s="69" t="str">
        <f t="shared" si="812"/>
        <v/>
      </c>
      <c r="H1593" s="69" t="str">
        <f t="shared" si="813"/>
        <v/>
      </c>
      <c r="I1593" s="69" t="str">
        <f t="shared" si="814"/>
        <v/>
      </c>
      <c r="J1593" s="75" t="str">
        <f t="shared" si="787"/>
        <v/>
      </c>
      <c r="K1593" s="63"/>
    </row>
    <row r="1594" spans="1:18" x14ac:dyDescent="0.25">
      <c r="A1594" s="4" t="s">
        <v>8</v>
      </c>
      <c r="B1594" s="37" t="s">
        <v>172</v>
      </c>
      <c r="C1594" s="37"/>
      <c r="D1594" s="70">
        <v>1</v>
      </c>
      <c r="E1594" s="70">
        <v>1</v>
      </c>
      <c r="F1594" s="70">
        <v>1</v>
      </c>
      <c r="G1594" s="67">
        <f t="shared" si="812"/>
        <v>1</v>
      </c>
      <c r="H1594" s="67">
        <f t="shared" si="813"/>
        <v>1</v>
      </c>
      <c r="I1594" s="67">
        <f t="shared" si="814"/>
        <v>1</v>
      </c>
      <c r="J1594" s="73">
        <f t="shared" si="787"/>
        <v>3</v>
      </c>
      <c r="K1594" s="61"/>
    </row>
    <row r="1595" spans="1:18" x14ac:dyDescent="0.25">
      <c r="A1595" s="2"/>
      <c r="B1595" s="37"/>
      <c r="C1595" s="37"/>
      <c r="D1595" s="71"/>
      <c r="E1595" s="71"/>
      <c r="F1595" s="71"/>
      <c r="G1595" s="68" t="str">
        <f t="shared" si="812"/>
        <v/>
      </c>
      <c r="H1595" s="68" t="str">
        <f t="shared" si="813"/>
        <v/>
      </c>
      <c r="I1595" s="68" t="str">
        <f t="shared" si="814"/>
        <v/>
      </c>
      <c r="J1595" s="74" t="str">
        <f t="shared" si="787"/>
        <v/>
      </c>
      <c r="K1595" s="62"/>
    </row>
    <row r="1596" spans="1:18" x14ac:dyDescent="0.25">
      <c r="A1596" s="3"/>
      <c r="B1596" s="40"/>
      <c r="C1596" s="40"/>
      <c r="D1596" s="72"/>
      <c r="E1596" s="72"/>
      <c r="F1596" s="72"/>
      <c r="G1596" s="69" t="str">
        <f t="shared" si="812"/>
        <v/>
      </c>
      <c r="H1596" s="69" t="str">
        <f t="shared" si="813"/>
        <v/>
      </c>
      <c r="I1596" s="69" t="str">
        <f t="shared" si="814"/>
        <v/>
      </c>
      <c r="J1596" s="75" t="str">
        <f t="shared" si="787"/>
        <v/>
      </c>
      <c r="K1596" s="63"/>
    </row>
    <row r="1597" spans="1:18" x14ac:dyDescent="0.25">
      <c r="A1597" s="2" t="s">
        <v>9</v>
      </c>
      <c r="B1597" s="37" t="s">
        <v>1000</v>
      </c>
      <c r="C1597" s="37"/>
      <c r="D1597" s="71">
        <v>1</v>
      </c>
      <c r="E1597" s="71">
        <v>1</v>
      </c>
      <c r="F1597" s="71">
        <v>1</v>
      </c>
      <c r="G1597" s="68">
        <f t="shared" si="812"/>
        <v>1</v>
      </c>
      <c r="H1597" s="68">
        <f t="shared" si="813"/>
        <v>1</v>
      </c>
      <c r="I1597" s="68">
        <f t="shared" si="814"/>
        <v>1</v>
      </c>
      <c r="J1597" s="74">
        <f t="shared" si="787"/>
        <v>3</v>
      </c>
      <c r="K1597" s="62"/>
    </row>
    <row r="1598" spans="1:18" x14ac:dyDescent="0.25">
      <c r="A1598" s="2"/>
      <c r="B1598" s="37"/>
      <c r="C1598" s="37"/>
      <c r="D1598" s="71"/>
      <c r="E1598" s="71"/>
      <c r="F1598" s="71"/>
      <c r="G1598" s="68" t="str">
        <f t="shared" si="812"/>
        <v/>
      </c>
      <c r="H1598" s="68" t="str">
        <f t="shared" si="813"/>
        <v/>
      </c>
      <c r="I1598" s="68" t="str">
        <f t="shared" si="814"/>
        <v/>
      </c>
      <c r="J1598" s="74" t="str">
        <f t="shared" ref="J1598:J1673" si="821">IF(B1598="","",SUM(D1598:F1598))</f>
        <v/>
      </c>
      <c r="K1598" s="62"/>
    </row>
    <row r="1599" spans="1:18" x14ac:dyDescent="0.25">
      <c r="A1599" s="3"/>
      <c r="B1599" s="40"/>
      <c r="C1599" s="40"/>
      <c r="D1599" s="72"/>
      <c r="E1599" s="72"/>
      <c r="F1599" s="72"/>
      <c r="G1599" s="69" t="str">
        <f t="shared" si="812"/>
        <v/>
      </c>
      <c r="H1599" s="69" t="str">
        <f t="shared" si="813"/>
        <v/>
      </c>
      <c r="I1599" s="69" t="str">
        <f t="shared" si="814"/>
        <v/>
      </c>
      <c r="J1599" s="75" t="str">
        <f t="shared" si="821"/>
        <v/>
      </c>
      <c r="K1599" s="63"/>
    </row>
    <row r="1600" spans="1:18" x14ac:dyDescent="0.25">
      <c r="A1600" s="2" t="s">
        <v>1224</v>
      </c>
      <c r="B1600" s="37" t="s">
        <v>1350</v>
      </c>
      <c r="C1600" s="37"/>
      <c r="D1600" s="71">
        <v>0</v>
      </c>
      <c r="E1600" s="71">
        <v>1</v>
      </c>
      <c r="F1600" s="71">
        <v>0</v>
      </c>
      <c r="G1600" s="68">
        <f t="shared" si="812"/>
        <v>0</v>
      </c>
      <c r="H1600" s="68">
        <f t="shared" si="813"/>
        <v>0</v>
      </c>
      <c r="I1600" s="68">
        <f t="shared" si="814"/>
        <v>0</v>
      </c>
      <c r="J1600" s="74">
        <f t="shared" ref="J1600:J1602" si="822">IF(B1600="","",SUM(D1600:F1600))</f>
        <v>1</v>
      </c>
      <c r="K1600" s="62"/>
    </row>
    <row r="1601" spans="1:18" x14ac:dyDescent="0.25">
      <c r="A1601" s="2"/>
      <c r="B1601" s="37"/>
      <c r="C1601" s="37"/>
      <c r="D1601" s="71"/>
      <c r="E1601" s="71"/>
      <c r="F1601" s="71"/>
      <c r="G1601" s="68" t="str">
        <f t="shared" si="812"/>
        <v/>
      </c>
      <c r="H1601" s="68" t="str">
        <f t="shared" si="813"/>
        <v/>
      </c>
      <c r="I1601" s="68" t="str">
        <f t="shared" si="814"/>
        <v/>
      </c>
      <c r="J1601" s="74" t="str">
        <f t="shared" si="822"/>
        <v/>
      </c>
      <c r="K1601" s="62"/>
    </row>
    <row r="1602" spans="1:18" x14ac:dyDescent="0.25">
      <c r="A1602" s="3"/>
      <c r="B1602" s="40"/>
      <c r="C1602" s="40"/>
      <c r="D1602" s="72"/>
      <c r="E1602" s="72"/>
      <c r="F1602" s="72"/>
      <c r="G1602" s="69" t="str">
        <f t="shared" si="812"/>
        <v/>
      </c>
      <c r="H1602" s="69" t="str">
        <f t="shared" si="813"/>
        <v/>
      </c>
      <c r="I1602" s="69" t="str">
        <f t="shared" si="814"/>
        <v/>
      </c>
      <c r="J1602" s="75" t="str">
        <f t="shared" si="822"/>
        <v/>
      </c>
      <c r="K1602" s="63"/>
    </row>
    <row r="1604" spans="1:18" x14ac:dyDescent="0.25">
      <c r="A1604" s="81">
        <v>81</v>
      </c>
      <c r="B1604" s="49" t="s">
        <v>1197</v>
      </c>
      <c r="C1604" s="31" t="s">
        <v>1475</v>
      </c>
      <c r="D1604" s="76"/>
      <c r="E1604" s="66"/>
      <c r="F1604" s="66"/>
      <c r="G1604" s="66"/>
      <c r="H1604" s="66"/>
      <c r="I1604" s="66"/>
      <c r="J1604" s="60"/>
      <c r="K1604" s="60"/>
    </row>
    <row r="1605" spans="1:18" x14ac:dyDescent="0.25">
      <c r="A1605" s="4" t="s">
        <v>6</v>
      </c>
      <c r="B1605" s="37" t="s">
        <v>1002</v>
      </c>
      <c r="C1605" s="37"/>
      <c r="D1605" s="70">
        <v>1</v>
      </c>
      <c r="E1605" s="70">
        <v>1</v>
      </c>
      <c r="F1605" s="70">
        <v>1</v>
      </c>
      <c r="G1605" s="67">
        <f t="shared" ref="G1605:G1622" si="823">IF(B1605="","",IF( AND(D1605=1, E1605=1),1,0))</f>
        <v>1</v>
      </c>
      <c r="H1605" s="67">
        <f t="shared" ref="H1605:H1622" si="824">IF(B1605="","",IF(AND(D1605=1,F1605=1),1,0))</f>
        <v>1</v>
      </c>
      <c r="I1605" s="67">
        <f t="shared" ref="I1605:I1622" si="825">IF(B1605="","",IF(AND(E1605=1,F1605=1),1,0))</f>
        <v>1</v>
      </c>
      <c r="J1605" s="73">
        <f t="shared" ref="J1605" si="826">IF(B1605="","",SUM(D1605:F1605))</f>
        <v>3</v>
      </c>
      <c r="K1605" s="61"/>
      <c r="M1605" s="7">
        <f t="shared" ref="M1605" si="827">SUM(G1605:I1605)/3</f>
        <v>1</v>
      </c>
      <c r="N1605" s="6">
        <f t="shared" ref="N1605" si="828">SUM(G1608:I1608)/3</f>
        <v>0.33333333333333331</v>
      </c>
      <c r="O1605" s="7">
        <f t="shared" ref="O1605" si="829">SUM(G1611:I1611)/3</f>
        <v>1</v>
      </c>
      <c r="P1605" s="6">
        <f t="shared" ref="P1605" si="830">SUM(G1614:I1614)/3</f>
        <v>1</v>
      </c>
      <c r="Q1605" s="7">
        <f t="shared" ref="Q1605" si="831">SUM(G1617:I1617)/3</f>
        <v>0.33333333333333331</v>
      </c>
      <c r="R1605" s="7">
        <f>SUM(G1620:I1620)/3</f>
        <v>0.33333333333333331</v>
      </c>
    </row>
    <row r="1606" spans="1:18" x14ac:dyDescent="0.25">
      <c r="A1606" s="2"/>
      <c r="B1606" s="37"/>
      <c r="C1606" s="37"/>
      <c r="D1606" s="71"/>
      <c r="E1606" s="71"/>
      <c r="F1606" s="71"/>
      <c r="G1606" s="68" t="str">
        <f t="shared" si="823"/>
        <v/>
      </c>
      <c r="H1606" s="68" t="str">
        <f t="shared" si="824"/>
        <v/>
      </c>
      <c r="I1606" s="68" t="str">
        <f t="shared" si="825"/>
        <v/>
      </c>
      <c r="J1606" s="74" t="str">
        <f t="shared" si="821"/>
        <v/>
      </c>
      <c r="K1606" s="62"/>
    </row>
    <row r="1607" spans="1:18" x14ac:dyDescent="0.25">
      <c r="A1607" s="3"/>
      <c r="B1607" s="42"/>
      <c r="C1607" s="42"/>
      <c r="D1607" s="72"/>
      <c r="E1607" s="72"/>
      <c r="F1607" s="72"/>
      <c r="G1607" s="69" t="str">
        <f t="shared" si="823"/>
        <v/>
      </c>
      <c r="H1607" s="69" t="str">
        <f t="shared" si="824"/>
        <v/>
      </c>
      <c r="I1607" s="69" t="str">
        <f t="shared" si="825"/>
        <v/>
      </c>
      <c r="J1607" s="75" t="str">
        <f t="shared" si="821"/>
        <v/>
      </c>
      <c r="K1607" s="63"/>
    </row>
    <row r="1608" spans="1:18" x14ac:dyDescent="0.25">
      <c r="A1608" s="4" t="s">
        <v>5</v>
      </c>
      <c r="B1608" s="33" t="s">
        <v>288</v>
      </c>
      <c r="C1608" s="33"/>
      <c r="D1608" s="70">
        <v>1</v>
      </c>
      <c r="E1608" s="70">
        <v>0</v>
      </c>
      <c r="F1608" s="70">
        <v>1</v>
      </c>
      <c r="G1608" s="67">
        <f t="shared" si="823"/>
        <v>0</v>
      </c>
      <c r="H1608" s="67">
        <f t="shared" si="824"/>
        <v>1</v>
      </c>
      <c r="I1608" s="67">
        <f t="shared" si="825"/>
        <v>0</v>
      </c>
      <c r="J1608" s="73">
        <f t="shared" si="821"/>
        <v>2</v>
      </c>
      <c r="K1608" s="61"/>
    </row>
    <row r="1609" spans="1:18" x14ac:dyDescent="0.25">
      <c r="A1609" s="2"/>
      <c r="B1609" s="37"/>
      <c r="C1609" s="37"/>
      <c r="D1609" s="71"/>
      <c r="E1609" s="71"/>
      <c r="F1609" s="71"/>
      <c r="G1609" s="68" t="str">
        <f t="shared" si="823"/>
        <v/>
      </c>
      <c r="H1609" s="68" t="str">
        <f t="shared" si="824"/>
        <v/>
      </c>
      <c r="I1609" s="68" t="str">
        <f t="shared" si="825"/>
        <v/>
      </c>
      <c r="J1609" s="74" t="str">
        <f t="shared" si="821"/>
        <v/>
      </c>
      <c r="K1609" s="62"/>
    </row>
    <row r="1610" spans="1:18" x14ac:dyDescent="0.25">
      <c r="A1610" s="3"/>
      <c r="B1610" s="40"/>
      <c r="C1610" s="37"/>
      <c r="D1610" s="71"/>
      <c r="E1610" s="71"/>
      <c r="F1610" s="71"/>
      <c r="G1610" s="69" t="str">
        <f t="shared" si="823"/>
        <v/>
      </c>
      <c r="H1610" s="69" t="str">
        <f t="shared" si="824"/>
        <v/>
      </c>
      <c r="I1610" s="69" t="str">
        <f t="shared" si="825"/>
        <v/>
      </c>
      <c r="J1610" s="75" t="str">
        <f t="shared" si="821"/>
        <v/>
      </c>
      <c r="K1610" s="63"/>
    </row>
    <row r="1611" spans="1:18" x14ac:dyDescent="0.25">
      <c r="A1611" s="4" t="s">
        <v>7</v>
      </c>
      <c r="B1611" s="33" t="s">
        <v>1105</v>
      </c>
      <c r="C1611" s="33"/>
      <c r="D1611" s="70">
        <v>1</v>
      </c>
      <c r="E1611" s="70">
        <v>1</v>
      </c>
      <c r="F1611" s="70">
        <v>1</v>
      </c>
      <c r="G1611" s="67">
        <f t="shared" si="823"/>
        <v>1</v>
      </c>
      <c r="H1611" s="67">
        <f t="shared" si="824"/>
        <v>1</v>
      </c>
      <c r="I1611" s="67">
        <f t="shared" si="825"/>
        <v>1</v>
      </c>
      <c r="J1611" s="73">
        <f t="shared" si="821"/>
        <v>3</v>
      </c>
      <c r="K1611" s="61"/>
    </row>
    <row r="1612" spans="1:18" x14ac:dyDescent="0.25">
      <c r="A1612" s="2"/>
      <c r="B1612" s="37"/>
      <c r="C1612" s="37"/>
      <c r="D1612" s="71"/>
      <c r="E1612" s="71"/>
      <c r="F1612" s="71"/>
      <c r="G1612" s="68" t="str">
        <f t="shared" si="823"/>
        <v/>
      </c>
      <c r="H1612" s="68" t="str">
        <f t="shared" si="824"/>
        <v/>
      </c>
      <c r="I1612" s="68" t="str">
        <f t="shared" si="825"/>
        <v/>
      </c>
      <c r="J1612" s="74" t="str">
        <f t="shared" si="821"/>
        <v/>
      </c>
      <c r="K1612" s="62"/>
    </row>
    <row r="1613" spans="1:18" x14ac:dyDescent="0.25">
      <c r="A1613" s="3"/>
      <c r="B1613" s="40"/>
      <c r="C1613" s="40"/>
      <c r="D1613" s="72"/>
      <c r="E1613" s="72"/>
      <c r="F1613" s="72"/>
      <c r="G1613" s="69" t="str">
        <f t="shared" si="823"/>
        <v/>
      </c>
      <c r="H1613" s="69" t="str">
        <f t="shared" si="824"/>
        <v/>
      </c>
      <c r="I1613" s="69" t="str">
        <f t="shared" si="825"/>
        <v/>
      </c>
      <c r="J1613" s="75" t="str">
        <f t="shared" si="821"/>
        <v/>
      </c>
      <c r="K1613" s="63"/>
    </row>
    <row r="1614" spans="1:18" x14ac:dyDescent="0.25">
      <c r="A1614" s="4" t="s">
        <v>8</v>
      </c>
      <c r="B1614" s="37" t="s">
        <v>172</v>
      </c>
      <c r="C1614" s="37"/>
      <c r="D1614" s="70">
        <v>1</v>
      </c>
      <c r="E1614" s="70">
        <v>1</v>
      </c>
      <c r="F1614" s="70">
        <v>1</v>
      </c>
      <c r="G1614" s="67">
        <f t="shared" si="823"/>
        <v>1</v>
      </c>
      <c r="H1614" s="67">
        <f t="shared" si="824"/>
        <v>1</v>
      </c>
      <c r="I1614" s="67">
        <f t="shared" si="825"/>
        <v>1</v>
      </c>
      <c r="J1614" s="73">
        <f t="shared" si="821"/>
        <v>3</v>
      </c>
      <c r="K1614" s="61"/>
    </row>
    <row r="1615" spans="1:18" x14ac:dyDescent="0.25">
      <c r="A1615" s="2"/>
      <c r="B1615" s="37"/>
      <c r="C1615" s="37"/>
      <c r="D1615" s="71"/>
      <c r="E1615" s="71"/>
      <c r="F1615" s="71"/>
      <c r="G1615" s="68" t="str">
        <f t="shared" si="823"/>
        <v/>
      </c>
      <c r="H1615" s="68" t="str">
        <f t="shared" si="824"/>
        <v/>
      </c>
      <c r="I1615" s="68" t="str">
        <f t="shared" si="825"/>
        <v/>
      </c>
      <c r="J1615" s="74" t="str">
        <f t="shared" si="821"/>
        <v/>
      </c>
      <c r="K1615" s="62"/>
    </row>
    <row r="1616" spans="1:18" x14ac:dyDescent="0.25">
      <c r="A1616" s="3"/>
      <c r="B1616" s="40"/>
      <c r="C1616" s="40"/>
      <c r="D1616" s="72"/>
      <c r="E1616" s="72"/>
      <c r="F1616" s="72"/>
      <c r="G1616" s="69" t="str">
        <f t="shared" si="823"/>
        <v/>
      </c>
      <c r="H1616" s="69" t="str">
        <f t="shared" si="824"/>
        <v/>
      </c>
      <c r="I1616" s="69" t="str">
        <f t="shared" si="825"/>
        <v/>
      </c>
      <c r="J1616" s="75" t="str">
        <f t="shared" si="821"/>
        <v/>
      </c>
      <c r="K1616" s="63"/>
    </row>
    <row r="1617" spans="1:18" x14ac:dyDescent="0.25">
      <c r="A1617" s="2" t="s">
        <v>9</v>
      </c>
      <c r="B1617" s="39" t="s">
        <v>688</v>
      </c>
      <c r="C1617" s="39"/>
      <c r="D1617" s="71">
        <v>1</v>
      </c>
      <c r="E1617" s="71">
        <v>0</v>
      </c>
      <c r="F1617" s="71">
        <v>1</v>
      </c>
      <c r="G1617" s="68">
        <f t="shared" si="823"/>
        <v>0</v>
      </c>
      <c r="H1617" s="68">
        <f t="shared" si="824"/>
        <v>1</v>
      </c>
      <c r="I1617" s="68">
        <f t="shared" si="825"/>
        <v>0</v>
      </c>
      <c r="J1617" s="74">
        <f t="shared" si="821"/>
        <v>2</v>
      </c>
      <c r="K1617" s="62"/>
    </row>
    <row r="1618" spans="1:18" x14ac:dyDescent="0.25">
      <c r="A1618" s="2"/>
      <c r="B1618" s="37"/>
      <c r="C1618" s="37"/>
      <c r="D1618" s="71"/>
      <c r="E1618" s="71"/>
      <c r="F1618" s="71"/>
      <c r="G1618" s="68" t="str">
        <f t="shared" si="823"/>
        <v/>
      </c>
      <c r="H1618" s="68" t="str">
        <f t="shared" si="824"/>
        <v/>
      </c>
      <c r="I1618" s="68" t="str">
        <f t="shared" si="825"/>
        <v/>
      </c>
      <c r="J1618" s="74" t="str">
        <f t="shared" si="821"/>
        <v/>
      </c>
      <c r="K1618" s="62"/>
    </row>
    <row r="1619" spans="1:18" x14ac:dyDescent="0.25">
      <c r="A1619" s="3"/>
      <c r="B1619" s="40"/>
      <c r="C1619" s="40"/>
      <c r="D1619" s="72"/>
      <c r="E1619" s="72"/>
      <c r="F1619" s="72"/>
      <c r="G1619" s="69" t="str">
        <f t="shared" si="823"/>
        <v/>
      </c>
      <c r="H1619" s="69" t="str">
        <f t="shared" si="824"/>
        <v/>
      </c>
      <c r="I1619" s="69" t="str">
        <f t="shared" si="825"/>
        <v/>
      </c>
      <c r="J1619" s="75" t="str">
        <f t="shared" si="821"/>
        <v/>
      </c>
      <c r="K1619" s="63"/>
    </row>
    <row r="1620" spans="1:18" x14ac:dyDescent="0.25">
      <c r="A1620" s="2" t="s">
        <v>1224</v>
      </c>
      <c r="B1620" s="37" t="s">
        <v>1283</v>
      </c>
      <c r="C1620" s="37"/>
      <c r="D1620" s="71">
        <v>0</v>
      </c>
      <c r="E1620" s="71">
        <v>1</v>
      </c>
      <c r="F1620" s="71">
        <v>1</v>
      </c>
      <c r="G1620" s="68">
        <f t="shared" si="823"/>
        <v>0</v>
      </c>
      <c r="H1620" s="68">
        <f t="shared" si="824"/>
        <v>0</v>
      </c>
      <c r="I1620" s="68">
        <f t="shared" si="825"/>
        <v>1</v>
      </c>
      <c r="J1620" s="74">
        <f t="shared" ref="J1620:J1622" si="832">IF(B1620="","",SUM(D1620:F1620))</f>
        <v>2</v>
      </c>
      <c r="K1620" s="62"/>
    </row>
    <row r="1621" spans="1:18" x14ac:dyDescent="0.25">
      <c r="A1621" s="2"/>
      <c r="B1621" s="37" t="s">
        <v>1284</v>
      </c>
      <c r="C1621" s="37"/>
      <c r="D1621" s="71">
        <v>1</v>
      </c>
      <c r="E1621" s="71">
        <v>0</v>
      </c>
      <c r="F1621" s="71">
        <v>0</v>
      </c>
      <c r="G1621" s="68">
        <f t="shared" si="823"/>
        <v>0</v>
      </c>
      <c r="H1621" s="68">
        <f t="shared" si="824"/>
        <v>0</v>
      </c>
      <c r="I1621" s="68">
        <f t="shared" si="825"/>
        <v>0</v>
      </c>
      <c r="J1621" s="74">
        <f t="shared" si="832"/>
        <v>1</v>
      </c>
      <c r="K1621" s="62"/>
    </row>
    <row r="1622" spans="1:18" x14ac:dyDescent="0.25">
      <c r="A1622" s="3"/>
      <c r="B1622" s="40"/>
      <c r="C1622" s="40"/>
      <c r="D1622" s="72"/>
      <c r="E1622" s="72"/>
      <c r="F1622" s="72"/>
      <c r="G1622" s="69" t="str">
        <f t="shared" si="823"/>
        <v/>
      </c>
      <c r="H1622" s="69" t="str">
        <f t="shared" si="824"/>
        <v/>
      </c>
      <c r="I1622" s="69" t="str">
        <f t="shared" si="825"/>
        <v/>
      </c>
      <c r="J1622" s="75" t="str">
        <f t="shared" si="832"/>
        <v/>
      </c>
      <c r="K1622" s="63"/>
    </row>
    <row r="1624" spans="1:18" x14ac:dyDescent="0.25">
      <c r="A1624" s="81">
        <v>82</v>
      </c>
      <c r="B1624" s="49" t="s">
        <v>1198</v>
      </c>
      <c r="C1624" s="31" t="s">
        <v>1476</v>
      </c>
      <c r="D1624" s="76"/>
      <c r="E1624" s="66"/>
      <c r="F1624" s="66"/>
      <c r="G1624" s="66"/>
      <c r="H1624" s="66"/>
      <c r="I1624" s="66"/>
      <c r="J1624" s="60"/>
      <c r="K1624" s="60"/>
    </row>
    <row r="1625" spans="1:18" x14ac:dyDescent="0.25">
      <c r="A1625" s="4" t="s">
        <v>6</v>
      </c>
      <c r="B1625" s="37" t="s">
        <v>689</v>
      </c>
      <c r="C1625" s="37"/>
      <c r="D1625" s="70">
        <v>1</v>
      </c>
      <c r="E1625" s="70">
        <v>1</v>
      </c>
      <c r="F1625" s="70">
        <v>1</v>
      </c>
      <c r="G1625" s="67">
        <f t="shared" ref="G1625:G1642" si="833">IF(B1625="","",IF( AND(D1625=1, E1625=1),1,0))</f>
        <v>1</v>
      </c>
      <c r="H1625" s="67">
        <f t="shared" ref="H1625:H1642" si="834">IF(B1625="","",IF(AND(D1625=1,F1625=1),1,0))</f>
        <v>1</v>
      </c>
      <c r="I1625" s="67">
        <f t="shared" ref="I1625:I1642" si="835">IF(B1625="","",IF(AND(E1625=1,F1625=1),1,0))</f>
        <v>1</v>
      </c>
      <c r="J1625" s="73">
        <f t="shared" ref="J1625" si="836">IF(B1625="","",SUM(D1625:F1625))</f>
        <v>3</v>
      </c>
      <c r="K1625" s="61"/>
      <c r="M1625" s="7">
        <f t="shared" ref="M1625" si="837">SUM(G1625:I1625)/3</f>
        <v>1</v>
      </c>
      <c r="N1625" s="6">
        <f t="shared" ref="N1625" si="838">SUM(G1628:I1628)/3</f>
        <v>1</v>
      </c>
      <c r="O1625" s="7">
        <f t="shared" ref="O1625" si="839">SUM(G1631:I1631)/3</f>
        <v>1</v>
      </c>
      <c r="P1625" s="6">
        <f t="shared" ref="P1625" si="840">SUM(G1634:I1634)/3</f>
        <v>1</v>
      </c>
      <c r="Q1625" s="7">
        <f t="shared" ref="Q1625" si="841">SUM(G1637:I1637)/3</f>
        <v>1</v>
      </c>
      <c r="R1625" s="7">
        <f>SUM(G1640:I1640)/3</f>
        <v>1</v>
      </c>
    </row>
    <row r="1626" spans="1:18" x14ac:dyDescent="0.25">
      <c r="A1626" s="2"/>
      <c r="B1626" s="37"/>
      <c r="C1626" s="37"/>
      <c r="D1626" s="71"/>
      <c r="E1626" s="71"/>
      <c r="F1626" s="71"/>
      <c r="G1626" s="68" t="str">
        <f t="shared" si="833"/>
        <v/>
      </c>
      <c r="H1626" s="68" t="str">
        <f t="shared" si="834"/>
        <v/>
      </c>
      <c r="I1626" s="68" t="str">
        <f t="shared" si="835"/>
        <v/>
      </c>
      <c r="J1626" s="74" t="str">
        <f t="shared" si="821"/>
        <v/>
      </c>
      <c r="K1626" s="62"/>
    </row>
    <row r="1627" spans="1:18" x14ac:dyDescent="0.25">
      <c r="A1627" s="3"/>
      <c r="B1627" s="42"/>
      <c r="C1627" s="42"/>
      <c r="D1627" s="72"/>
      <c r="E1627" s="72"/>
      <c r="F1627" s="72"/>
      <c r="G1627" s="69" t="str">
        <f t="shared" si="833"/>
        <v/>
      </c>
      <c r="H1627" s="69" t="str">
        <f t="shared" si="834"/>
        <v/>
      </c>
      <c r="I1627" s="69" t="str">
        <f t="shared" si="835"/>
        <v/>
      </c>
      <c r="J1627" s="75" t="str">
        <f t="shared" si="821"/>
        <v/>
      </c>
      <c r="K1627" s="63"/>
    </row>
    <row r="1628" spans="1:18" x14ac:dyDescent="0.25">
      <c r="A1628" s="4" t="s">
        <v>5</v>
      </c>
      <c r="B1628" s="33" t="s">
        <v>1105</v>
      </c>
      <c r="C1628" s="33"/>
      <c r="D1628" s="70">
        <v>1</v>
      </c>
      <c r="E1628" s="70">
        <v>1</v>
      </c>
      <c r="F1628" s="70">
        <v>1</v>
      </c>
      <c r="G1628" s="67">
        <f>IF(B1628="","",IF( AND(D1628=1, E1628=1),1,0))</f>
        <v>1</v>
      </c>
      <c r="H1628" s="67">
        <f>IF(B1628="","",IF(AND(D1628=1,F1628=1),1,0))</f>
        <v>1</v>
      </c>
      <c r="I1628" s="67">
        <f>IF(B1628="","",IF(AND(E1628=1,F1628=1),1,0))</f>
        <v>1</v>
      </c>
      <c r="J1628" s="73">
        <f>IF(B1628="","",SUM(D1628:F1628))</f>
        <v>3</v>
      </c>
      <c r="K1628" s="61"/>
    </row>
    <row r="1629" spans="1:18" x14ac:dyDescent="0.25">
      <c r="A1629" s="2"/>
      <c r="B1629" s="37"/>
      <c r="C1629" s="37"/>
      <c r="D1629" s="71"/>
      <c r="E1629" s="71"/>
      <c r="F1629" s="71"/>
      <c r="G1629" s="68" t="str">
        <f t="shared" si="833"/>
        <v/>
      </c>
      <c r="H1629" s="68" t="str">
        <f t="shared" si="834"/>
        <v/>
      </c>
      <c r="I1629" s="68" t="str">
        <f t="shared" si="835"/>
        <v/>
      </c>
      <c r="J1629" s="74" t="str">
        <f t="shared" si="821"/>
        <v/>
      </c>
      <c r="K1629" s="62"/>
    </row>
    <row r="1630" spans="1:18" x14ac:dyDescent="0.25">
      <c r="A1630" s="3"/>
      <c r="B1630" s="40"/>
      <c r="C1630" s="37"/>
      <c r="D1630" s="71"/>
      <c r="E1630" s="71"/>
      <c r="F1630" s="71"/>
      <c r="G1630" s="69" t="str">
        <f t="shared" si="833"/>
        <v/>
      </c>
      <c r="H1630" s="69" t="str">
        <f t="shared" si="834"/>
        <v/>
      </c>
      <c r="I1630" s="69" t="str">
        <f t="shared" si="835"/>
        <v/>
      </c>
      <c r="J1630" s="75" t="str">
        <f t="shared" si="821"/>
        <v/>
      </c>
      <c r="K1630" s="63"/>
    </row>
    <row r="1631" spans="1:18" x14ac:dyDescent="0.25">
      <c r="A1631" s="4" t="s">
        <v>7</v>
      </c>
      <c r="B1631" s="33" t="s">
        <v>288</v>
      </c>
      <c r="C1631" s="33"/>
      <c r="D1631" s="70">
        <v>1</v>
      </c>
      <c r="E1631" s="70">
        <v>1</v>
      </c>
      <c r="F1631" s="70">
        <v>1</v>
      </c>
      <c r="G1631" s="67">
        <f>IF(B1631="","",IF( AND(D1631=1, E1631=1),1,0))</f>
        <v>1</v>
      </c>
      <c r="H1631" s="67">
        <f>IF(B1631="","",IF(AND(D1631=1,F1631=1),1,0))</f>
        <v>1</v>
      </c>
      <c r="I1631" s="67">
        <f>IF(B1631="","",IF(AND(E1631=1,F1631=1),1,0))</f>
        <v>1</v>
      </c>
      <c r="J1631" s="73">
        <f>IF(B1631="","",SUM(D1631:F1631))</f>
        <v>3</v>
      </c>
      <c r="K1631" s="61"/>
    </row>
    <row r="1632" spans="1:18" x14ac:dyDescent="0.25">
      <c r="A1632" s="2"/>
      <c r="B1632" s="37"/>
      <c r="C1632" s="37"/>
      <c r="D1632" s="71"/>
      <c r="E1632" s="71"/>
      <c r="F1632" s="71"/>
      <c r="G1632" s="68" t="str">
        <f t="shared" si="833"/>
        <v/>
      </c>
      <c r="H1632" s="68" t="str">
        <f t="shared" si="834"/>
        <v/>
      </c>
      <c r="I1632" s="68" t="str">
        <f t="shared" si="835"/>
        <v/>
      </c>
      <c r="J1632" s="74" t="str">
        <f t="shared" si="821"/>
        <v/>
      </c>
      <c r="K1632" s="62"/>
    </row>
    <row r="1633" spans="1:18" x14ac:dyDescent="0.25">
      <c r="A1633" s="3"/>
      <c r="B1633" s="40"/>
      <c r="C1633" s="40"/>
      <c r="D1633" s="72"/>
      <c r="E1633" s="72"/>
      <c r="F1633" s="72"/>
      <c r="G1633" s="69" t="str">
        <f t="shared" si="833"/>
        <v/>
      </c>
      <c r="H1633" s="69" t="str">
        <f t="shared" si="834"/>
        <v/>
      </c>
      <c r="I1633" s="69" t="str">
        <f t="shared" si="835"/>
        <v/>
      </c>
      <c r="J1633" s="75" t="str">
        <f t="shared" si="821"/>
        <v/>
      </c>
      <c r="K1633" s="63"/>
    </row>
    <row r="1634" spans="1:18" x14ac:dyDescent="0.25">
      <c r="A1634" s="4" t="s">
        <v>8</v>
      </c>
      <c r="B1634" s="37" t="s">
        <v>172</v>
      </c>
      <c r="C1634" s="37"/>
      <c r="D1634" s="70">
        <v>1</v>
      </c>
      <c r="E1634" s="70">
        <v>1</v>
      </c>
      <c r="F1634" s="70">
        <v>1</v>
      </c>
      <c r="G1634" s="67">
        <f t="shared" si="833"/>
        <v>1</v>
      </c>
      <c r="H1634" s="67">
        <f t="shared" si="834"/>
        <v>1</v>
      </c>
      <c r="I1634" s="67">
        <f t="shared" si="835"/>
        <v>1</v>
      </c>
      <c r="J1634" s="73">
        <f t="shared" si="821"/>
        <v>3</v>
      </c>
      <c r="K1634" s="61"/>
    </row>
    <row r="1635" spans="1:18" x14ac:dyDescent="0.25">
      <c r="A1635" s="2"/>
      <c r="B1635" s="37"/>
      <c r="C1635" s="37"/>
      <c r="D1635" s="71"/>
      <c r="E1635" s="71"/>
      <c r="F1635" s="71"/>
      <c r="G1635" s="68" t="str">
        <f t="shared" si="833"/>
        <v/>
      </c>
      <c r="H1635" s="68" t="str">
        <f t="shared" si="834"/>
        <v/>
      </c>
      <c r="I1635" s="68" t="str">
        <f t="shared" si="835"/>
        <v/>
      </c>
      <c r="J1635" s="74" t="str">
        <f t="shared" si="821"/>
        <v/>
      </c>
      <c r="K1635" s="62"/>
    </row>
    <row r="1636" spans="1:18" x14ac:dyDescent="0.25">
      <c r="A1636" s="3"/>
      <c r="B1636" s="40"/>
      <c r="C1636" s="40"/>
      <c r="D1636" s="72"/>
      <c r="E1636" s="72"/>
      <c r="F1636" s="72"/>
      <c r="G1636" s="69" t="str">
        <f t="shared" si="833"/>
        <v/>
      </c>
      <c r="H1636" s="69" t="str">
        <f t="shared" si="834"/>
        <v/>
      </c>
      <c r="I1636" s="69" t="str">
        <f t="shared" si="835"/>
        <v/>
      </c>
      <c r="J1636" s="75" t="str">
        <f t="shared" si="821"/>
        <v/>
      </c>
      <c r="K1636" s="63"/>
    </row>
    <row r="1637" spans="1:18" x14ac:dyDescent="0.25">
      <c r="A1637" s="2" t="s">
        <v>9</v>
      </c>
      <c r="B1637" s="37" t="s">
        <v>690</v>
      </c>
      <c r="C1637" s="37"/>
      <c r="D1637" s="71">
        <v>1</v>
      </c>
      <c r="E1637" s="71">
        <v>1</v>
      </c>
      <c r="F1637" s="71">
        <v>1</v>
      </c>
      <c r="G1637" s="68">
        <f t="shared" si="833"/>
        <v>1</v>
      </c>
      <c r="H1637" s="68">
        <f t="shared" si="834"/>
        <v>1</v>
      </c>
      <c r="I1637" s="68">
        <f t="shared" si="835"/>
        <v>1</v>
      </c>
      <c r="J1637" s="74">
        <f t="shared" si="821"/>
        <v>3</v>
      </c>
      <c r="K1637" s="62"/>
    </row>
    <row r="1638" spans="1:18" x14ac:dyDescent="0.25">
      <c r="A1638" s="2"/>
      <c r="B1638" s="37"/>
      <c r="C1638" s="37"/>
      <c r="D1638" s="71"/>
      <c r="E1638" s="71"/>
      <c r="F1638" s="71"/>
      <c r="G1638" s="68" t="str">
        <f t="shared" si="833"/>
        <v/>
      </c>
      <c r="H1638" s="68" t="str">
        <f t="shared" si="834"/>
        <v/>
      </c>
      <c r="I1638" s="68" t="str">
        <f t="shared" si="835"/>
        <v/>
      </c>
      <c r="J1638" s="74" t="str">
        <f t="shared" si="821"/>
        <v/>
      </c>
      <c r="K1638" s="62"/>
    </row>
    <row r="1639" spans="1:18" x14ac:dyDescent="0.25">
      <c r="A1639" s="3"/>
      <c r="B1639" s="40"/>
      <c r="C1639" s="40"/>
      <c r="D1639" s="72"/>
      <c r="E1639" s="72"/>
      <c r="F1639" s="72"/>
      <c r="G1639" s="69" t="str">
        <f t="shared" si="833"/>
        <v/>
      </c>
      <c r="H1639" s="69" t="str">
        <f t="shared" si="834"/>
        <v/>
      </c>
      <c r="I1639" s="69" t="str">
        <f t="shared" si="835"/>
        <v/>
      </c>
      <c r="J1639" s="75" t="str">
        <f t="shared" si="821"/>
        <v/>
      </c>
      <c r="K1639" s="63"/>
    </row>
    <row r="1640" spans="1:18" x14ac:dyDescent="0.25">
      <c r="A1640" s="2" t="s">
        <v>1224</v>
      </c>
      <c r="B1640" s="37" t="s">
        <v>1351</v>
      </c>
      <c r="C1640" s="37"/>
      <c r="D1640" s="71">
        <v>1</v>
      </c>
      <c r="E1640" s="71">
        <v>1</v>
      </c>
      <c r="F1640" s="71">
        <v>1</v>
      </c>
      <c r="G1640" s="68">
        <f t="shared" si="833"/>
        <v>1</v>
      </c>
      <c r="H1640" s="68">
        <f t="shared" si="834"/>
        <v>1</v>
      </c>
      <c r="I1640" s="68">
        <f t="shared" si="835"/>
        <v>1</v>
      </c>
      <c r="J1640" s="74">
        <f t="shared" ref="J1640:J1642" si="842">IF(B1640="","",SUM(D1640:F1640))</f>
        <v>3</v>
      </c>
      <c r="K1640" s="62"/>
    </row>
    <row r="1641" spans="1:18" x14ac:dyDescent="0.25">
      <c r="A1641" s="2"/>
      <c r="B1641" s="37"/>
      <c r="C1641" s="37"/>
      <c r="D1641" s="71"/>
      <c r="E1641" s="71"/>
      <c r="F1641" s="71"/>
      <c r="G1641" s="68" t="str">
        <f t="shared" si="833"/>
        <v/>
      </c>
      <c r="H1641" s="68" t="str">
        <f t="shared" si="834"/>
        <v/>
      </c>
      <c r="I1641" s="68" t="str">
        <f t="shared" si="835"/>
        <v/>
      </c>
      <c r="J1641" s="74" t="str">
        <f t="shared" si="842"/>
        <v/>
      </c>
      <c r="K1641" s="62"/>
    </row>
    <row r="1642" spans="1:18" x14ac:dyDescent="0.25">
      <c r="A1642" s="3"/>
      <c r="B1642" s="40"/>
      <c r="C1642" s="40"/>
      <c r="D1642" s="72"/>
      <c r="E1642" s="72"/>
      <c r="F1642" s="72"/>
      <c r="G1642" s="69" t="str">
        <f t="shared" si="833"/>
        <v/>
      </c>
      <c r="H1642" s="69" t="str">
        <f t="shared" si="834"/>
        <v/>
      </c>
      <c r="I1642" s="69" t="str">
        <f t="shared" si="835"/>
        <v/>
      </c>
      <c r="J1642" s="75" t="str">
        <f t="shared" si="842"/>
        <v/>
      </c>
      <c r="K1642" s="63"/>
    </row>
    <row r="1644" spans="1:18" x14ac:dyDescent="0.25">
      <c r="A1644" s="81">
        <v>83</v>
      </c>
      <c r="B1644" s="49" t="s">
        <v>1199</v>
      </c>
      <c r="C1644" s="31" t="s">
        <v>1477</v>
      </c>
      <c r="D1644" s="76"/>
      <c r="E1644" s="66"/>
      <c r="F1644" s="66"/>
      <c r="G1644" s="66"/>
      <c r="H1644" s="66"/>
      <c r="I1644" s="66"/>
      <c r="J1644" s="60"/>
      <c r="K1644" s="60"/>
    </row>
    <row r="1645" spans="1:18" x14ac:dyDescent="0.25">
      <c r="A1645" s="4" t="s">
        <v>6</v>
      </c>
      <c r="B1645" s="37" t="s">
        <v>691</v>
      </c>
      <c r="C1645" s="37"/>
      <c r="D1645" s="70">
        <v>1</v>
      </c>
      <c r="E1645" s="70">
        <v>1</v>
      </c>
      <c r="F1645" s="70">
        <v>1</v>
      </c>
      <c r="G1645" s="67">
        <f t="shared" ref="G1645:G1662" si="843">IF(B1645="","",IF( AND(D1645=1, E1645=1),1,0))</f>
        <v>1</v>
      </c>
      <c r="H1645" s="67">
        <f t="shared" ref="H1645:H1662" si="844">IF(B1645="","",IF(AND(D1645=1,F1645=1),1,0))</f>
        <v>1</v>
      </c>
      <c r="I1645" s="67">
        <f t="shared" ref="I1645:I1662" si="845">IF(B1645="","",IF(AND(E1645=1,F1645=1),1,0))</f>
        <v>1</v>
      </c>
      <c r="J1645" s="73">
        <f t="shared" ref="J1645" si="846">IF(B1645="","",SUM(D1645:F1645))</f>
        <v>3</v>
      </c>
      <c r="K1645" s="61"/>
      <c r="M1645" s="7">
        <f t="shared" ref="M1645" si="847">SUM(G1645:I1645)/3</f>
        <v>1</v>
      </c>
      <c r="N1645" s="6">
        <f t="shared" ref="N1645" si="848">SUM(G1648:I1648)/3</f>
        <v>0.33333333333333331</v>
      </c>
      <c r="O1645" s="7">
        <f t="shared" ref="O1645" si="849">SUM(G1651:I1651)/3</f>
        <v>1</v>
      </c>
      <c r="P1645" s="6">
        <f t="shared" ref="P1645" si="850">SUM(G1654:I1654)/3</f>
        <v>1</v>
      </c>
      <c r="Q1645" s="7">
        <f t="shared" ref="Q1645" si="851">SUM(G1657:I1657)/3</f>
        <v>0.33333333333333331</v>
      </c>
      <c r="R1645" s="7">
        <f>SUM(G1660:I1660)/3</f>
        <v>0.33333333333333331</v>
      </c>
    </row>
    <row r="1646" spans="1:18" x14ac:dyDescent="0.25">
      <c r="A1646" s="2"/>
      <c r="B1646" s="37"/>
      <c r="C1646" s="37"/>
      <c r="D1646" s="71"/>
      <c r="E1646" s="71"/>
      <c r="F1646" s="71"/>
      <c r="G1646" s="68" t="str">
        <f t="shared" si="843"/>
        <v/>
      </c>
      <c r="H1646" s="68" t="str">
        <f t="shared" si="844"/>
        <v/>
      </c>
      <c r="I1646" s="68" t="str">
        <f t="shared" si="845"/>
        <v/>
      </c>
      <c r="J1646" s="74" t="str">
        <f t="shared" si="821"/>
        <v/>
      </c>
      <c r="K1646" s="62"/>
    </row>
    <row r="1647" spans="1:18" x14ac:dyDescent="0.25">
      <c r="A1647" s="3"/>
      <c r="B1647" s="42"/>
      <c r="C1647" s="42"/>
      <c r="D1647" s="72"/>
      <c r="E1647" s="72"/>
      <c r="F1647" s="72"/>
      <c r="G1647" s="69" t="str">
        <f t="shared" si="843"/>
        <v/>
      </c>
      <c r="H1647" s="69" t="str">
        <f t="shared" si="844"/>
        <v/>
      </c>
      <c r="I1647" s="69" t="str">
        <f t="shared" si="845"/>
        <v/>
      </c>
      <c r="J1647" s="75" t="str">
        <f t="shared" si="821"/>
        <v/>
      </c>
      <c r="K1647" s="63"/>
    </row>
    <row r="1648" spans="1:18" x14ac:dyDescent="0.25">
      <c r="A1648" s="4" t="s">
        <v>5</v>
      </c>
      <c r="B1648" s="33" t="s">
        <v>1105</v>
      </c>
      <c r="C1648" s="33"/>
      <c r="D1648" s="70">
        <v>0</v>
      </c>
      <c r="E1648" s="70">
        <v>1</v>
      </c>
      <c r="F1648" s="70">
        <v>1</v>
      </c>
      <c r="G1648" s="67">
        <f t="shared" si="843"/>
        <v>0</v>
      </c>
      <c r="H1648" s="67">
        <f t="shared" si="844"/>
        <v>0</v>
      </c>
      <c r="I1648" s="67">
        <f t="shared" si="845"/>
        <v>1</v>
      </c>
      <c r="J1648" s="73">
        <f t="shared" si="821"/>
        <v>2</v>
      </c>
      <c r="K1648" s="61"/>
    </row>
    <row r="1649" spans="1:11" x14ac:dyDescent="0.25">
      <c r="A1649" s="2"/>
      <c r="B1649" s="37"/>
      <c r="C1649" s="37"/>
      <c r="D1649" s="71"/>
      <c r="E1649" s="71"/>
      <c r="F1649" s="71"/>
      <c r="G1649" s="68" t="str">
        <f t="shared" si="843"/>
        <v/>
      </c>
      <c r="H1649" s="68" t="str">
        <f t="shared" si="844"/>
        <v/>
      </c>
      <c r="I1649" s="68" t="str">
        <f t="shared" si="845"/>
        <v/>
      </c>
      <c r="J1649" s="74" t="str">
        <f t="shared" si="821"/>
        <v/>
      </c>
      <c r="K1649" s="62"/>
    </row>
    <row r="1650" spans="1:11" x14ac:dyDescent="0.25">
      <c r="A1650" s="3"/>
      <c r="B1650" s="40"/>
      <c r="C1650" s="37"/>
      <c r="D1650" s="71"/>
      <c r="E1650" s="71"/>
      <c r="F1650" s="71"/>
      <c r="G1650" s="69" t="str">
        <f t="shared" si="843"/>
        <v/>
      </c>
      <c r="H1650" s="69" t="str">
        <f t="shared" si="844"/>
        <v/>
      </c>
      <c r="I1650" s="69" t="str">
        <f t="shared" si="845"/>
        <v/>
      </c>
      <c r="J1650" s="75" t="str">
        <f t="shared" si="821"/>
        <v/>
      </c>
      <c r="K1650" s="63"/>
    </row>
    <row r="1651" spans="1:11" x14ac:dyDescent="0.25">
      <c r="A1651" s="4" t="s">
        <v>7</v>
      </c>
      <c r="B1651" s="33" t="s">
        <v>1105</v>
      </c>
      <c r="C1651" s="33"/>
      <c r="D1651" s="70">
        <v>1</v>
      </c>
      <c r="E1651" s="70">
        <v>1</v>
      </c>
      <c r="F1651" s="70">
        <v>1</v>
      </c>
      <c r="G1651" s="67">
        <f t="shared" si="843"/>
        <v>1</v>
      </c>
      <c r="H1651" s="67">
        <f t="shared" si="844"/>
        <v>1</v>
      </c>
      <c r="I1651" s="67">
        <f t="shared" si="845"/>
        <v>1</v>
      </c>
      <c r="J1651" s="73">
        <f t="shared" si="821"/>
        <v>3</v>
      </c>
      <c r="K1651" s="61"/>
    </row>
    <row r="1652" spans="1:11" x14ac:dyDescent="0.25">
      <c r="A1652" s="2"/>
      <c r="B1652" s="37"/>
      <c r="C1652" s="37"/>
      <c r="D1652" s="71"/>
      <c r="E1652" s="71"/>
      <c r="F1652" s="71"/>
      <c r="G1652" s="68" t="str">
        <f t="shared" si="843"/>
        <v/>
      </c>
      <c r="H1652" s="68" t="str">
        <f t="shared" si="844"/>
        <v/>
      </c>
      <c r="I1652" s="68" t="str">
        <f t="shared" si="845"/>
        <v/>
      </c>
      <c r="J1652" s="74" t="str">
        <f t="shared" si="821"/>
        <v/>
      </c>
      <c r="K1652" s="62"/>
    </row>
    <row r="1653" spans="1:11" x14ac:dyDescent="0.25">
      <c r="A1653" s="3"/>
      <c r="B1653" s="40"/>
      <c r="C1653" s="40"/>
      <c r="D1653" s="72"/>
      <c r="E1653" s="72"/>
      <c r="F1653" s="72"/>
      <c r="G1653" s="69" t="str">
        <f t="shared" si="843"/>
        <v/>
      </c>
      <c r="H1653" s="69" t="str">
        <f t="shared" si="844"/>
        <v/>
      </c>
      <c r="I1653" s="69" t="str">
        <f t="shared" si="845"/>
        <v/>
      </c>
      <c r="J1653" s="75" t="str">
        <f t="shared" si="821"/>
        <v/>
      </c>
      <c r="K1653" s="63"/>
    </row>
    <row r="1654" spans="1:11" x14ac:dyDescent="0.25">
      <c r="A1654" s="4" t="s">
        <v>8</v>
      </c>
      <c r="B1654" s="37" t="s">
        <v>172</v>
      </c>
      <c r="C1654" s="37"/>
      <c r="D1654" s="70">
        <v>1</v>
      </c>
      <c r="E1654" s="70">
        <v>1</v>
      </c>
      <c r="F1654" s="70">
        <v>1</v>
      </c>
      <c r="G1654" s="67">
        <f t="shared" si="843"/>
        <v>1</v>
      </c>
      <c r="H1654" s="67">
        <f t="shared" si="844"/>
        <v>1</v>
      </c>
      <c r="I1654" s="67">
        <f t="shared" si="845"/>
        <v>1</v>
      </c>
      <c r="J1654" s="73">
        <f t="shared" si="821"/>
        <v>3</v>
      </c>
      <c r="K1654" s="61"/>
    </row>
    <row r="1655" spans="1:11" x14ac:dyDescent="0.25">
      <c r="A1655" s="2"/>
      <c r="B1655" s="37"/>
      <c r="C1655" s="37"/>
      <c r="D1655" s="71"/>
      <c r="E1655" s="71"/>
      <c r="F1655" s="71"/>
      <c r="G1655" s="68" t="str">
        <f t="shared" si="843"/>
        <v/>
      </c>
      <c r="H1655" s="68" t="str">
        <f t="shared" si="844"/>
        <v/>
      </c>
      <c r="I1655" s="68" t="str">
        <f t="shared" si="845"/>
        <v/>
      </c>
      <c r="J1655" s="74" t="str">
        <f t="shared" si="821"/>
        <v/>
      </c>
      <c r="K1655" s="62"/>
    </row>
    <row r="1656" spans="1:11" x14ac:dyDescent="0.25">
      <c r="A1656" s="3"/>
      <c r="B1656" s="40"/>
      <c r="C1656" s="40"/>
      <c r="D1656" s="72"/>
      <c r="E1656" s="72"/>
      <c r="F1656" s="72"/>
      <c r="G1656" s="69" t="str">
        <f t="shared" si="843"/>
        <v/>
      </c>
      <c r="H1656" s="69" t="str">
        <f t="shared" si="844"/>
        <v/>
      </c>
      <c r="I1656" s="69" t="str">
        <f t="shared" si="845"/>
        <v/>
      </c>
      <c r="J1656" s="75" t="str">
        <f t="shared" si="821"/>
        <v/>
      </c>
      <c r="K1656" s="63"/>
    </row>
    <row r="1657" spans="1:11" x14ac:dyDescent="0.25">
      <c r="A1657" s="2" t="s">
        <v>9</v>
      </c>
      <c r="B1657" s="37" t="s">
        <v>954</v>
      </c>
      <c r="C1657" s="37"/>
      <c r="D1657" s="71">
        <v>1</v>
      </c>
      <c r="E1657" s="71">
        <v>0</v>
      </c>
      <c r="F1657" s="71">
        <v>1</v>
      </c>
      <c r="G1657" s="68">
        <f t="shared" si="843"/>
        <v>0</v>
      </c>
      <c r="H1657" s="68">
        <f t="shared" si="844"/>
        <v>1</v>
      </c>
      <c r="I1657" s="68">
        <f t="shared" si="845"/>
        <v>0</v>
      </c>
      <c r="J1657" s="74">
        <f t="shared" si="821"/>
        <v>2</v>
      </c>
      <c r="K1657" s="62"/>
    </row>
    <row r="1658" spans="1:11" x14ac:dyDescent="0.25">
      <c r="A1658" s="2"/>
      <c r="B1658" s="37"/>
      <c r="C1658" s="37"/>
      <c r="D1658" s="71"/>
      <c r="E1658" s="71"/>
      <c r="F1658" s="71"/>
      <c r="G1658" s="68" t="str">
        <f t="shared" si="843"/>
        <v/>
      </c>
      <c r="H1658" s="68" t="str">
        <f t="shared" si="844"/>
        <v/>
      </c>
      <c r="I1658" s="68" t="str">
        <f t="shared" si="845"/>
        <v/>
      </c>
      <c r="J1658" s="74" t="str">
        <f t="shared" si="821"/>
        <v/>
      </c>
      <c r="K1658" s="62"/>
    </row>
    <row r="1659" spans="1:11" x14ac:dyDescent="0.25">
      <c r="A1659" s="3"/>
      <c r="B1659" s="40"/>
      <c r="C1659" s="40"/>
      <c r="D1659" s="72"/>
      <c r="E1659" s="72"/>
      <c r="F1659" s="72"/>
      <c r="G1659" s="69" t="str">
        <f t="shared" si="843"/>
        <v/>
      </c>
      <c r="H1659" s="69" t="str">
        <f t="shared" si="844"/>
        <v/>
      </c>
      <c r="I1659" s="69" t="str">
        <f t="shared" si="845"/>
        <v/>
      </c>
      <c r="J1659" s="75" t="str">
        <f t="shared" si="821"/>
        <v/>
      </c>
      <c r="K1659" s="63"/>
    </row>
    <row r="1660" spans="1:11" x14ac:dyDescent="0.25">
      <c r="A1660" s="2" t="s">
        <v>1224</v>
      </c>
      <c r="B1660" s="37" t="s">
        <v>1250</v>
      </c>
      <c r="C1660" s="37"/>
      <c r="D1660" s="71">
        <v>1</v>
      </c>
      <c r="E1660" s="71">
        <v>1</v>
      </c>
      <c r="F1660" s="71">
        <v>0</v>
      </c>
      <c r="G1660" s="68">
        <f t="shared" si="843"/>
        <v>1</v>
      </c>
      <c r="H1660" s="68">
        <f t="shared" si="844"/>
        <v>0</v>
      </c>
      <c r="I1660" s="68">
        <f t="shared" si="845"/>
        <v>0</v>
      </c>
      <c r="J1660" s="74">
        <f t="shared" ref="J1660:J1662" si="852">IF(B1660="","",SUM(D1660:F1660))</f>
        <v>2</v>
      </c>
      <c r="K1660" s="62"/>
    </row>
    <row r="1661" spans="1:11" x14ac:dyDescent="0.25">
      <c r="A1661" s="2"/>
      <c r="B1661" s="37" t="s">
        <v>1352</v>
      </c>
      <c r="C1661" s="37"/>
      <c r="D1661" s="71">
        <v>0</v>
      </c>
      <c r="E1661" s="71">
        <v>0</v>
      </c>
      <c r="F1661" s="71">
        <v>0</v>
      </c>
      <c r="G1661" s="68">
        <f t="shared" si="843"/>
        <v>0</v>
      </c>
      <c r="H1661" s="68">
        <f t="shared" si="844"/>
        <v>0</v>
      </c>
      <c r="I1661" s="68">
        <f t="shared" si="845"/>
        <v>0</v>
      </c>
      <c r="J1661" s="74">
        <f t="shared" si="852"/>
        <v>0</v>
      </c>
      <c r="K1661" s="62"/>
    </row>
    <row r="1662" spans="1:11" x14ac:dyDescent="0.25">
      <c r="A1662" s="3"/>
      <c r="B1662" s="40"/>
      <c r="C1662" s="40"/>
      <c r="D1662" s="72"/>
      <c r="E1662" s="72"/>
      <c r="F1662" s="72"/>
      <c r="G1662" s="69" t="str">
        <f t="shared" si="843"/>
        <v/>
      </c>
      <c r="H1662" s="69" t="str">
        <f t="shared" si="844"/>
        <v/>
      </c>
      <c r="I1662" s="69" t="str">
        <f t="shared" si="845"/>
        <v/>
      </c>
      <c r="J1662" s="75" t="str">
        <f t="shared" si="852"/>
        <v/>
      </c>
      <c r="K1662" s="63"/>
    </row>
    <row r="1664" spans="1:11" x14ac:dyDescent="0.25">
      <c r="A1664" s="81">
        <v>84</v>
      </c>
      <c r="B1664" s="49" t="s">
        <v>1200</v>
      </c>
      <c r="C1664" s="31" t="s">
        <v>1478</v>
      </c>
      <c r="D1664" s="76"/>
      <c r="E1664" s="66"/>
      <c r="F1664" s="66"/>
      <c r="G1664" s="66"/>
      <c r="H1664" s="66"/>
      <c r="I1664" s="66"/>
      <c r="J1664" s="60"/>
      <c r="K1664" s="60"/>
    </row>
    <row r="1665" spans="1:18" x14ac:dyDescent="0.25">
      <c r="A1665" s="4" t="s">
        <v>6</v>
      </c>
      <c r="B1665" s="37" t="s">
        <v>693</v>
      </c>
      <c r="C1665" s="37"/>
      <c r="D1665" s="70">
        <v>1</v>
      </c>
      <c r="E1665" s="70">
        <v>1</v>
      </c>
      <c r="F1665" s="70">
        <v>1</v>
      </c>
      <c r="G1665" s="67">
        <f t="shared" ref="G1665:G1682" si="853">IF(B1665="","",IF( AND(D1665=1, E1665=1),1,0))</f>
        <v>1</v>
      </c>
      <c r="H1665" s="67">
        <f t="shared" ref="H1665:H1682" si="854">IF(B1665="","",IF(AND(D1665=1,F1665=1),1,0))</f>
        <v>1</v>
      </c>
      <c r="I1665" s="67">
        <f t="shared" ref="I1665:I1682" si="855">IF(B1665="","",IF(AND(E1665=1,F1665=1),1,0))</f>
        <v>1</v>
      </c>
      <c r="J1665" s="73">
        <f t="shared" ref="J1665" si="856">IF(B1665="","",SUM(D1665:F1665))</f>
        <v>3</v>
      </c>
      <c r="K1665" s="61"/>
      <c r="M1665" s="7">
        <f t="shared" ref="M1665" si="857">SUM(G1665:I1665)/3</f>
        <v>1</v>
      </c>
      <c r="N1665" s="6">
        <f t="shared" ref="N1665" si="858">SUM(G1668:I1668)/3</f>
        <v>0.33333333333333331</v>
      </c>
      <c r="O1665" s="7">
        <f t="shared" ref="O1665" si="859">SUM(G1671:I1671)/3</f>
        <v>1</v>
      </c>
      <c r="P1665" s="6">
        <f t="shared" ref="P1665" si="860">SUM(G1674:I1674)/3</f>
        <v>1</v>
      </c>
      <c r="Q1665" s="7">
        <f t="shared" ref="Q1665" si="861">SUM(G1677:I1677)/3</f>
        <v>0</v>
      </c>
      <c r="R1665" s="7">
        <f>SUM(G1680:I1680)/3</f>
        <v>0.33333333333333331</v>
      </c>
    </row>
    <row r="1666" spans="1:18" x14ac:dyDescent="0.25">
      <c r="A1666" s="2"/>
      <c r="B1666" s="37"/>
      <c r="C1666" s="37"/>
      <c r="D1666" s="71"/>
      <c r="E1666" s="71"/>
      <c r="F1666" s="71"/>
      <c r="G1666" s="68" t="str">
        <f t="shared" si="853"/>
        <v/>
      </c>
      <c r="H1666" s="68" t="str">
        <f t="shared" si="854"/>
        <v/>
      </c>
      <c r="I1666" s="68" t="str">
        <f t="shared" si="855"/>
        <v/>
      </c>
      <c r="J1666" s="74" t="str">
        <f t="shared" si="821"/>
        <v/>
      </c>
      <c r="K1666" s="62"/>
    </row>
    <row r="1667" spans="1:18" x14ac:dyDescent="0.25">
      <c r="A1667" s="3"/>
      <c r="B1667" s="42"/>
      <c r="C1667" s="42"/>
      <c r="D1667" s="72"/>
      <c r="E1667" s="72"/>
      <c r="F1667" s="72"/>
      <c r="G1667" s="69" t="str">
        <f t="shared" si="853"/>
        <v/>
      </c>
      <c r="H1667" s="69" t="str">
        <f t="shared" si="854"/>
        <v/>
      </c>
      <c r="I1667" s="69" t="str">
        <f t="shared" si="855"/>
        <v/>
      </c>
      <c r="J1667" s="75" t="str">
        <f t="shared" si="821"/>
        <v/>
      </c>
      <c r="K1667" s="63"/>
    </row>
    <row r="1668" spans="1:18" x14ac:dyDescent="0.25">
      <c r="A1668" s="4" t="s">
        <v>5</v>
      </c>
      <c r="B1668" s="33" t="s">
        <v>288</v>
      </c>
      <c r="C1668" s="33"/>
      <c r="D1668" s="70">
        <v>1</v>
      </c>
      <c r="E1668" s="70">
        <v>0</v>
      </c>
      <c r="F1668" s="70">
        <v>1</v>
      </c>
      <c r="G1668" s="67">
        <f t="shared" si="853"/>
        <v>0</v>
      </c>
      <c r="H1668" s="67">
        <f t="shared" si="854"/>
        <v>1</v>
      </c>
      <c r="I1668" s="67">
        <f t="shared" si="855"/>
        <v>0</v>
      </c>
      <c r="J1668" s="73">
        <f t="shared" si="821"/>
        <v>2</v>
      </c>
      <c r="K1668" s="61"/>
    </row>
    <row r="1669" spans="1:18" x14ac:dyDescent="0.25">
      <c r="A1669" s="2"/>
      <c r="B1669" s="37"/>
      <c r="C1669" s="37"/>
      <c r="D1669" s="71"/>
      <c r="E1669" s="71"/>
      <c r="F1669" s="71"/>
      <c r="G1669" s="68" t="str">
        <f t="shared" si="853"/>
        <v/>
      </c>
      <c r="H1669" s="68" t="str">
        <f t="shared" si="854"/>
        <v/>
      </c>
      <c r="I1669" s="68" t="str">
        <f t="shared" si="855"/>
        <v/>
      </c>
      <c r="J1669" s="74" t="str">
        <f t="shared" si="821"/>
        <v/>
      </c>
      <c r="K1669" s="62"/>
    </row>
    <row r="1670" spans="1:18" x14ac:dyDescent="0.25">
      <c r="A1670" s="3"/>
      <c r="B1670" s="40"/>
      <c r="C1670" s="37"/>
      <c r="D1670" s="71"/>
      <c r="E1670" s="71"/>
      <c r="F1670" s="71"/>
      <c r="G1670" s="69" t="str">
        <f t="shared" si="853"/>
        <v/>
      </c>
      <c r="H1670" s="69" t="str">
        <f t="shared" si="854"/>
        <v/>
      </c>
      <c r="I1670" s="69" t="str">
        <f t="shared" si="855"/>
        <v/>
      </c>
      <c r="J1670" s="75" t="str">
        <f t="shared" si="821"/>
        <v/>
      </c>
      <c r="K1670" s="63"/>
    </row>
    <row r="1671" spans="1:18" x14ac:dyDescent="0.25">
      <c r="A1671" s="4" t="s">
        <v>7</v>
      </c>
      <c r="B1671" s="33" t="s">
        <v>1105</v>
      </c>
      <c r="C1671" s="33"/>
      <c r="D1671" s="70">
        <v>1</v>
      </c>
      <c r="E1671" s="70">
        <v>1</v>
      </c>
      <c r="F1671" s="70">
        <v>1</v>
      </c>
      <c r="G1671" s="67">
        <f t="shared" si="853"/>
        <v>1</v>
      </c>
      <c r="H1671" s="67">
        <f t="shared" si="854"/>
        <v>1</v>
      </c>
      <c r="I1671" s="67">
        <f t="shared" si="855"/>
        <v>1</v>
      </c>
      <c r="J1671" s="73">
        <f t="shared" si="821"/>
        <v>3</v>
      </c>
      <c r="K1671" s="61"/>
    </row>
    <row r="1672" spans="1:18" x14ac:dyDescent="0.25">
      <c r="A1672" s="2"/>
      <c r="B1672" s="37"/>
      <c r="C1672" s="37"/>
      <c r="D1672" s="71"/>
      <c r="E1672" s="71"/>
      <c r="F1672" s="71"/>
      <c r="G1672" s="68" t="str">
        <f t="shared" si="853"/>
        <v/>
      </c>
      <c r="H1672" s="68" t="str">
        <f t="shared" si="854"/>
        <v/>
      </c>
      <c r="I1672" s="68" t="str">
        <f t="shared" si="855"/>
        <v/>
      </c>
      <c r="J1672" s="74" t="str">
        <f t="shared" si="821"/>
        <v/>
      </c>
      <c r="K1672" s="62"/>
    </row>
    <row r="1673" spans="1:18" x14ac:dyDescent="0.25">
      <c r="A1673" s="3"/>
      <c r="B1673" s="40"/>
      <c r="C1673" s="40"/>
      <c r="D1673" s="72"/>
      <c r="E1673" s="72"/>
      <c r="F1673" s="72"/>
      <c r="G1673" s="69" t="str">
        <f t="shared" si="853"/>
        <v/>
      </c>
      <c r="H1673" s="69" t="str">
        <f t="shared" si="854"/>
        <v/>
      </c>
      <c r="I1673" s="69" t="str">
        <f t="shared" si="855"/>
        <v/>
      </c>
      <c r="J1673" s="75" t="str">
        <f t="shared" si="821"/>
        <v/>
      </c>
      <c r="K1673" s="63"/>
    </row>
    <row r="1674" spans="1:18" x14ac:dyDescent="0.25">
      <c r="A1674" s="4" t="s">
        <v>8</v>
      </c>
      <c r="B1674" s="37" t="s">
        <v>172</v>
      </c>
      <c r="C1674" s="37"/>
      <c r="D1674" s="70">
        <v>1</v>
      </c>
      <c r="E1674" s="70">
        <v>1</v>
      </c>
      <c r="F1674" s="70">
        <v>1</v>
      </c>
      <c r="G1674" s="67">
        <f t="shared" si="853"/>
        <v>1</v>
      </c>
      <c r="H1674" s="67">
        <f t="shared" si="854"/>
        <v>1</v>
      </c>
      <c r="I1674" s="67">
        <f t="shared" si="855"/>
        <v>1</v>
      </c>
      <c r="J1674" s="73">
        <f t="shared" ref="J1674:J1749" si="862">IF(B1674="","",SUM(D1674:F1674))</f>
        <v>3</v>
      </c>
      <c r="K1674" s="61"/>
    </row>
    <row r="1675" spans="1:18" x14ac:dyDescent="0.25">
      <c r="A1675" s="2"/>
      <c r="B1675" s="37"/>
      <c r="C1675" s="37"/>
      <c r="D1675" s="71"/>
      <c r="E1675" s="71"/>
      <c r="F1675" s="71"/>
      <c r="G1675" s="68" t="str">
        <f t="shared" si="853"/>
        <v/>
      </c>
      <c r="H1675" s="68" t="str">
        <f t="shared" si="854"/>
        <v/>
      </c>
      <c r="I1675" s="68" t="str">
        <f t="shared" si="855"/>
        <v/>
      </c>
      <c r="J1675" s="74" t="str">
        <f t="shared" si="862"/>
        <v/>
      </c>
      <c r="K1675" s="62"/>
    </row>
    <row r="1676" spans="1:18" x14ac:dyDescent="0.25">
      <c r="A1676" s="3"/>
      <c r="B1676" s="40"/>
      <c r="C1676" s="40"/>
      <c r="D1676" s="72"/>
      <c r="E1676" s="72"/>
      <c r="F1676" s="72"/>
      <c r="G1676" s="69" t="str">
        <f t="shared" si="853"/>
        <v/>
      </c>
      <c r="H1676" s="69" t="str">
        <f t="shared" si="854"/>
        <v/>
      </c>
      <c r="I1676" s="69" t="str">
        <f t="shared" si="855"/>
        <v/>
      </c>
      <c r="J1676" s="75" t="str">
        <f t="shared" si="862"/>
        <v/>
      </c>
      <c r="K1676" s="63"/>
    </row>
    <row r="1677" spans="1:18" x14ac:dyDescent="0.25">
      <c r="A1677" s="2" t="s">
        <v>9</v>
      </c>
      <c r="B1677" s="37" t="s">
        <v>955</v>
      </c>
      <c r="C1677" s="37"/>
      <c r="D1677" s="71">
        <v>1</v>
      </c>
      <c r="E1677" s="71">
        <v>0</v>
      </c>
      <c r="F1677" s="71">
        <v>0</v>
      </c>
      <c r="G1677" s="68">
        <f t="shared" si="853"/>
        <v>0</v>
      </c>
      <c r="H1677" s="68">
        <f t="shared" si="854"/>
        <v>0</v>
      </c>
      <c r="I1677" s="68">
        <f t="shared" si="855"/>
        <v>0</v>
      </c>
      <c r="J1677" s="74">
        <f t="shared" si="862"/>
        <v>1</v>
      </c>
      <c r="K1677" s="62"/>
    </row>
    <row r="1678" spans="1:18" x14ac:dyDescent="0.25">
      <c r="A1678" s="2"/>
      <c r="B1678" s="37" t="s">
        <v>1014</v>
      </c>
      <c r="C1678" s="37"/>
      <c r="D1678" s="71">
        <v>0</v>
      </c>
      <c r="E1678" s="71">
        <v>1</v>
      </c>
      <c r="F1678" s="71">
        <v>0</v>
      </c>
      <c r="G1678" s="68">
        <f t="shared" si="853"/>
        <v>0</v>
      </c>
      <c r="H1678" s="68">
        <f t="shared" si="854"/>
        <v>0</v>
      </c>
      <c r="I1678" s="68">
        <f t="shared" si="855"/>
        <v>0</v>
      </c>
      <c r="J1678" s="74">
        <f t="shared" si="862"/>
        <v>1</v>
      </c>
      <c r="K1678" s="62"/>
    </row>
    <row r="1679" spans="1:18" x14ac:dyDescent="0.25">
      <c r="A1679" s="3"/>
      <c r="B1679" s="40" t="s">
        <v>1105</v>
      </c>
      <c r="C1679" s="40"/>
      <c r="D1679" s="72">
        <v>0</v>
      </c>
      <c r="E1679" s="72">
        <v>0</v>
      </c>
      <c r="F1679" s="72">
        <v>1</v>
      </c>
      <c r="G1679" s="69">
        <f t="shared" si="853"/>
        <v>0</v>
      </c>
      <c r="H1679" s="69">
        <f t="shared" si="854"/>
        <v>0</v>
      </c>
      <c r="I1679" s="69">
        <f t="shared" si="855"/>
        <v>0</v>
      </c>
      <c r="J1679" s="75">
        <f t="shared" si="862"/>
        <v>1</v>
      </c>
      <c r="K1679" s="63"/>
    </row>
    <row r="1680" spans="1:18" x14ac:dyDescent="0.25">
      <c r="A1680" s="2" t="s">
        <v>1224</v>
      </c>
      <c r="B1680" s="37" t="s">
        <v>1285</v>
      </c>
      <c r="C1680" s="37"/>
      <c r="D1680" s="71">
        <v>1</v>
      </c>
      <c r="E1680" s="71">
        <v>1</v>
      </c>
      <c r="F1680" s="71"/>
      <c r="G1680" s="68">
        <f t="shared" si="853"/>
        <v>1</v>
      </c>
      <c r="H1680" s="68">
        <f t="shared" si="854"/>
        <v>0</v>
      </c>
      <c r="I1680" s="68">
        <f t="shared" si="855"/>
        <v>0</v>
      </c>
      <c r="J1680" s="74">
        <f t="shared" ref="J1680:J1682" si="863">IF(B1680="","",SUM(D1680:F1680))</f>
        <v>2</v>
      </c>
      <c r="K1680" s="62"/>
    </row>
    <row r="1681" spans="1:18" x14ac:dyDescent="0.25">
      <c r="A1681" s="2"/>
      <c r="B1681" s="37"/>
      <c r="C1681" s="37"/>
      <c r="D1681" s="71"/>
      <c r="E1681" s="71"/>
      <c r="F1681" s="71"/>
      <c r="G1681" s="68" t="str">
        <f t="shared" si="853"/>
        <v/>
      </c>
      <c r="H1681" s="68" t="str">
        <f t="shared" si="854"/>
        <v/>
      </c>
      <c r="I1681" s="68" t="str">
        <f t="shared" si="855"/>
        <v/>
      </c>
      <c r="J1681" s="74" t="str">
        <f t="shared" si="863"/>
        <v/>
      </c>
      <c r="K1681" s="62"/>
    </row>
    <row r="1682" spans="1:18" x14ac:dyDescent="0.25">
      <c r="A1682" s="3"/>
      <c r="B1682" s="40"/>
      <c r="C1682" s="40"/>
      <c r="D1682" s="72"/>
      <c r="E1682" s="72"/>
      <c r="F1682" s="72"/>
      <c r="G1682" s="69" t="str">
        <f t="shared" si="853"/>
        <v/>
      </c>
      <c r="H1682" s="69" t="str">
        <f t="shared" si="854"/>
        <v/>
      </c>
      <c r="I1682" s="69" t="str">
        <f t="shared" si="855"/>
        <v/>
      </c>
      <c r="J1682" s="75" t="str">
        <f t="shared" si="863"/>
        <v/>
      </c>
      <c r="K1682" s="63"/>
    </row>
    <row r="1684" spans="1:18" x14ac:dyDescent="0.25">
      <c r="A1684" s="81">
        <v>85</v>
      </c>
      <c r="B1684" s="49" t="s">
        <v>1201</v>
      </c>
      <c r="C1684" s="31" t="s">
        <v>1479</v>
      </c>
      <c r="D1684" s="76"/>
      <c r="E1684" s="66"/>
      <c r="F1684" s="66"/>
      <c r="G1684" s="66"/>
      <c r="H1684" s="66"/>
      <c r="I1684" s="66"/>
      <c r="J1684" s="60"/>
      <c r="K1684" s="60"/>
    </row>
    <row r="1685" spans="1:18" x14ac:dyDescent="0.25">
      <c r="A1685" s="4" t="s">
        <v>6</v>
      </c>
      <c r="B1685" s="37" t="s">
        <v>694</v>
      </c>
      <c r="C1685" s="37"/>
      <c r="D1685" s="70">
        <v>1</v>
      </c>
      <c r="E1685" s="70">
        <v>1</v>
      </c>
      <c r="F1685" s="70">
        <v>1</v>
      </c>
      <c r="G1685" s="67">
        <f t="shared" ref="G1685:G1702" si="864">IF(B1685="","",IF( AND(D1685=1, E1685=1),1,0))</f>
        <v>1</v>
      </c>
      <c r="H1685" s="67">
        <f t="shared" ref="H1685:H1702" si="865">IF(B1685="","",IF(AND(D1685=1,F1685=1),1,0))</f>
        <v>1</v>
      </c>
      <c r="I1685" s="67">
        <f t="shared" ref="I1685:I1702" si="866">IF(B1685="","",IF(AND(E1685=1,F1685=1),1,0))</f>
        <v>1</v>
      </c>
      <c r="J1685" s="73">
        <f t="shared" ref="J1685" si="867">IF(B1685="","",SUM(D1685:F1685))</f>
        <v>3</v>
      </c>
      <c r="K1685" s="61"/>
      <c r="M1685" s="7">
        <f t="shared" ref="M1685" si="868">SUM(G1685:I1685)/3</f>
        <v>1</v>
      </c>
      <c r="N1685" s="6">
        <f t="shared" ref="N1685" si="869">SUM(G1688:I1688)/3</f>
        <v>1</v>
      </c>
      <c r="O1685" s="7">
        <f t="shared" ref="O1685" si="870">SUM(G1691:I1691)/3</f>
        <v>0.33333333333333331</v>
      </c>
      <c r="P1685" s="6">
        <f t="shared" ref="P1685" si="871">SUM(G1694:I1694)/3</f>
        <v>0.33333333333333331</v>
      </c>
      <c r="Q1685" s="7">
        <f t="shared" ref="Q1685" si="872">SUM(G1697:I1697)/3</f>
        <v>0.33333333333333331</v>
      </c>
      <c r="R1685" s="7">
        <f>SUM(G1700:I1700)/3</f>
        <v>0.33333333333333331</v>
      </c>
    </row>
    <row r="1686" spans="1:18" x14ac:dyDescent="0.25">
      <c r="A1686" s="2"/>
      <c r="B1686" s="37"/>
      <c r="C1686" s="37"/>
      <c r="D1686" s="71"/>
      <c r="E1686" s="71"/>
      <c r="F1686" s="71"/>
      <c r="G1686" s="68" t="str">
        <f t="shared" si="864"/>
        <v/>
      </c>
      <c r="H1686" s="68" t="str">
        <f t="shared" si="865"/>
        <v/>
      </c>
      <c r="I1686" s="68" t="str">
        <f t="shared" si="866"/>
        <v/>
      </c>
      <c r="J1686" s="74" t="str">
        <f t="shared" si="862"/>
        <v/>
      </c>
      <c r="K1686" s="62"/>
    </row>
    <row r="1687" spans="1:18" x14ac:dyDescent="0.25">
      <c r="A1687" s="3"/>
      <c r="B1687" s="42"/>
      <c r="C1687" s="42"/>
      <c r="D1687" s="72"/>
      <c r="E1687" s="72"/>
      <c r="F1687" s="72"/>
      <c r="G1687" s="69" t="str">
        <f t="shared" si="864"/>
        <v/>
      </c>
      <c r="H1687" s="69" t="str">
        <f t="shared" si="865"/>
        <v/>
      </c>
      <c r="I1687" s="69" t="str">
        <f t="shared" si="866"/>
        <v/>
      </c>
      <c r="J1687" s="75" t="str">
        <f t="shared" si="862"/>
        <v/>
      </c>
      <c r="K1687" s="63"/>
    </row>
    <row r="1688" spans="1:18" x14ac:dyDescent="0.25">
      <c r="A1688" s="4" t="s">
        <v>5</v>
      </c>
      <c r="B1688" s="33" t="s">
        <v>1105</v>
      </c>
      <c r="C1688" s="33"/>
      <c r="D1688" s="70">
        <v>1</v>
      </c>
      <c r="E1688" s="70">
        <v>1</v>
      </c>
      <c r="F1688" s="70">
        <v>1</v>
      </c>
      <c r="G1688" s="67">
        <f t="shared" si="864"/>
        <v>1</v>
      </c>
      <c r="H1688" s="67">
        <f t="shared" si="865"/>
        <v>1</v>
      </c>
      <c r="I1688" s="67">
        <f t="shared" si="866"/>
        <v>1</v>
      </c>
      <c r="J1688" s="73">
        <f t="shared" si="862"/>
        <v>3</v>
      </c>
      <c r="K1688" s="61"/>
    </row>
    <row r="1689" spans="1:18" x14ac:dyDescent="0.25">
      <c r="A1689" s="2"/>
      <c r="B1689" s="37"/>
      <c r="C1689" s="37"/>
      <c r="D1689" s="71"/>
      <c r="E1689" s="71"/>
      <c r="F1689" s="71"/>
      <c r="G1689" s="68" t="str">
        <f t="shared" si="864"/>
        <v/>
      </c>
      <c r="H1689" s="68" t="str">
        <f t="shared" si="865"/>
        <v/>
      </c>
      <c r="I1689" s="68" t="str">
        <f t="shared" si="866"/>
        <v/>
      </c>
      <c r="J1689" s="74" t="str">
        <f t="shared" si="862"/>
        <v/>
      </c>
      <c r="K1689" s="62"/>
    </row>
    <row r="1690" spans="1:18" x14ac:dyDescent="0.25">
      <c r="A1690" s="3"/>
      <c r="B1690" s="40"/>
      <c r="C1690" s="37"/>
      <c r="D1690" s="71"/>
      <c r="E1690" s="71"/>
      <c r="F1690" s="71"/>
      <c r="G1690" s="69" t="str">
        <f t="shared" si="864"/>
        <v/>
      </c>
      <c r="H1690" s="69" t="str">
        <f t="shared" si="865"/>
        <v/>
      </c>
      <c r="I1690" s="69" t="str">
        <f t="shared" si="866"/>
        <v/>
      </c>
      <c r="J1690" s="75" t="str">
        <f t="shared" si="862"/>
        <v/>
      </c>
      <c r="K1690" s="63"/>
    </row>
    <row r="1691" spans="1:18" x14ac:dyDescent="0.25">
      <c r="A1691" s="4" t="s">
        <v>7</v>
      </c>
      <c r="B1691" s="33" t="s">
        <v>1105</v>
      </c>
      <c r="C1691" s="33"/>
      <c r="D1691" s="70">
        <v>0</v>
      </c>
      <c r="E1691" s="70">
        <v>1</v>
      </c>
      <c r="F1691" s="70">
        <v>1</v>
      </c>
      <c r="G1691" s="67">
        <f t="shared" si="864"/>
        <v>0</v>
      </c>
      <c r="H1691" s="67">
        <f t="shared" si="865"/>
        <v>0</v>
      </c>
      <c r="I1691" s="67">
        <f t="shared" si="866"/>
        <v>1</v>
      </c>
      <c r="J1691" s="73">
        <f t="shared" si="862"/>
        <v>2</v>
      </c>
      <c r="K1691" s="61"/>
    </row>
    <row r="1692" spans="1:18" x14ac:dyDescent="0.25">
      <c r="A1692" s="2"/>
      <c r="B1692" s="37"/>
      <c r="C1692" s="37"/>
      <c r="D1692" s="71"/>
      <c r="E1692" s="71"/>
      <c r="F1692" s="71"/>
      <c r="G1692" s="68" t="str">
        <f t="shared" si="864"/>
        <v/>
      </c>
      <c r="H1692" s="68" t="str">
        <f t="shared" si="865"/>
        <v/>
      </c>
      <c r="I1692" s="68" t="str">
        <f t="shared" si="866"/>
        <v/>
      </c>
      <c r="J1692" s="74" t="str">
        <f t="shared" si="862"/>
        <v/>
      </c>
      <c r="K1692" s="62"/>
    </row>
    <row r="1693" spans="1:18" x14ac:dyDescent="0.25">
      <c r="A1693" s="3"/>
      <c r="B1693" s="40"/>
      <c r="C1693" s="40"/>
      <c r="D1693" s="72"/>
      <c r="E1693" s="72"/>
      <c r="F1693" s="72"/>
      <c r="G1693" s="69" t="str">
        <f t="shared" si="864"/>
        <v/>
      </c>
      <c r="H1693" s="69" t="str">
        <f t="shared" si="865"/>
        <v/>
      </c>
      <c r="I1693" s="69" t="str">
        <f t="shared" si="866"/>
        <v/>
      </c>
      <c r="J1693" s="75" t="str">
        <f t="shared" si="862"/>
        <v/>
      </c>
      <c r="K1693" s="63"/>
    </row>
    <row r="1694" spans="1:18" x14ac:dyDescent="0.25">
      <c r="A1694" s="4" t="s">
        <v>8</v>
      </c>
      <c r="B1694" s="37" t="s">
        <v>172</v>
      </c>
      <c r="C1694" s="37"/>
      <c r="D1694" s="70">
        <v>1</v>
      </c>
      <c r="E1694" s="70">
        <v>1</v>
      </c>
      <c r="F1694" s="70">
        <v>0</v>
      </c>
      <c r="G1694" s="67">
        <f t="shared" si="864"/>
        <v>1</v>
      </c>
      <c r="H1694" s="67">
        <f t="shared" si="865"/>
        <v>0</v>
      </c>
      <c r="I1694" s="67">
        <f t="shared" si="866"/>
        <v>0</v>
      </c>
      <c r="J1694" s="73">
        <f t="shared" si="862"/>
        <v>2</v>
      </c>
      <c r="K1694" s="61"/>
    </row>
    <row r="1695" spans="1:18" x14ac:dyDescent="0.25">
      <c r="A1695" s="2"/>
      <c r="B1695" s="37"/>
      <c r="C1695" s="37"/>
      <c r="D1695" s="71"/>
      <c r="E1695" s="71"/>
      <c r="F1695" s="71"/>
      <c r="G1695" s="68" t="str">
        <f t="shared" si="864"/>
        <v/>
      </c>
      <c r="H1695" s="68" t="str">
        <f t="shared" si="865"/>
        <v/>
      </c>
      <c r="I1695" s="68" t="str">
        <f t="shared" si="866"/>
        <v/>
      </c>
      <c r="J1695" s="74" t="str">
        <f t="shared" si="862"/>
        <v/>
      </c>
      <c r="K1695" s="62"/>
    </row>
    <row r="1696" spans="1:18" x14ac:dyDescent="0.25">
      <c r="A1696" s="3"/>
      <c r="B1696" s="40"/>
      <c r="C1696" s="40"/>
      <c r="D1696" s="72"/>
      <c r="E1696" s="72"/>
      <c r="F1696" s="72"/>
      <c r="G1696" s="69" t="str">
        <f t="shared" si="864"/>
        <v/>
      </c>
      <c r="H1696" s="69" t="str">
        <f t="shared" si="865"/>
        <v/>
      </c>
      <c r="I1696" s="69" t="str">
        <f t="shared" si="866"/>
        <v/>
      </c>
      <c r="J1696" s="75" t="str">
        <f t="shared" si="862"/>
        <v/>
      </c>
      <c r="K1696" s="63"/>
    </row>
    <row r="1697" spans="1:18" x14ac:dyDescent="0.25">
      <c r="A1697" s="2" t="s">
        <v>9</v>
      </c>
      <c r="B1697" s="37" t="s">
        <v>956</v>
      </c>
      <c r="C1697" s="37"/>
      <c r="D1697" s="71">
        <v>1</v>
      </c>
      <c r="E1697" s="71">
        <v>0</v>
      </c>
      <c r="F1697" s="71">
        <v>1</v>
      </c>
      <c r="G1697" s="68">
        <f t="shared" si="864"/>
        <v>0</v>
      </c>
      <c r="H1697" s="68">
        <f t="shared" si="865"/>
        <v>1</v>
      </c>
      <c r="I1697" s="68">
        <f t="shared" si="866"/>
        <v>0</v>
      </c>
      <c r="J1697" s="74">
        <f t="shared" si="862"/>
        <v>2</v>
      </c>
      <c r="K1697" s="62"/>
    </row>
    <row r="1698" spans="1:18" x14ac:dyDescent="0.25">
      <c r="A1698" s="2"/>
      <c r="B1698" s="37"/>
      <c r="C1698" s="37"/>
      <c r="D1698" s="71"/>
      <c r="E1698" s="71"/>
      <c r="F1698" s="71"/>
      <c r="G1698" s="68" t="str">
        <f t="shared" si="864"/>
        <v/>
      </c>
      <c r="H1698" s="68" t="str">
        <f t="shared" si="865"/>
        <v/>
      </c>
      <c r="I1698" s="68" t="str">
        <f t="shared" si="866"/>
        <v/>
      </c>
      <c r="J1698" s="74" t="str">
        <f t="shared" si="862"/>
        <v/>
      </c>
      <c r="K1698" s="62"/>
    </row>
    <row r="1699" spans="1:18" x14ac:dyDescent="0.25">
      <c r="A1699" s="3"/>
      <c r="B1699" s="40"/>
      <c r="C1699" s="40"/>
      <c r="D1699" s="72"/>
      <c r="E1699" s="72"/>
      <c r="F1699" s="72"/>
      <c r="G1699" s="69" t="str">
        <f t="shared" si="864"/>
        <v/>
      </c>
      <c r="H1699" s="69" t="str">
        <f t="shared" si="865"/>
        <v/>
      </c>
      <c r="I1699" s="69" t="str">
        <f t="shared" si="866"/>
        <v/>
      </c>
      <c r="J1699" s="75" t="str">
        <f t="shared" si="862"/>
        <v/>
      </c>
      <c r="K1699" s="63"/>
    </row>
    <row r="1700" spans="1:18" x14ac:dyDescent="0.25">
      <c r="A1700" s="2" t="s">
        <v>1224</v>
      </c>
      <c r="B1700" s="39" t="s">
        <v>1392</v>
      </c>
      <c r="C1700" s="39"/>
      <c r="D1700" s="71">
        <v>0</v>
      </c>
      <c r="E1700" s="71">
        <v>1</v>
      </c>
      <c r="F1700" s="71">
        <v>1</v>
      </c>
      <c r="G1700" s="68">
        <f t="shared" si="864"/>
        <v>0</v>
      </c>
      <c r="H1700" s="68">
        <f t="shared" si="865"/>
        <v>0</v>
      </c>
      <c r="I1700" s="68">
        <f t="shared" si="866"/>
        <v>1</v>
      </c>
      <c r="J1700" s="74">
        <f t="shared" ref="J1700:J1702" si="873">IF(B1700="","",SUM(D1700:F1700))</f>
        <v>2</v>
      </c>
      <c r="K1700" s="62"/>
    </row>
    <row r="1701" spans="1:18" x14ac:dyDescent="0.25">
      <c r="A1701" s="2"/>
      <c r="B1701" s="37" t="s">
        <v>1105</v>
      </c>
      <c r="C1701" s="37"/>
      <c r="D1701" s="71">
        <v>1</v>
      </c>
      <c r="E1701" s="71">
        <v>0</v>
      </c>
      <c r="F1701" s="71">
        <v>0</v>
      </c>
      <c r="G1701" s="68">
        <f t="shared" si="864"/>
        <v>0</v>
      </c>
      <c r="H1701" s="68">
        <f t="shared" si="865"/>
        <v>0</v>
      </c>
      <c r="I1701" s="68">
        <f t="shared" si="866"/>
        <v>0</v>
      </c>
      <c r="J1701" s="74">
        <f t="shared" si="873"/>
        <v>1</v>
      </c>
      <c r="K1701" s="62"/>
    </row>
    <row r="1702" spans="1:18" x14ac:dyDescent="0.25">
      <c r="A1702" s="3"/>
      <c r="B1702" s="40"/>
      <c r="C1702" s="40"/>
      <c r="D1702" s="72"/>
      <c r="E1702" s="72"/>
      <c r="F1702" s="72"/>
      <c r="G1702" s="69" t="str">
        <f t="shared" si="864"/>
        <v/>
      </c>
      <c r="H1702" s="69" t="str">
        <f t="shared" si="865"/>
        <v/>
      </c>
      <c r="I1702" s="69" t="str">
        <f t="shared" si="866"/>
        <v/>
      </c>
      <c r="J1702" s="75" t="str">
        <f t="shared" si="873"/>
        <v/>
      </c>
      <c r="K1702" s="63"/>
    </row>
    <row r="1704" spans="1:18" x14ac:dyDescent="0.25">
      <c r="A1704" s="81">
        <v>86</v>
      </c>
      <c r="B1704" s="49" t="s">
        <v>1202</v>
      </c>
      <c r="C1704" s="31" t="s">
        <v>1480</v>
      </c>
      <c r="D1704" s="76"/>
      <c r="E1704" s="66"/>
      <c r="F1704" s="66"/>
      <c r="G1704" s="66"/>
      <c r="H1704" s="66"/>
      <c r="I1704" s="66"/>
      <c r="J1704" s="60"/>
      <c r="K1704" s="60"/>
    </row>
    <row r="1705" spans="1:18" x14ac:dyDescent="0.25">
      <c r="A1705" s="4" t="s">
        <v>6</v>
      </c>
      <c r="B1705" s="37" t="s">
        <v>957</v>
      </c>
      <c r="C1705" s="37"/>
      <c r="D1705" s="70">
        <v>1</v>
      </c>
      <c r="E1705" s="70">
        <v>1</v>
      </c>
      <c r="F1705" s="70">
        <v>0</v>
      </c>
      <c r="G1705" s="67">
        <f t="shared" ref="G1705:G1717" si="874">IF(B1705="","",IF( AND(D1705=1, E1705=1),1,0))</f>
        <v>1</v>
      </c>
      <c r="H1705" s="67">
        <f t="shared" ref="H1705:H1717" si="875">IF(B1705="","",IF(AND(D1705=1,F1705=1),1,0))</f>
        <v>0</v>
      </c>
      <c r="I1705" s="67">
        <f t="shared" ref="I1705:I1717" si="876">IF(B1705="","",IF(AND(E1705=1,F1705=1),1,0))</f>
        <v>0</v>
      </c>
      <c r="J1705" s="73">
        <f t="shared" ref="J1705" si="877">IF(B1705="","",SUM(D1705:F1705))</f>
        <v>2</v>
      </c>
      <c r="K1705" s="61"/>
      <c r="M1705" s="7">
        <f t="shared" ref="M1705" si="878">SUM(G1705:I1705)/3</f>
        <v>0.33333333333333331</v>
      </c>
      <c r="N1705" s="6">
        <f t="shared" ref="N1705" si="879">SUM(G1708:I1708)/3</f>
        <v>1</v>
      </c>
      <c r="O1705" s="7">
        <f t="shared" ref="O1705" si="880">SUM(G1711:I1711)/3</f>
        <v>1</v>
      </c>
      <c r="P1705" s="6">
        <f t="shared" ref="P1705" si="881">SUM(G1714:I1714)/3</f>
        <v>1</v>
      </c>
      <c r="Q1705" s="7">
        <f t="shared" ref="Q1705" si="882">SUM(G1717:I1717)/3</f>
        <v>0.33333333333333331</v>
      </c>
      <c r="R1705" s="7">
        <f>SUM(G1720:I1720)/3</f>
        <v>0.33333333333333331</v>
      </c>
    </row>
    <row r="1706" spans="1:18" x14ac:dyDescent="0.25">
      <c r="A1706" s="2"/>
      <c r="B1706" s="37"/>
      <c r="C1706" s="37"/>
      <c r="D1706" s="71"/>
      <c r="E1706" s="71"/>
      <c r="F1706" s="71"/>
      <c r="G1706" s="68" t="str">
        <f t="shared" si="874"/>
        <v/>
      </c>
      <c r="H1706" s="68" t="str">
        <f t="shared" si="875"/>
        <v/>
      </c>
      <c r="I1706" s="68" t="str">
        <f t="shared" si="876"/>
        <v/>
      </c>
      <c r="J1706" s="74" t="str">
        <f t="shared" si="862"/>
        <v/>
      </c>
      <c r="K1706" s="62"/>
    </row>
    <row r="1707" spans="1:18" x14ac:dyDescent="0.25">
      <c r="A1707" s="3"/>
      <c r="B1707" s="42"/>
      <c r="C1707" s="42"/>
      <c r="D1707" s="72"/>
      <c r="E1707" s="72"/>
      <c r="F1707" s="72"/>
      <c r="G1707" s="69" t="str">
        <f t="shared" si="874"/>
        <v/>
      </c>
      <c r="H1707" s="69" t="str">
        <f t="shared" si="875"/>
        <v/>
      </c>
      <c r="I1707" s="69" t="str">
        <f t="shared" si="876"/>
        <v/>
      </c>
      <c r="J1707" s="75" t="str">
        <f t="shared" si="862"/>
        <v/>
      </c>
      <c r="K1707" s="63"/>
    </row>
    <row r="1708" spans="1:18" x14ac:dyDescent="0.25">
      <c r="A1708" s="4" t="s">
        <v>5</v>
      </c>
      <c r="B1708" s="33" t="s">
        <v>288</v>
      </c>
      <c r="C1708" s="33"/>
      <c r="D1708" s="70">
        <v>1</v>
      </c>
      <c r="E1708" s="70">
        <v>1</v>
      </c>
      <c r="F1708" s="70">
        <v>1</v>
      </c>
      <c r="G1708" s="67">
        <f t="shared" si="874"/>
        <v>1</v>
      </c>
      <c r="H1708" s="67">
        <f t="shared" si="875"/>
        <v>1</v>
      </c>
      <c r="I1708" s="67">
        <f t="shared" si="876"/>
        <v>1</v>
      </c>
      <c r="J1708" s="73">
        <f t="shared" si="862"/>
        <v>3</v>
      </c>
      <c r="K1708" s="61"/>
    </row>
    <row r="1709" spans="1:18" x14ac:dyDescent="0.25">
      <c r="A1709" s="2"/>
      <c r="B1709" s="37"/>
      <c r="C1709" s="37"/>
      <c r="D1709" s="71"/>
      <c r="E1709" s="71"/>
      <c r="F1709" s="71"/>
      <c r="G1709" s="68" t="str">
        <f t="shared" si="874"/>
        <v/>
      </c>
      <c r="H1709" s="68" t="str">
        <f t="shared" si="875"/>
        <v/>
      </c>
      <c r="I1709" s="68" t="str">
        <f t="shared" si="876"/>
        <v/>
      </c>
      <c r="J1709" s="74" t="str">
        <f t="shared" si="862"/>
        <v/>
      </c>
      <c r="K1709" s="62"/>
    </row>
    <row r="1710" spans="1:18" x14ac:dyDescent="0.25">
      <c r="A1710" s="3"/>
      <c r="B1710" s="40"/>
      <c r="C1710" s="37"/>
      <c r="D1710" s="71"/>
      <c r="E1710" s="71"/>
      <c r="F1710" s="71"/>
      <c r="G1710" s="69" t="str">
        <f t="shared" si="874"/>
        <v/>
      </c>
      <c r="H1710" s="69" t="str">
        <f t="shared" si="875"/>
        <v/>
      </c>
      <c r="I1710" s="69" t="str">
        <f t="shared" si="876"/>
        <v/>
      </c>
      <c r="J1710" s="75" t="str">
        <f t="shared" si="862"/>
        <v/>
      </c>
      <c r="K1710" s="63"/>
    </row>
    <row r="1711" spans="1:18" x14ac:dyDescent="0.25">
      <c r="A1711" s="4" t="s">
        <v>7</v>
      </c>
      <c r="B1711" s="33" t="s">
        <v>1105</v>
      </c>
      <c r="C1711" s="33"/>
      <c r="D1711" s="70">
        <v>1</v>
      </c>
      <c r="E1711" s="70">
        <v>1</v>
      </c>
      <c r="F1711" s="70">
        <v>1</v>
      </c>
      <c r="G1711" s="67">
        <f t="shared" si="874"/>
        <v>1</v>
      </c>
      <c r="H1711" s="67">
        <f t="shared" si="875"/>
        <v>1</v>
      </c>
      <c r="I1711" s="67">
        <f t="shared" si="876"/>
        <v>1</v>
      </c>
      <c r="J1711" s="73">
        <f t="shared" si="862"/>
        <v>3</v>
      </c>
      <c r="K1711" s="61"/>
    </row>
    <row r="1712" spans="1:18" x14ac:dyDescent="0.25">
      <c r="A1712" s="2"/>
      <c r="B1712" s="37"/>
      <c r="C1712" s="37"/>
      <c r="D1712" s="71"/>
      <c r="E1712" s="71"/>
      <c r="F1712" s="71"/>
      <c r="G1712" s="68" t="str">
        <f t="shared" si="874"/>
        <v/>
      </c>
      <c r="H1712" s="68" t="str">
        <f t="shared" si="875"/>
        <v/>
      </c>
      <c r="I1712" s="68" t="str">
        <f t="shared" si="876"/>
        <v/>
      </c>
      <c r="J1712" s="74" t="str">
        <f t="shared" si="862"/>
        <v/>
      </c>
      <c r="K1712" s="62"/>
    </row>
    <row r="1713" spans="1:18" x14ac:dyDescent="0.25">
      <c r="A1713" s="3"/>
      <c r="B1713" s="40"/>
      <c r="C1713" s="40"/>
      <c r="D1713" s="72"/>
      <c r="E1713" s="72"/>
      <c r="F1713" s="72"/>
      <c r="G1713" s="69" t="str">
        <f t="shared" si="874"/>
        <v/>
      </c>
      <c r="H1713" s="69" t="str">
        <f t="shared" si="875"/>
        <v/>
      </c>
      <c r="I1713" s="69" t="str">
        <f t="shared" si="876"/>
        <v/>
      </c>
      <c r="J1713" s="75" t="str">
        <f t="shared" si="862"/>
        <v/>
      </c>
      <c r="K1713" s="63"/>
    </row>
    <row r="1714" spans="1:18" x14ac:dyDescent="0.25">
      <c r="A1714" s="4" t="s">
        <v>8</v>
      </c>
      <c r="B1714" s="37" t="s">
        <v>172</v>
      </c>
      <c r="C1714" s="37"/>
      <c r="D1714" s="70">
        <v>1</v>
      </c>
      <c r="E1714" s="70">
        <v>1</v>
      </c>
      <c r="F1714" s="70">
        <v>1</v>
      </c>
      <c r="G1714" s="67">
        <f t="shared" si="874"/>
        <v>1</v>
      </c>
      <c r="H1714" s="67">
        <f t="shared" si="875"/>
        <v>1</v>
      </c>
      <c r="I1714" s="67">
        <f t="shared" si="876"/>
        <v>1</v>
      </c>
      <c r="J1714" s="73">
        <f t="shared" si="862"/>
        <v>3</v>
      </c>
      <c r="K1714" s="61"/>
    </row>
    <row r="1715" spans="1:18" x14ac:dyDescent="0.25">
      <c r="A1715" s="2"/>
      <c r="B1715" s="37"/>
      <c r="C1715" s="37"/>
      <c r="D1715" s="71"/>
      <c r="E1715" s="71"/>
      <c r="F1715" s="71"/>
      <c r="G1715" s="68" t="str">
        <f t="shared" si="874"/>
        <v/>
      </c>
      <c r="H1715" s="68" t="str">
        <f t="shared" si="875"/>
        <v/>
      </c>
      <c r="I1715" s="68" t="str">
        <f t="shared" si="876"/>
        <v/>
      </c>
      <c r="J1715" s="74" t="str">
        <f t="shared" si="862"/>
        <v/>
      </c>
      <c r="K1715" s="62"/>
    </row>
    <row r="1716" spans="1:18" x14ac:dyDescent="0.25">
      <c r="A1716" s="3"/>
      <c r="B1716" s="40"/>
      <c r="C1716" s="40"/>
      <c r="D1716" s="72"/>
      <c r="E1716" s="72"/>
      <c r="F1716" s="72"/>
      <c r="G1716" s="69" t="str">
        <f t="shared" si="874"/>
        <v/>
      </c>
      <c r="H1716" s="69" t="str">
        <f t="shared" si="875"/>
        <v/>
      </c>
      <c r="I1716" s="69" t="str">
        <f t="shared" si="876"/>
        <v/>
      </c>
      <c r="J1716" s="75" t="str">
        <f t="shared" si="862"/>
        <v/>
      </c>
      <c r="K1716" s="63"/>
    </row>
    <row r="1717" spans="1:18" x14ac:dyDescent="0.25">
      <c r="A1717" s="2" t="s">
        <v>9</v>
      </c>
      <c r="B1717" s="37" t="s">
        <v>958</v>
      </c>
      <c r="C1717" s="37"/>
      <c r="D1717" s="71">
        <v>1</v>
      </c>
      <c r="E1717" s="71">
        <v>1</v>
      </c>
      <c r="F1717" s="71">
        <v>0</v>
      </c>
      <c r="G1717" s="68">
        <f t="shared" si="874"/>
        <v>1</v>
      </c>
      <c r="H1717" s="68">
        <f t="shared" si="875"/>
        <v>0</v>
      </c>
      <c r="I1717" s="68">
        <f t="shared" si="876"/>
        <v>0</v>
      </c>
      <c r="J1717" s="74">
        <f t="shared" si="862"/>
        <v>2</v>
      </c>
      <c r="K1717" s="62"/>
    </row>
    <row r="1718" spans="1:18" x14ac:dyDescent="0.25">
      <c r="A1718" s="2"/>
      <c r="B1718" s="37"/>
      <c r="C1718" s="37"/>
      <c r="D1718" s="71"/>
      <c r="E1718" s="71"/>
      <c r="F1718" s="71"/>
      <c r="G1718" s="68"/>
      <c r="H1718" s="68"/>
      <c r="I1718" s="68"/>
      <c r="J1718" s="74"/>
      <c r="K1718" s="62"/>
    </row>
    <row r="1719" spans="1:18" x14ac:dyDescent="0.25">
      <c r="A1719" s="3"/>
      <c r="B1719" s="40"/>
      <c r="C1719" s="40"/>
      <c r="D1719" s="72"/>
      <c r="E1719" s="72"/>
      <c r="F1719" s="72"/>
      <c r="G1719" s="69"/>
      <c r="H1719" s="69"/>
      <c r="I1719" s="69"/>
      <c r="J1719" s="75"/>
      <c r="K1719" s="63"/>
    </row>
    <row r="1720" spans="1:18" x14ac:dyDescent="0.25">
      <c r="A1720" s="2" t="s">
        <v>1224</v>
      </c>
      <c r="B1720" s="39" t="s">
        <v>1358</v>
      </c>
      <c r="C1720" s="39"/>
      <c r="D1720" s="71">
        <v>1</v>
      </c>
      <c r="E1720" s="71">
        <v>0</v>
      </c>
      <c r="F1720" s="71">
        <v>1</v>
      </c>
      <c r="G1720" s="68">
        <f t="shared" ref="G1720:G1722" si="883">IF(B1720="","",IF( AND(D1720=1, E1720=1),1,0))</f>
        <v>0</v>
      </c>
      <c r="H1720" s="68">
        <f t="shared" ref="H1720:H1722" si="884">IF(B1720="","",IF(AND(D1720=1,F1720=1),1,0))</f>
        <v>1</v>
      </c>
      <c r="I1720" s="68">
        <f t="shared" ref="I1720:I1722" si="885">IF(B1720="","",IF(AND(E1720=1,F1720=1),1,0))</f>
        <v>0</v>
      </c>
      <c r="J1720" s="74">
        <f t="shared" ref="J1720:J1722" si="886">IF(B1720="","",SUM(D1720:F1720))</f>
        <v>2</v>
      </c>
      <c r="K1720" s="62"/>
    </row>
    <row r="1721" spans="1:18" x14ac:dyDescent="0.25">
      <c r="A1721" s="2"/>
      <c r="B1721" s="37" t="s">
        <v>1105</v>
      </c>
      <c r="C1721" s="37"/>
      <c r="D1721" s="71">
        <v>0</v>
      </c>
      <c r="E1721" s="71">
        <v>1</v>
      </c>
      <c r="F1721" s="71">
        <v>0</v>
      </c>
      <c r="G1721" s="68">
        <f t="shared" si="883"/>
        <v>0</v>
      </c>
      <c r="H1721" s="68">
        <f t="shared" si="884"/>
        <v>0</v>
      </c>
      <c r="I1721" s="68">
        <f t="shared" si="885"/>
        <v>0</v>
      </c>
      <c r="J1721" s="74">
        <f t="shared" si="886"/>
        <v>1</v>
      </c>
      <c r="K1721" s="62"/>
    </row>
    <row r="1722" spans="1:18" x14ac:dyDescent="0.25">
      <c r="A1722" s="3"/>
      <c r="B1722" s="40"/>
      <c r="C1722" s="40"/>
      <c r="D1722" s="72"/>
      <c r="E1722" s="72"/>
      <c r="F1722" s="72"/>
      <c r="G1722" s="69" t="str">
        <f t="shared" si="883"/>
        <v/>
      </c>
      <c r="H1722" s="69" t="str">
        <f t="shared" si="884"/>
        <v/>
      </c>
      <c r="I1722" s="69" t="str">
        <f t="shared" si="885"/>
        <v/>
      </c>
      <c r="J1722" s="75" t="str">
        <f t="shared" si="886"/>
        <v/>
      </c>
      <c r="K1722" s="63"/>
    </row>
    <row r="1724" spans="1:18" x14ac:dyDescent="0.25">
      <c r="A1724" s="81">
        <v>87</v>
      </c>
      <c r="B1724" s="49" t="s">
        <v>1203</v>
      </c>
      <c r="C1724" s="31" t="s">
        <v>1481</v>
      </c>
      <c r="D1724" s="76"/>
      <c r="E1724" s="66"/>
      <c r="F1724" s="66"/>
      <c r="G1724" s="66"/>
      <c r="H1724" s="66"/>
      <c r="I1724" s="66"/>
      <c r="J1724" s="60"/>
      <c r="K1724" s="60"/>
    </row>
    <row r="1725" spans="1:18" x14ac:dyDescent="0.25">
      <c r="A1725" s="4" t="s">
        <v>6</v>
      </c>
      <c r="B1725" s="37" t="s">
        <v>1114</v>
      </c>
      <c r="C1725" s="37"/>
      <c r="D1725" s="70">
        <v>1</v>
      </c>
      <c r="E1725" s="70">
        <v>1</v>
      </c>
      <c r="F1725" s="70">
        <v>1</v>
      </c>
      <c r="G1725" s="67">
        <f t="shared" ref="G1725:G1742" si="887">IF(B1725="","",IF( AND(D1725=1, E1725=1),1,0))</f>
        <v>1</v>
      </c>
      <c r="H1725" s="67">
        <f t="shared" ref="H1725:H1742" si="888">IF(B1725="","",IF(AND(D1725=1,F1725=1),1,0))</f>
        <v>1</v>
      </c>
      <c r="I1725" s="67">
        <f t="shared" ref="I1725:I1742" si="889">IF(B1725="","",IF(AND(E1725=1,F1725=1),1,0))</f>
        <v>1</v>
      </c>
      <c r="J1725" s="73">
        <f t="shared" ref="J1725" si="890">IF(B1725="","",SUM(D1725:F1725))</f>
        <v>3</v>
      </c>
      <c r="K1725" s="61"/>
      <c r="M1725" s="7">
        <f t="shared" ref="M1725" si="891">SUM(G1725:I1725)/3</f>
        <v>1</v>
      </c>
      <c r="N1725" s="6">
        <f t="shared" ref="N1725" si="892">SUM(G1728:I1728)/3</f>
        <v>0.33333333333333331</v>
      </c>
      <c r="O1725" s="7">
        <f t="shared" ref="O1725" si="893">SUM(G1731:I1731)/3</f>
        <v>0.33333333333333331</v>
      </c>
      <c r="P1725" s="6">
        <f t="shared" ref="P1725" si="894">SUM(G1734:I1734)/3</f>
        <v>1</v>
      </c>
      <c r="Q1725" s="7">
        <f t="shared" ref="Q1725" si="895">SUM(G1737:I1737)/3</f>
        <v>1</v>
      </c>
      <c r="R1725" s="7">
        <f>SUM(G1740:I1740)/3</f>
        <v>0.33333333333333331</v>
      </c>
    </row>
    <row r="1726" spans="1:18" x14ac:dyDescent="0.25">
      <c r="A1726" s="2"/>
      <c r="B1726" s="39" t="s">
        <v>699</v>
      </c>
      <c r="C1726" s="39"/>
      <c r="D1726" s="71">
        <v>0</v>
      </c>
      <c r="E1726" s="71">
        <v>1</v>
      </c>
      <c r="F1726" s="71">
        <v>1</v>
      </c>
      <c r="G1726" s="68">
        <f t="shared" si="887"/>
        <v>0</v>
      </c>
      <c r="H1726" s="68">
        <f t="shared" si="888"/>
        <v>0</v>
      </c>
      <c r="I1726" s="68">
        <f t="shared" si="889"/>
        <v>1</v>
      </c>
      <c r="J1726" s="74">
        <f t="shared" si="862"/>
        <v>2</v>
      </c>
      <c r="K1726" s="62"/>
    </row>
    <row r="1727" spans="1:18" x14ac:dyDescent="0.25">
      <c r="A1727" s="3"/>
      <c r="B1727" s="42" t="s">
        <v>700</v>
      </c>
      <c r="C1727" s="42"/>
      <c r="D1727" s="72">
        <v>0</v>
      </c>
      <c r="E1727" s="72">
        <v>1</v>
      </c>
      <c r="F1727" s="72">
        <v>1</v>
      </c>
      <c r="G1727" s="69">
        <f t="shared" si="887"/>
        <v>0</v>
      </c>
      <c r="H1727" s="69">
        <f t="shared" si="888"/>
        <v>0</v>
      </c>
      <c r="I1727" s="69">
        <f t="shared" si="889"/>
        <v>1</v>
      </c>
      <c r="J1727" s="75">
        <f t="shared" si="862"/>
        <v>2</v>
      </c>
      <c r="K1727" s="63"/>
    </row>
    <row r="1728" spans="1:18" x14ac:dyDescent="0.25">
      <c r="A1728" s="4" t="s">
        <v>5</v>
      </c>
      <c r="B1728" s="33" t="s">
        <v>701</v>
      </c>
      <c r="C1728" s="33"/>
      <c r="D1728" s="70">
        <v>0</v>
      </c>
      <c r="E1728" s="70">
        <v>1</v>
      </c>
      <c r="F1728" s="70">
        <v>1</v>
      </c>
      <c r="G1728" s="67">
        <f t="shared" si="887"/>
        <v>0</v>
      </c>
      <c r="H1728" s="67">
        <f t="shared" si="888"/>
        <v>0</v>
      </c>
      <c r="I1728" s="67">
        <f t="shared" si="889"/>
        <v>1</v>
      </c>
      <c r="J1728" s="73">
        <f t="shared" si="862"/>
        <v>2</v>
      </c>
      <c r="K1728" s="61"/>
    </row>
    <row r="1729" spans="1:11" x14ac:dyDescent="0.25">
      <c r="A1729" s="2"/>
      <c r="B1729" s="37"/>
      <c r="C1729" s="37"/>
      <c r="D1729" s="71"/>
      <c r="E1729" s="71"/>
      <c r="F1729" s="71"/>
      <c r="G1729" s="68" t="str">
        <f t="shared" si="887"/>
        <v/>
      </c>
      <c r="H1729" s="68" t="str">
        <f t="shared" si="888"/>
        <v/>
      </c>
      <c r="I1729" s="68" t="str">
        <f t="shared" si="889"/>
        <v/>
      </c>
      <c r="J1729" s="74" t="str">
        <f t="shared" si="862"/>
        <v/>
      </c>
      <c r="K1729" s="62"/>
    </row>
    <row r="1730" spans="1:11" x14ac:dyDescent="0.25">
      <c r="A1730" s="3"/>
      <c r="B1730" s="40"/>
      <c r="C1730" s="37"/>
      <c r="D1730" s="71"/>
      <c r="E1730" s="71"/>
      <c r="F1730" s="71"/>
      <c r="G1730" s="69" t="str">
        <f t="shared" si="887"/>
        <v/>
      </c>
      <c r="H1730" s="69" t="str">
        <f t="shared" si="888"/>
        <v/>
      </c>
      <c r="I1730" s="69" t="str">
        <f t="shared" si="889"/>
        <v/>
      </c>
      <c r="J1730" s="75" t="str">
        <f t="shared" si="862"/>
        <v/>
      </c>
      <c r="K1730" s="63"/>
    </row>
    <row r="1731" spans="1:11" x14ac:dyDescent="0.25">
      <c r="A1731" s="4" t="s">
        <v>7</v>
      </c>
      <c r="B1731" s="33" t="s">
        <v>1088</v>
      </c>
      <c r="C1731" s="33"/>
      <c r="D1731" s="70">
        <v>1</v>
      </c>
      <c r="E1731" s="70">
        <v>0</v>
      </c>
      <c r="F1731" s="70">
        <v>1</v>
      </c>
      <c r="G1731" s="67">
        <f t="shared" si="887"/>
        <v>0</v>
      </c>
      <c r="H1731" s="67">
        <f t="shared" si="888"/>
        <v>1</v>
      </c>
      <c r="I1731" s="67">
        <f t="shared" si="889"/>
        <v>0</v>
      </c>
      <c r="J1731" s="73">
        <f t="shared" si="862"/>
        <v>2</v>
      </c>
      <c r="K1731" s="61"/>
    </row>
    <row r="1732" spans="1:11" x14ac:dyDescent="0.25">
      <c r="A1732" s="2"/>
      <c r="B1732" s="37"/>
      <c r="C1732" s="37"/>
      <c r="D1732" s="71"/>
      <c r="E1732" s="71"/>
      <c r="F1732" s="71"/>
      <c r="G1732" s="68" t="str">
        <f t="shared" si="887"/>
        <v/>
      </c>
      <c r="H1732" s="68" t="str">
        <f t="shared" si="888"/>
        <v/>
      </c>
      <c r="I1732" s="68" t="str">
        <f t="shared" si="889"/>
        <v/>
      </c>
      <c r="J1732" s="74" t="str">
        <f t="shared" si="862"/>
        <v/>
      </c>
      <c r="K1732" s="62"/>
    </row>
    <row r="1733" spans="1:11" x14ac:dyDescent="0.25">
      <c r="A1733" s="3"/>
      <c r="B1733" s="40"/>
      <c r="C1733" s="40"/>
      <c r="D1733" s="72"/>
      <c r="E1733" s="72"/>
      <c r="F1733" s="72"/>
      <c r="G1733" s="69" t="str">
        <f t="shared" si="887"/>
        <v/>
      </c>
      <c r="H1733" s="69" t="str">
        <f t="shared" si="888"/>
        <v/>
      </c>
      <c r="I1733" s="69" t="str">
        <f t="shared" si="889"/>
        <v/>
      </c>
      <c r="J1733" s="75" t="str">
        <f t="shared" si="862"/>
        <v/>
      </c>
      <c r="K1733" s="63"/>
    </row>
    <row r="1734" spans="1:11" x14ac:dyDescent="0.25">
      <c r="A1734" s="4" t="s">
        <v>8</v>
      </c>
      <c r="B1734" s="37" t="s">
        <v>176</v>
      </c>
      <c r="C1734" s="37"/>
      <c r="D1734" s="70">
        <v>1</v>
      </c>
      <c r="E1734" s="70">
        <v>1</v>
      </c>
      <c r="F1734" s="70">
        <v>1</v>
      </c>
      <c r="G1734" s="67">
        <f t="shared" si="887"/>
        <v>1</v>
      </c>
      <c r="H1734" s="67">
        <f t="shared" si="888"/>
        <v>1</v>
      </c>
      <c r="I1734" s="67">
        <f t="shared" si="889"/>
        <v>1</v>
      </c>
      <c r="J1734" s="73">
        <f t="shared" si="862"/>
        <v>3</v>
      </c>
      <c r="K1734" s="61"/>
    </row>
    <row r="1735" spans="1:11" x14ac:dyDescent="0.25">
      <c r="A1735" s="2"/>
      <c r="B1735" s="37" t="s">
        <v>703</v>
      </c>
      <c r="C1735" s="37"/>
      <c r="D1735" s="71">
        <v>0</v>
      </c>
      <c r="E1735" s="71">
        <v>1</v>
      </c>
      <c r="F1735" s="71">
        <v>1</v>
      </c>
      <c r="G1735" s="68">
        <f t="shared" si="887"/>
        <v>0</v>
      </c>
      <c r="H1735" s="68">
        <f t="shared" si="888"/>
        <v>0</v>
      </c>
      <c r="I1735" s="68">
        <f t="shared" si="889"/>
        <v>1</v>
      </c>
      <c r="J1735" s="74">
        <f t="shared" si="862"/>
        <v>2</v>
      </c>
      <c r="K1735" s="62"/>
    </row>
    <row r="1736" spans="1:11" x14ac:dyDescent="0.25">
      <c r="A1736" s="3"/>
      <c r="B1736" s="40" t="s">
        <v>704</v>
      </c>
      <c r="C1736" s="40"/>
      <c r="D1736" s="72">
        <v>0</v>
      </c>
      <c r="E1736" s="72">
        <v>1</v>
      </c>
      <c r="F1736" s="72">
        <v>1</v>
      </c>
      <c r="G1736" s="69">
        <f t="shared" si="887"/>
        <v>0</v>
      </c>
      <c r="H1736" s="69">
        <f t="shared" si="888"/>
        <v>0</v>
      </c>
      <c r="I1736" s="69">
        <f t="shared" si="889"/>
        <v>1</v>
      </c>
      <c r="J1736" s="75">
        <f t="shared" si="862"/>
        <v>2</v>
      </c>
      <c r="K1736" s="63"/>
    </row>
    <row r="1737" spans="1:11" x14ac:dyDescent="0.25">
      <c r="A1737" s="2" t="s">
        <v>9</v>
      </c>
      <c r="B1737" s="37" t="s">
        <v>705</v>
      </c>
      <c r="C1737" s="37"/>
      <c r="D1737" s="71">
        <v>1</v>
      </c>
      <c r="E1737" s="71">
        <v>1</v>
      </c>
      <c r="F1737" s="71">
        <v>1</v>
      </c>
      <c r="G1737" s="68">
        <f t="shared" si="887"/>
        <v>1</v>
      </c>
      <c r="H1737" s="68">
        <f t="shared" si="888"/>
        <v>1</v>
      </c>
      <c r="I1737" s="68">
        <f t="shared" si="889"/>
        <v>1</v>
      </c>
      <c r="J1737" s="74">
        <f t="shared" si="862"/>
        <v>3</v>
      </c>
      <c r="K1737" s="62"/>
    </row>
    <row r="1738" spans="1:11" x14ac:dyDescent="0.25">
      <c r="A1738" s="2"/>
      <c r="B1738" s="37"/>
      <c r="C1738" s="37"/>
      <c r="D1738" s="71"/>
      <c r="E1738" s="71"/>
      <c r="F1738" s="71"/>
      <c r="G1738" s="68" t="str">
        <f t="shared" si="887"/>
        <v/>
      </c>
      <c r="H1738" s="68" t="str">
        <f t="shared" si="888"/>
        <v/>
      </c>
      <c r="I1738" s="68" t="str">
        <f t="shared" si="889"/>
        <v/>
      </c>
      <c r="J1738" s="74" t="str">
        <f t="shared" si="862"/>
        <v/>
      </c>
      <c r="K1738" s="62"/>
    </row>
    <row r="1739" spans="1:11" x14ac:dyDescent="0.25">
      <c r="A1739" s="3"/>
      <c r="B1739" s="40"/>
      <c r="C1739" s="40"/>
      <c r="D1739" s="72"/>
      <c r="E1739" s="72"/>
      <c r="F1739" s="72"/>
      <c r="G1739" s="69" t="str">
        <f t="shared" si="887"/>
        <v/>
      </c>
      <c r="H1739" s="69" t="str">
        <f t="shared" si="888"/>
        <v/>
      </c>
      <c r="I1739" s="69" t="str">
        <f t="shared" si="889"/>
        <v/>
      </c>
      <c r="J1739" s="75" t="str">
        <f t="shared" si="862"/>
        <v/>
      </c>
      <c r="K1739" s="63"/>
    </row>
    <row r="1740" spans="1:11" x14ac:dyDescent="0.25">
      <c r="A1740" s="2" t="s">
        <v>1224</v>
      </c>
      <c r="B1740" s="37" t="s">
        <v>177</v>
      </c>
      <c r="C1740" s="37"/>
      <c r="D1740" s="71">
        <v>1</v>
      </c>
      <c r="E1740" s="71">
        <v>0</v>
      </c>
      <c r="F1740" s="71">
        <v>1</v>
      </c>
      <c r="G1740" s="68">
        <f t="shared" si="887"/>
        <v>0</v>
      </c>
      <c r="H1740" s="68">
        <f t="shared" si="888"/>
        <v>1</v>
      </c>
      <c r="I1740" s="68">
        <f t="shared" si="889"/>
        <v>0</v>
      </c>
      <c r="J1740" s="74">
        <f t="shared" ref="J1740:J1742" si="896">IF(B1740="","",SUM(D1740:F1740))</f>
        <v>2</v>
      </c>
      <c r="K1740" s="62"/>
    </row>
    <row r="1741" spans="1:11" x14ac:dyDescent="0.25">
      <c r="A1741" s="2"/>
      <c r="B1741" s="37"/>
      <c r="C1741" s="37"/>
      <c r="D1741" s="71"/>
      <c r="E1741" s="71"/>
      <c r="F1741" s="71"/>
      <c r="G1741" s="68" t="str">
        <f t="shared" si="887"/>
        <v/>
      </c>
      <c r="H1741" s="68" t="str">
        <f t="shared" si="888"/>
        <v/>
      </c>
      <c r="I1741" s="68" t="str">
        <f t="shared" si="889"/>
        <v/>
      </c>
      <c r="J1741" s="74" t="str">
        <f t="shared" si="896"/>
        <v/>
      </c>
      <c r="K1741" s="62"/>
    </row>
    <row r="1742" spans="1:11" x14ac:dyDescent="0.25">
      <c r="A1742" s="3"/>
      <c r="B1742" s="40"/>
      <c r="C1742" s="40"/>
      <c r="D1742" s="72"/>
      <c r="E1742" s="72"/>
      <c r="F1742" s="72"/>
      <c r="G1742" s="69" t="str">
        <f t="shared" si="887"/>
        <v/>
      </c>
      <c r="H1742" s="69" t="str">
        <f t="shared" si="888"/>
        <v/>
      </c>
      <c r="I1742" s="69" t="str">
        <f t="shared" si="889"/>
        <v/>
      </c>
      <c r="J1742" s="75" t="str">
        <f t="shared" si="896"/>
        <v/>
      </c>
      <c r="K1742" s="63"/>
    </row>
    <row r="1744" spans="1:11" x14ac:dyDescent="0.25">
      <c r="A1744" s="81">
        <v>88</v>
      </c>
      <c r="B1744" s="49" t="s">
        <v>1204</v>
      </c>
      <c r="C1744" s="31" t="s">
        <v>1482</v>
      </c>
      <c r="D1744" s="76"/>
      <c r="E1744" s="66"/>
      <c r="F1744" s="66"/>
      <c r="G1744" s="66"/>
      <c r="H1744" s="66"/>
      <c r="I1744" s="66"/>
      <c r="J1744" s="60"/>
      <c r="K1744" s="60"/>
    </row>
    <row r="1745" spans="1:18" x14ac:dyDescent="0.25">
      <c r="A1745" s="4" t="s">
        <v>6</v>
      </c>
      <c r="B1745" s="37" t="s">
        <v>707</v>
      </c>
      <c r="C1745" s="37"/>
      <c r="D1745" s="70">
        <v>1</v>
      </c>
      <c r="E1745" s="70">
        <v>1</v>
      </c>
      <c r="F1745" s="70">
        <v>1</v>
      </c>
      <c r="G1745" s="67">
        <f t="shared" ref="G1745:G1762" si="897">IF(B1745="","",IF( AND(D1745=1, E1745=1),1,0))</f>
        <v>1</v>
      </c>
      <c r="H1745" s="67">
        <f t="shared" ref="H1745:H1762" si="898">IF(B1745="","",IF(AND(D1745=1,F1745=1),1,0))</f>
        <v>1</v>
      </c>
      <c r="I1745" s="67">
        <f t="shared" ref="I1745:I1762" si="899">IF(B1745="","",IF(AND(E1745=1,F1745=1),1,0))</f>
        <v>1</v>
      </c>
      <c r="J1745" s="73">
        <f t="shared" ref="J1745" si="900">IF(B1745="","",SUM(D1745:F1745))</f>
        <v>3</v>
      </c>
      <c r="K1745" s="61"/>
      <c r="M1745" s="7">
        <f t="shared" ref="M1745" si="901">SUM(G1745:I1745)/3</f>
        <v>1</v>
      </c>
      <c r="N1745" s="6">
        <f t="shared" ref="N1745" si="902">SUM(G1748:I1748)/3</f>
        <v>1</v>
      </c>
      <c r="O1745" s="7">
        <f t="shared" ref="O1745" si="903">SUM(G1751:I1751)/3</f>
        <v>0.33333333333333331</v>
      </c>
      <c r="P1745" s="6">
        <f t="shared" ref="P1745" si="904">SUM(G1754:I1754)/3</f>
        <v>1</v>
      </c>
      <c r="Q1745" s="7">
        <f t="shared" ref="Q1745" si="905">SUM(G1757:I1757)/3</f>
        <v>1</v>
      </c>
      <c r="R1745" s="7">
        <f>SUM(G1760:I1760)/3</f>
        <v>1</v>
      </c>
    </row>
    <row r="1746" spans="1:18" x14ac:dyDescent="0.25">
      <c r="A1746" s="2"/>
      <c r="B1746" s="37"/>
      <c r="C1746" s="37"/>
      <c r="D1746" s="71"/>
      <c r="E1746" s="71"/>
      <c r="F1746" s="71"/>
      <c r="G1746" s="68" t="str">
        <f t="shared" si="897"/>
        <v/>
      </c>
      <c r="H1746" s="68" t="str">
        <f t="shared" si="898"/>
        <v/>
      </c>
      <c r="I1746" s="68" t="str">
        <f t="shared" si="899"/>
        <v/>
      </c>
      <c r="J1746" s="74" t="str">
        <f t="shared" si="862"/>
        <v/>
      </c>
      <c r="K1746" s="62"/>
    </row>
    <row r="1747" spans="1:18" x14ac:dyDescent="0.25">
      <c r="A1747" s="3"/>
      <c r="B1747" s="42"/>
      <c r="C1747" s="42"/>
      <c r="D1747" s="72"/>
      <c r="E1747" s="72"/>
      <c r="F1747" s="72"/>
      <c r="G1747" s="69" t="str">
        <f t="shared" si="897"/>
        <v/>
      </c>
      <c r="H1747" s="69" t="str">
        <f t="shared" si="898"/>
        <v/>
      </c>
      <c r="I1747" s="69" t="str">
        <f t="shared" si="899"/>
        <v/>
      </c>
      <c r="J1747" s="75" t="str">
        <f t="shared" si="862"/>
        <v/>
      </c>
      <c r="K1747" s="63"/>
    </row>
    <row r="1748" spans="1:18" x14ac:dyDescent="0.25">
      <c r="A1748" s="4" t="s">
        <v>5</v>
      </c>
      <c r="B1748" s="33" t="s">
        <v>708</v>
      </c>
      <c r="C1748" s="33"/>
      <c r="D1748" s="70">
        <v>1</v>
      </c>
      <c r="E1748" s="70">
        <v>1</v>
      </c>
      <c r="F1748" s="70">
        <v>1</v>
      </c>
      <c r="G1748" s="67">
        <f t="shared" si="897"/>
        <v>1</v>
      </c>
      <c r="H1748" s="67">
        <f t="shared" si="898"/>
        <v>1</v>
      </c>
      <c r="I1748" s="67">
        <f t="shared" si="899"/>
        <v>1</v>
      </c>
      <c r="J1748" s="73">
        <f t="shared" si="862"/>
        <v>3</v>
      </c>
      <c r="K1748" s="61"/>
    </row>
    <row r="1749" spans="1:18" x14ac:dyDescent="0.25">
      <c r="A1749" s="2"/>
      <c r="B1749" s="37"/>
      <c r="C1749" s="37"/>
      <c r="D1749" s="71"/>
      <c r="E1749" s="71"/>
      <c r="F1749" s="71"/>
      <c r="G1749" s="68" t="str">
        <f t="shared" si="897"/>
        <v/>
      </c>
      <c r="H1749" s="68" t="str">
        <f t="shared" si="898"/>
        <v/>
      </c>
      <c r="I1749" s="68" t="str">
        <f t="shared" si="899"/>
        <v/>
      </c>
      <c r="J1749" s="74" t="str">
        <f t="shared" si="862"/>
        <v/>
      </c>
      <c r="K1749" s="62"/>
    </row>
    <row r="1750" spans="1:18" x14ac:dyDescent="0.25">
      <c r="A1750" s="3"/>
      <c r="B1750" s="40"/>
      <c r="C1750" s="37"/>
      <c r="D1750" s="71"/>
      <c r="E1750" s="71"/>
      <c r="F1750" s="71"/>
      <c r="G1750" s="69" t="str">
        <f t="shared" si="897"/>
        <v/>
      </c>
      <c r="H1750" s="69" t="str">
        <f t="shared" si="898"/>
        <v/>
      </c>
      <c r="I1750" s="69" t="str">
        <f t="shared" si="899"/>
        <v/>
      </c>
      <c r="J1750" s="75" t="str">
        <f t="shared" ref="J1750:J1819" si="906">IF(B1750="","",SUM(D1750:F1750))</f>
        <v/>
      </c>
      <c r="K1750" s="63"/>
    </row>
    <row r="1751" spans="1:18" x14ac:dyDescent="0.25">
      <c r="A1751" s="4" t="s">
        <v>7</v>
      </c>
      <c r="B1751" s="33" t="s">
        <v>1031</v>
      </c>
      <c r="C1751" s="33"/>
      <c r="D1751" s="70">
        <v>1</v>
      </c>
      <c r="E1751" s="70">
        <v>1</v>
      </c>
      <c r="F1751" s="70">
        <v>0</v>
      </c>
      <c r="G1751" s="67">
        <f t="shared" si="897"/>
        <v>1</v>
      </c>
      <c r="H1751" s="67">
        <f t="shared" si="898"/>
        <v>0</v>
      </c>
      <c r="I1751" s="67">
        <f t="shared" si="899"/>
        <v>0</v>
      </c>
      <c r="J1751" s="73">
        <f t="shared" si="906"/>
        <v>2</v>
      </c>
      <c r="K1751" s="61"/>
    </row>
    <row r="1752" spans="1:18" x14ac:dyDescent="0.25">
      <c r="A1752" s="2"/>
      <c r="B1752" s="37" t="s">
        <v>709</v>
      </c>
      <c r="C1752" s="37"/>
      <c r="D1752" s="71">
        <v>1</v>
      </c>
      <c r="E1752" s="71">
        <v>0</v>
      </c>
      <c r="F1752" s="71">
        <v>1</v>
      </c>
      <c r="G1752" s="68">
        <f t="shared" si="897"/>
        <v>0</v>
      </c>
      <c r="H1752" s="68">
        <f t="shared" si="898"/>
        <v>1</v>
      </c>
      <c r="I1752" s="68">
        <f t="shared" si="899"/>
        <v>0</v>
      </c>
      <c r="J1752" s="74">
        <f t="shared" si="906"/>
        <v>2</v>
      </c>
      <c r="K1752" s="62"/>
    </row>
    <row r="1753" spans="1:18" x14ac:dyDescent="0.25">
      <c r="A1753" s="3"/>
      <c r="B1753" s="40"/>
      <c r="C1753" s="40"/>
      <c r="D1753" s="72"/>
      <c r="E1753" s="72"/>
      <c r="F1753" s="72"/>
      <c r="G1753" s="69" t="str">
        <f t="shared" si="897"/>
        <v/>
      </c>
      <c r="H1753" s="69" t="str">
        <f t="shared" si="898"/>
        <v/>
      </c>
      <c r="I1753" s="69" t="str">
        <f t="shared" si="899"/>
        <v/>
      </c>
      <c r="J1753" s="75" t="str">
        <f t="shared" si="906"/>
        <v/>
      </c>
      <c r="K1753" s="63"/>
    </row>
    <row r="1754" spans="1:18" x14ac:dyDescent="0.25">
      <c r="A1754" s="4" t="s">
        <v>8</v>
      </c>
      <c r="B1754" s="37" t="s">
        <v>176</v>
      </c>
      <c r="C1754" s="37"/>
      <c r="D1754" s="70">
        <v>1</v>
      </c>
      <c r="E1754" s="70">
        <v>1</v>
      </c>
      <c r="F1754" s="70">
        <v>1</v>
      </c>
      <c r="G1754" s="67">
        <f t="shared" si="897"/>
        <v>1</v>
      </c>
      <c r="H1754" s="67">
        <f t="shared" si="898"/>
        <v>1</v>
      </c>
      <c r="I1754" s="67">
        <f t="shared" si="899"/>
        <v>1</v>
      </c>
      <c r="J1754" s="73">
        <f t="shared" si="906"/>
        <v>3</v>
      </c>
      <c r="K1754" s="61"/>
    </row>
    <row r="1755" spans="1:18" x14ac:dyDescent="0.25">
      <c r="A1755" s="2"/>
      <c r="B1755" s="37"/>
      <c r="C1755" s="37"/>
      <c r="D1755" s="71"/>
      <c r="E1755" s="71"/>
      <c r="F1755" s="71"/>
      <c r="G1755" s="68" t="str">
        <f t="shared" si="897"/>
        <v/>
      </c>
      <c r="H1755" s="68" t="str">
        <f t="shared" si="898"/>
        <v/>
      </c>
      <c r="I1755" s="68" t="str">
        <f t="shared" si="899"/>
        <v/>
      </c>
      <c r="J1755" s="74" t="str">
        <f t="shared" si="906"/>
        <v/>
      </c>
      <c r="K1755" s="62"/>
    </row>
    <row r="1756" spans="1:18" x14ac:dyDescent="0.25">
      <c r="A1756" s="3"/>
      <c r="B1756" s="40"/>
      <c r="C1756" s="40"/>
      <c r="D1756" s="72"/>
      <c r="E1756" s="72"/>
      <c r="F1756" s="72"/>
      <c r="G1756" s="69" t="str">
        <f t="shared" si="897"/>
        <v/>
      </c>
      <c r="H1756" s="69" t="str">
        <f t="shared" si="898"/>
        <v/>
      </c>
      <c r="I1756" s="69" t="str">
        <f t="shared" si="899"/>
        <v/>
      </c>
      <c r="J1756" s="75" t="str">
        <f t="shared" si="906"/>
        <v/>
      </c>
      <c r="K1756" s="63"/>
    </row>
    <row r="1757" spans="1:18" x14ac:dyDescent="0.25">
      <c r="A1757" s="2" t="s">
        <v>9</v>
      </c>
      <c r="B1757" s="37" t="s">
        <v>1092</v>
      </c>
      <c r="C1757" s="37"/>
      <c r="D1757" s="71">
        <v>1</v>
      </c>
      <c r="E1757" s="71">
        <v>1</v>
      </c>
      <c r="F1757" s="71">
        <v>1</v>
      </c>
      <c r="G1757" s="68">
        <f t="shared" si="897"/>
        <v>1</v>
      </c>
      <c r="H1757" s="68">
        <f t="shared" si="898"/>
        <v>1</v>
      </c>
      <c r="I1757" s="68">
        <f t="shared" si="899"/>
        <v>1</v>
      </c>
      <c r="J1757" s="74">
        <f t="shared" si="906"/>
        <v>3</v>
      </c>
      <c r="K1757" s="62"/>
    </row>
    <row r="1758" spans="1:18" x14ac:dyDescent="0.25">
      <c r="A1758" s="2"/>
      <c r="B1758" s="37"/>
      <c r="C1758" s="37"/>
      <c r="D1758" s="71"/>
      <c r="E1758" s="71"/>
      <c r="F1758" s="71"/>
      <c r="G1758" s="68" t="str">
        <f t="shared" si="897"/>
        <v/>
      </c>
      <c r="H1758" s="68" t="str">
        <f t="shared" si="898"/>
        <v/>
      </c>
      <c r="I1758" s="68" t="str">
        <f t="shared" si="899"/>
        <v/>
      </c>
      <c r="J1758" s="74" t="str">
        <f t="shared" si="906"/>
        <v/>
      </c>
      <c r="K1758" s="62"/>
    </row>
    <row r="1759" spans="1:18" x14ac:dyDescent="0.25">
      <c r="A1759" s="3"/>
      <c r="B1759" s="40"/>
      <c r="C1759" s="40"/>
      <c r="D1759" s="72"/>
      <c r="E1759" s="72"/>
      <c r="F1759" s="72"/>
      <c r="G1759" s="69" t="str">
        <f t="shared" si="897"/>
        <v/>
      </c>
      <c r="H1759" s="69" t="str">
        <f t="shared" si="898"/>
        <v/>
      </c>
      <c r="I1759" s="69" t="str">
        <f t="shared" si="899"/>
        <v/>
      </c>
      <c r="J1759" s="75" t="str">
        <f t="shared" si="906"/>
        <v/>
      </c>
      <c r="K1759" s="63"/>
    </row>
    <row r="1760" spans="1:18" x14ac:dyDescent="0.25">
      <c r="A1760" s="2" t="s">
        <v>1224</v>
      </c>
      <c r="B1760" s="82" t="s">
        <v>177</v>
      </c>
      <c r="C1760" s="82"/>
      <c r="D1760" s="71">
        <v>1</v>
      </c>
      <c r="E1760" s="71">
        <v>1</v>
      </c>
      <c r="F1760" s="71">
        <v>1</v>
      </c>
      <c r="G1760" s="68">
        <f t="shared" si="897"/>
        <v>1</v>
      </c>
      <c r="H1760" s="68">
        <f t="shared" si="898"/>
        <v>1</v>
      </c>
      <c r="I1760" s="68">
        <f t="shared" si="899"/>
        <v>1</v>
      </c>
      <c r="J1760" s="74">
        <f t="shared" ref="J1760:J1762" si="907">IF(B1760="","",SUM(D1760:F1760))</f>
        <v>3</v>
      </c>
      <c r="K1760" s="62"/>
    </row>
    <row r="1761" spans="1:18" x14ac:dyDescent="0.25">
      <c r="A1761" s="2"/>
      <c r="B1761" s="37"/>
      <c r="C1761" s="37"/>
      <c r="D1761" s="71"/>
      <c r="E1761" s="71"/>
      <c r="F1761" s="71"/>
      <c r="G1761" s="68" t="str">
        <f t="shared" si="897"/>
        <v/>
      </c>
      <c r="H1761" s="68" t="str">
        <f t="shared" si="898"/>
        <v/>
      </c>
      <c r="I1761" s="68" t="str">
        <f t="shared" si="899"/>
        <v/>
      </c>
      <c r="J1761" s="74" t="str">
        <f t="shared" si="907"/>
        <v/>
      </c>
      <c r="K1761" s="62"/>
    </row>
    <row r="1762" spans="1:18" x14ac:dyDescent="0.25">
      <c r="A1762" s="3"/>
      <c r="B1762" s="40"/>
      <c r="C1762" s="40"/>
      <c r="D1762" s="72"/>
      <c r="E1762" s="72"/>
      <c r="F1762" s="72"/>
      <c r="G1762" s="69" t="str">
        <f t="shared" si="897"/>
        <v/>
      </c>
      <c r="H1762" s="69" t="str">
        <f t="shared" si="898"/>
        <v/>
      </c>
      <c r="I1762" s="69" t="str">
        <f t="shared" si="899"/>
        <v/>
      </c>
      <c r="J1762" s="75" t="str">
        <f t="shared" si="907"/>
        <v/>
      </c>
      <c r="K1762" s="63"/>
    </row>
    <row r="1764" spans="1:18" x14ac:dyDescent="0.25">
      <c r="A1764" s="81">
        <v>89</v>
      </c>
      <c r="B1764" s="49" t="s">
        <v>1205</v>
      </c>
      <c r="C1764" s="31" t="s">
        <v>1483</v>
      </c>
      <c r="D1764" s="76"/>
      <c r="E1764" s="66"/>
      <c r="F1764" s="66"/>
      <c r="G1764" s="66"/>
      <c r="H1764" s="66"/>
      <c r="I1764" s="66"/>
      <c r="J1764" s="60"/>
      <c r="K1764" s="60"/>
    </row>
    <row r="1765" spans="1:18" x14ac:dyDescent="0.25">
      <c r="A1765" s="4" t="s">
        <v>6</v>
      </c>
      <c r="B1765" s="37" t="s">
        <v>173</v>
      </c>
      <c r="C1765" s="37"/>
      <c r="D1765" s="70">
        <v>1</v>
      </c>
      <c r="E1765" s="70">
        <v>1</v>
      </c>
      <c r="F1765" s="70">
        <v>1</v>
      </c>
      <c r="G1765" s="67">
        <f t="shared" ref="G1765:G1782" si="908">IF(B1765="","",IF( AND(D1765=1, E1765=1),1,0))</f>
        <v>1</v>
      </c>
      <c r="H1765" s="67">
        <f t="shared" ref="H1765:H1782" si="909">IF(B1765="","",IF(AND(D1765=1,F1765=1),1,0))</f>
        <v>1</v>
      </c>
      <c r="I1765" s="67">
        <f t="shared" ref="I1765:I1782" si="910">IF(B1765="","",IF(AND(E1765=1,F1765=1),1,0))</f>
        <v>1</v>
      </c>
      <c r="J1765" s="73">
        <f t="shared" ref="J1765" si="911">IF(B1765="","",SUM(D1765:F1765))</f>
        <v>3</v>
      </c>
      <c r="K1765" s="61"/>
      <c r="M1765" s="7">
        <f t="shared" ref="M1765" si="912">SUM(G1765:I1765)/3</f>
        <v>1</v>
      </c>
      <c r="N1765" s="6">
        <f t="shared" ref="N1765" si="913">SUM(G1768:I1768)/3</f>
        <v>1</v>
      </c>
      <c r="O1765" s="7">
        <f t="shared" ref="O1765" si="914">SUM(G1771:I1771)/3</f>
        <v>1</v>
      </c>
      <c r="P1765" s="6">
        <f t="shared" ref="P1765" si="915">SUM(G1774:I1774)/3</f>
        <v>1</v>
      </c>
      <c r="Q1765" s="7">
        <f t="shared" ref="Q1765" si="916">SUM(G1777:I1777)/3</f>
        <v>1</v>
      </c>
      <c r="R1765" s="7">
        <f>SUM(G1780:I1780)/3</f>
        <v>1</v>
      </c>
    </row>
    <row r="1766" spans="1:18" x14ac:dyDescent="0.25">
      <c r="A1766" s="2"/>
      <c r="B1766" s="37"/>
      <c r="C1766" s="37"/>
      <c r="D1766" s="71"/>
      <c r="E1766" s="71"/>
      <c r="F1766" s="71"/>
      <c r="G1766" s="68" t="str">
        <f t="shared" si="908"/>
        <v/>
      </c>
      <c r="H1766" s="68" t="str">
        <f t="shared" si="909"/>
        <v/>
      </c>
      <c r="I1766" s="68" t="str">
        <f t="shared" si="910"/>
        <v/>
      </c>
      <c r="J1766" s="74" t="str">
        <f t="shared" si="906"/>
        <v/>
      </c>
      <c r="K1766" s="62"/>
    </row>
    <row r="1767" spans="1:18" x14ac:dyDescent="0.25">
      <c r="A1767" s="3"/>
      <c r="B1767" s="42"/>
      <c r="C1767" s="42"/>
      <c r="D1767" s="72"/>
      <c r="E1767" s="72"/>
      <c r="F1767" s="72"/>
      <c r="G1767" s="69" t="str">
        <f t="shared" si="908"/>
        <v/>
      </c>
      <c r="H1767" s="69" t="str">
        <f t="shared" si="909"/>
        <v/>
      </c>
      <c r="I1767" s="69" t="str">
        <f t="shared" si="910"/>
        <v/>
      </c>
      <c r="J1767" s="75" t="str">
        <f t="shared" si="906"/>
        <v/>
      </c>
      <c r="K1767" s="63"/>
    </row>
    <row r="1768" spans="1:18" x14ac:dyDescent="0.25">
      <c r="A1768" s="4" t="s">
        <v>5</v>
      </c>
      <c r="B1768" s="33" t="s">
        <v>37</v>
      </c>
      <c r="C1768" s="33"/>
      <c r="D1768" s="70">
        <v>1</v>
      </c>
      <c r="E1768" s="70">
        <v>1</v>
      </c>
      <c r="F1768" s="70">
        <v>1</v>
      </c>
      <c r="G1768" s="67">
        <f t="shared" si="908"/>
        <v>1</v>
      </c>
      <c r="H1768" s="67">
        <f t="shared" si="909"/>
        <v>1</v>
      </c>
      <c r="I1768" s="67">
        <f t="shared" si="910"/>
        <v>1</v>
      </c>
      <c r="J1768" s="73">
        <f t="shared" si="906"/>
        <v>3</v>
      </c>
      <c r="K1768" s="61"/>
    </row>
    <row r="1769" spans="1:18" x14ac:dyDescent="0.25">
      <c r="A1769" s="2"/>
      <c r="B1769" s="37"/>
      <c r="C1769" s="37"/>
      <c r="D1769" s="71"/>
      <c r="E1769" s="71"/>
      <c r="F1769" s="71"/>
      <c r="G1769" s="68" t="str">
        <f t="shared" si="908"/>
        <v/>
      </c>
      <c r="H1769" s="68" t="str">
        <f t="shared" si="909"/>
        <v/>
      </c>
      <c r="I1769" s="68" t="str">
        <f t="shared" si="910"/>
        <v/>
      </c>
      <c r="J1769" s="74" t="str">
        <f t="shared" si="906"/>
        <v/>
      </c>
      <c r="K1769" s="62"/>
    </row>
    <row r="1770" spans="1:18" x14ac:dyDescent="0.25">
      <c r="A1770" s="3"/>
      <c r="B1770" s="40"/>
      <c r="C1770" s="37"/>
      <c r="D1770" s="71"/>
      <c r="E1770" s="71"/>
      <c r="F1770" s="71"/>
      <c r="G1770" s="69" t="str">
        <f t="shared" si="908"/>
        <v/>
      </c>
      <c r="H1770" s="69" t="str">
        <f t="shared" si="909"/>
        <v/>
      </c>
      <c r="I1770" s="69" t="str">
        <f t="shared" si="910"/>
        <v/>
      </c>
      <c r="J1770" s="75" t="str">
        <f t="shared" si="906"/>
        <v/>
      </c>
      <c r="K1770" s="63"/>
    </row>
    <row r="1771" spans="1:18" x14ac:dyDescent="0.25">
      <c r="A1771" s="4" t="s">
        <v>7</v>
      </c>
      <c r="B1771" s="33" t="s">
        <v>1025</v>
      </c>
      <c r="C1771" s="33"/>
      <c r="D1771" s="70">
        <v>1</v>
      </c>
      <c r="E1771" s="70">
        <v>1</v>
      </c>
      <c r="F1771" s="70">
        <v>1</v>
      </c>
      <c r="G1771" s="67">
        <f t="shared" si="908"/>
        <v>1</v>
      </c>
      <c r="H1771" s="67">
        <f t="shared" si="909"/>
        <v>1</v>
      </c>
      <c r="I1771" s="67">
        <f t="shared" si="910"/>
        <v>1</v>
      </c>
      <c r="J1771" s="73">
        <f t="shared" si="906"/>
        <v>3</v>
      </c>
      <c r="K1771" s="61"/>
    </row>
    <row r="1772" spans="1:18" x14ac:dyDescent="0.25">
      <c r="A1772" s="2"/>
      <c r="B1772" s="37"/>
      <c r="C1772" s="37"/>
      <c r="D1772" s="71"/>
      <c r="E1772" s="71"/>
      <c r="F1772" s="71"/>
      <c r="G1772" s="68" t="str">
        <f t="shared" si="908"/>
        <v/>
      </c>
      <c r="H1772" s="68" t="str">
        <f t="shared" si="909"/>
        <v/>
      </c>
      <c r="I1772" s="68" t="str">
        <f t="shared" si="910"/>
        <v/>
      </c>
      <c r="J1772" s="74" t="str">
        <f t="shared" si="906"/>
        <v/>
      </c>
      <c r="K1772" s="62"/>
    </row>
    <row r="1773" spans="1:18" x14ac:dyDescent="0.25">
      <c r="A1773" s="3"/>
      <c r="B1773" s="40"/>
      <c r="C1773" s="40"/>
      <c r="D1773" s="72"/>
      <c r="E1773" s="72"/>
      <c r="F1773" s="72"/>
      <c r="G1773" s="69" t="str">
        <f t="shared" si="908"/>
        <v/>
      </c>
      <c r="H1773" s="69" t="str">
        <f t="shared" si="909"/>
        <v/>
      </c>
      <c r="I1773" s="69" t="str">
        <f t="shared" si="910"/>
        <v/>
      </c>
      <c r="J1773" s="75" t="str">
        <f t="shared" si="906"/>
        <v/>
      </c>
      <c r="K1773" s="63"/>
    </row>
    <row r="1774" spans="1:18" x14ac:dyDescent="0.25">
      <c r="A1774" s="4" t="s">
        <v>8</v>
      </c>
      <c r="B1774" s="37" t="s">
        <v>176</v>
      </c>
      <c r="C1774" s="37"/>
      <c r="D1774" s="70">
        <v>1</v>
      </c>
      <c r="E1774" s="70">
        <v>1</v>
      </c>
      <c r="F1774" s="70">
        <v>1</v>
      </c>
      <c r="G1774" s="67">
        <f t="shared" si="908"/>
        <v>1</v>
      </c>
      <c r="H1774" s="67">
        <f t="shared" si="909"/>
        <v>1</v>
      </c>
      <c r="I1774" s="67">
        <f t="shared" si="910"/>
        <v>1</v>
      </c>
      <c r="J1774" s="73">
        <f t="shared" si="906"/>
        <v>3</v>
      </c>
      <c r="K1774" s="61"/>
    </row>
    <row r="1775" spans="1:18" x14ac:dyDescent="0.25">
      <c r="A1775" s="2"/>
      <c r="B1775" s="37"/>
      <c r="C1775" s="37"/>
      <c r="D1775" s="71"/>
      <c r="E1775" s="71"/>
      <c r="F1775" s="71"/>
      <c r="G1775" s="68" t="str">
        <f t="shared" si="908"/>
        <v/>
      </c>
      <c r="H1775" s="68" t="str">
        <f t="shared" si="909"/>
        <v/>
      </c>
      <c r="I1775" s="68" t="str">
        <f t="shared" si="910"/>
        <v/>
      </c>
      <c r="J1775" s="74" t="str">
        <f t="shared" si="906"/>
        <v/>
      </c>
      <c r="K1775" s="62"/>
    </row>
    <row r="1776" spans="1:18" x14ac:dyDescent="0.25">
      <c r="A1776" s="3"/>
      <c r="B1776" s="40"/>
      <c r="C1776" s="40"/>
      <c r="D1776" s="72"/>
      <c r="E1776" s="72"/>
      <c r="F1776" s="72"/>
      <c r="G1776" s="69" t="str">
        <f t="shared" si="908"/>
        <v/>
      </c>
      <c r="H1776" s="69" t="str">
        <f t="shared" si="909"/>
        <v/>
      </c>
      <c r="I1776" s="69" t="str">
        <f t="shared" si="910"/>
        <v/>
      </c>
      <c r="J1776" s="75" t="str">
        <f t="shared" si="906"/>
        <v/>
      </c>
      <c r="K1776" s="63"/>
    </row>
    <row r="1777" spans="1:18" x14ac:dyDescent="0.25">
      <c r="A1777" s="2" t="s">
        <v>9</v>
      </c>
      <c r="B1777" s="37" t="s">
        <v>710</v>
      </c>
      <c r="C1777" s="37"/>
      <c r="D1777" s="71">
        <v>1</v>
      </c>
      <c r="E1777" s="71">
        <v>1</v>
      </c>
      <c r="F1777" s="71">
        <v>1</v>
      </c>
      <c r="G1777" s="68">
        <f t="shared" si="908"/>
        <v>1</v>
      </c>
      <c r="H1777" s="68">
        <f t="shared" si="909"/>
        <v>1</v>
      </c>
      <c r="I1777" s="68">
        <f t="shared" si="910"/>
        <v>1</v>
      </c>
      <c r="J1777" s="74">
        <f t="shared" si="906"/>
        <v>3</v>
      </c>
      <c r="K1777" s="62"/>
    </row>
    <row r="1778" spans="1:18" x14ac:dyDescent="0.25">
      <c r="A1778" s="2"/>
      <c r="B1778" s="37"/>
      <c r="C1778" s="37"/>
      <c r="D1778" s="71"/>
      <c r="E1778" s="71"/>
      <c r="F1778" s="71"/>
      <c r="G1778" s="68" t="str">
        <f t="shared" si="908"/>
        <v/>
      </c>
      <c r="H1778" s="68" t="str">
        <f t="shared" si="909"/>
        <v/>
      </c>
      <c r="I1778" s="68" t="str">
        <f t="shared" si="910"/>
        <v/>
      </c>
      <c r="J1778" s="74" t="str">
        <f t="shared" si="906"/>
        <v/>
      </c>
      <c r="K1778" s="62"/>
    </row>
    <row r="1779" spans="1:18" x14ac:dyDescent="0.25">
      <c r="A1779" s="3"/>
      <c r="B1779" s="40"/>
      <c r="C1779" s="40"/>
      <c r="D1779" s="72"/>
      <c r="E1779" s="72"/>
      <c r="F1779" s="72"/>
      <c r="G1779" s="69" t="str">
        <f t="shared" si="908"/>
        <v/>
      </c>
      <c r="H1779" s="69" t="str">
        <f t="shared" si="909"/>
        <v/>
      </c>
      <c r="I1779" s="69" t="str">
        <f t="shared" si="910"/>
        <v/>
      </c>
      <c r="J1779" s="75" t="str">
        <f t="shared" si="906"/>
        <v/>
      </c>
      <c r="K1779" s="63"/>
    </row>
    <row r="1780" spans="1:18" x14ac:dyDescent="0.25">
      <c r="A1780" s="2" t="s">
        <v>1224</v>
      </c>
      <c r="B1780" s="37" t="s">
        <v>1105</v>
      </c>
      <c r="C1780" s="37"/>
      <c r="D1780" s="71">
        <v>1</v>
      </c>
      <c r="E1780" s="71">
        <v>1</v>
      </c>
      <c r="F1780" s="71">
        <v>1</v>
      </c>
      <c r="G1780" s="68">
        <f t="shared" si="908"/>
        <v>1</v>
      </c>
      <c r="H1780" s="68">
        <f t="shared" si="909"/>
        <v>1</v>
      </c>
      <c r="I1780" s="68">
        <f t="shared" si="910"/>
        <v>1</v>
      </c>
      <c r="J1780" s="74">
        <f t="shared" ref="J1780:J1782" si="917">IF(B1780="","",SUM(D1780:F1780))</f>
        <v>3</v>
      </c>
      <c r="K1780" s="62"/>
    </row>
    <row r="1781" spans="1:18" x14ac:dyDescent="0.25">
      <c r="A1781" s="2"/>
      <c r="B1781" s="37"/>
      <c r="C1781" s="37"/>
      <c r="D1781" s="71"/>
      <c r="E1781" s="71"/>
      <c r="F1781" s="71"/>
      <c r="G1781" s="68" t="str">
        <f t="shared" si="908"/>
        <v/>
      </c>
      <c r="H1781" s="68" t="str">
        <f t="shared" si="909"/>
        <v/>
      </c>
      <c r="I1781" s="68" t="str">
        <f t="shared" si="910"/>
        <v/>
      </c>
      <c r="J1781" s="74" t="str">
        <f t="shared" si="917"/>
        <v/>
      </c>
      <c r="K1781" s="62"/>
    </row>
    <row r="1782" spans="1:18" x14ac:dyDescent="0.25">
      <c r="A1782" s="3"/>
      <c r="B1782" s="40"/>
      <c r="C1782" s="40"/>
      <c r="D1782" s="72"/>
      <c r="E1782" s="72"/>
      <c r="F1782" s="72"/>
      <c r="G1782" s="69" t="str">
        <f t="shared" si="908"/>
        <v/>
      </c>
      <c r="H1782" s="69" t="str">
        <f t="shared" si="909"/>
        <v/>
      </c>
      <c r="I1782" s="69" t="str">
        <f t="shared" si="910"/>
        <v/>
      </c>
      <c r="J1782" s="75" t="str">
        <f t="shared" si="917"/>
        <v/>
      </c>
      <c r="K1782" s="63"/>
    </row>
    <row r="1784" spans="1:18" x14ac:dyDescent="0.25">
      <c r="A1784" s="81">
        <v>90</v>
      </c>
      <c r="B1784" s="49" t="s">
        <v>1206</v>
      </c>
      <c r="C1784" s="31" t="s">
        <v>1484</v>
      </c>
      <c r="D1784" s="76"/>
      <c r="E1784" s="66"/>
      <c r="F1784" s="66"/>
      <c r="G1784" s="66"/>
      <c r="H1784" s="66"/>
      <c r="I1784" s="66"/>
      <c r="J1784" s="60"/>
      <c r="K1784" s="60"/>
    </row>
    <row r="1785" spans="1:18" x14ac:dyDescent="0.25">
      <c r="A1785" s="4" t="s">
        <v>6</v>
      </c>
      <c r="B1785" s="37" t="s">
        <v>711</v>
      </c>
      <c r="C1785" s="37"/>
      <c r="D1785" s="70">
        <v>1</v>
      </c>
      <c r="E1785" s="70">
        <v>1</v>
      </c>
      <c r="F1785" s="70">
        <v>1</v>
      </c>
      <c r="G1785" s="67">
        <f t="shared" ref="G1785:G1802" si="918">IF(B1785="","",IF( AND(D1785=1, E1785=1),1,0))</f>
        <v>1</v>
      </c>
      <c r="H1785" s="67">
        <f t="shared" ref="H1785:H1802" si="919">IF(B1785="","",IF(AND(D1785=1,F1785=1),1,0))</f>
        <v>1</v>
      </c>
      <c r="I1785" s="67">
        <f t="shared" ref="I1785:I1802" si="920">IF(B1785="","",IF(AND(E1785=1,F1785=1),1,0))</f>
        <v>1</v>
      </c>
      <c r="J1785" s="73">
        <f t="shared" ref="J1785" si="921">IF(B1785="","",SUM(D1785:F1785))</f>
        <v>3</v>
      </c>
      <c r="K1785" s="61"/>
      <c r="M1785" s="7">
        <f t="shared" ref="M1785" si="922">SUM(G1785:I1785)/3</f>
        <v>1</v>
      </c>
      <c r="N1785" s="6">
        <f t="shared" ref="N1785" si="923">SUM(G1788:I1788)/3</f>
        <v>0.33333333333333331</v>
      </c>
      <c r="O1785" s="7">
        <f t="shared" ref="O1785" si="924">SUM(G1791:I1791)/3</f>
        <v>1</v>
      </c>
      <c r="P1785" s="6">
        <f t="shared" ref="P1785" si="925">SUM(G1794:I1794)/3</f>
        <v>1</v>
      </c>
      <c r="Q1785" s="7">
        <f t="shared" ref="Q1785" si="926">SUM(G1797:I1797)/3</f>
        <v>1</v>
      </c>
      <c r="R1785" s="7">
        <f>SUM(G1800:I1800)/3</f>
        <v>1</v>
      </c>
    </row>
    <row r="1786" spans="1:18" x14ac:dyDescent="0.25">
      <c r="A1786" s="2"/>
      <c r="B1786" s="37"/>
      <c r="C1786" s="37"/>
      <c r="D1786" s="71"/>
      <c r="E1786" s="71"/>
      <c r="F1786" s="71"/>
      <c r="G1786" s="68" t="str">
        <f t="shared" si="918"/>
        <v/>
      </c>
      <c r="H1786" s="68" t="str">
        <f t="shared" si="919"/>
        <v/>
      </c>
      <c r="I1786" s="68" t="str">
        <f t="shared" si="920"/>
        <v/>
      </c>
      <c r="J1786" s="74" t="str">
        <f t="shared" si="906"/>
        <v/>
      </c>
      <c r="K1786" s="62"/>
    </row>
    <row r="1787" spans="1:18" x14ac:dyDescent="0.25">
      <c r="A1787" s="3"/>
      <c r="B1787" s="42"/>
      <c r="C1787" s="42"/>
      <c r="D1787" s="72"/>
      <c r="E1787" s="72"/>
      <c r="F1787" s="72"/>
      <c r="G1787" s="69" t="str">
        <f t="shared" si="918"/>
        <v/>
      </c>
      <c r="H1787" s="69" t="str">
        <f t="shared" si="919"/>
        <v/>
      </c>
      <c r="I1787" s="69" t="str">
        <f t="shared" si="920"/>
        <v/>
      </c>
      <c r="J1787" s="75" t="str">
        <f t="shared" si="906"/>
        <v/>
      </c>
      <c r="K1787" s="63"/>
    </row>
    <row r="1788" spans="1:18" x14ac:dyDescent="0.25">
      <c r="A1788" s="4" t="s">
        <v>5</v>
      </c>
      <c r="B1788" s="33" t="s">
        <v>967</v>
      </c>
      <c r="C1788" s="33"/>
      <c r="D1788" s="70">
        <v>1</v>
      </c>
      <c r="E1788" s="70">
        <v>1</v>
      </c>
      <c r="F1788" s="70">
        <v>0</v>
      </c>
      <c r="G1788" s="67">
        <f t="shared" si="918"/>
        <v>1</v>
      </c>
      <c r="H1788" s="67">
        <f t="shared" si="919"/>
        <v>0</v>
      </c>
      <c r="I1788" s="67">
        <f t="shared" si="920"/>
        <v>0</v>
      </c>
      <c r="J1788" s="73">
        <f t="shared" si="906"/>
        <v>2</v>
      </c>
      <c r="K1788" s="61"/>
    </row>
    <row r="1789" spans="1:18" x14ac:dyDescent="0.25">
      <c r="A1789" s="2"/>
      <c r="B1789" s="37"/>
      <c r="C1789" s="37"/>
      <c r="D1789" s="71"/>
      <c r="E1789" s="71"/>
      <c r="F1789" s="71"/>
      <c r="G1789" s="68" t="str">
        <f t="shared" si="918"/>
        <v/>
      </c>
      <c r="H1789" s="68" t="str">
        <f t="shared" si="919"/>
        <v/>
      </c>
      <c r="I1789" s="68" t="str">
        <f t="shared" si="920"/>
        <v/>
      </c>
      <c r="J1789" s="74" t="str">
        <f t="shared" si="906"/>
        <v/>
      </c>
      <c r="K1789" s="62"/>
    </row>
    <row r="1790" spans="1:18" x14ac:dyDescent="0.25">
      <c r="A1790" s="3"/>
      <c r="B1790" s="40"/>
      <c r="C1790" s="37"/>
      <c r="D1790" s="71"/>
      <c r="E1790" s="71"/>
      <c r="F1790" s="71"/>
      <c r="G1790" s="69" t="str">
        <f t="shared" si="918"/>
        <v/>
      </c>
      <c r="H1790" s="69" t="str">
        <f t="shared" si="919"/>
        <v/>
      </c>
      <c r="I1790" s="69" t="str">
        <f t="shared" si="920"/>
        <v/>
      </c>
      <c r="J1790" s="75" t="str">
        <f t="shared" si="906"/>
        <v/>
      </c>
      <c r="K1790" s="63"/>
    </row>
    <row r="1791" spans="1:18" x14ac:dyDescent="0.25">
      <c r="A1791" s="4" t="s">
        <v>7</v>
      </c>
      <c r="B1791" s="33" t="s">
        <v>181</v>
      </c>
      <c r="C1791" s="33"/>
      <c r="D1791" s="70">
        <v>1</v>
      </c>
      <c r="E1791" s="70">
        <v>1</v>
      </c>
      <c r="F1791" s="70">
        <v>1</v>
      </c>
      <c r="G1791" s="67">
        <f t="shared" si="918"/>
        <v>1</v>
      </c>
      <c r="H1791" s="67">
        <f t="shared" si="919"/>
        <v>1</v>
      </c>
      <c r="I1791" s="67">
        <f t="shared" si="920"/>
        <v>1</v>
      </c>
      <c r="J1791" s="73">
        <f t="shared" si="906"/>
        <v>3</v>
      </c>
      <c r="K1791" s="61"/>
    </row>
    <row r="1792" spans="1:18" x14ac:dyDescent="0.25">
      <c r="A1792" s="2"/>
      <c r="B1792" s="37"/>
      <c r="C1792" s="37"/>
      <c r="D1792" s="71"/>
      <c r="E1792" s="71"/>
      <c r="F1792" s="71"/>
      <c r="G1792" s="68" t="str">
        <f t="shared" si="918"/>
        <v/>
      </c>
      <c r="H1792" s="68" t="str">
        <f t="shared" si="919"/>
        <v/>
      </c>
      <c r="I1792" s="68" t="str">
        <f t="shared" si="920"/>
        <v/>
      </c>
      <c r="J1792" s="74" t="str">
        <f t="shared" si="906"/>
        <v/>
      </c>
      <c r="K1792" s="62"/>
    </row>
    <row r="1793" spans="1:18" x14ac:dyDescent="0.25">
      <c r="A1793" s="3"/>
      <c r="B1793" s="40"/>
      <c r="C1793" s="40"/>
      <c r="D1793" s="72"/>
      <c r="E1793" s="72"/>
      <c r="F1793" s="72"/>
      <c r="G1793" s="69" t="str">
        <f t="shared" si="918"/>
        <v/>
      </c>
      <c r="H1793" s="69" t="str">
        <f t="shared" si="919"/>
        <v/>
      </c>
      <c r="I1793" s="69" t="str">
        <f t="shared" si="920"/>
        <v/>
      </c>
      <c r="J1793" s="75" t="str">
        <f t="shared" si="906"/>
        <v/>
      </c>
      <c r="K1793" s="63"/>
    </row>
    <row r="1794" spans="1:18" x14ac:dyDescent="0.25">
      <c r="A1794" s="4" t="s">
        <v>8</v>
      </c>
      <c r="B1794" s="37" t="s">
        <v>621</v>
      </c>
      <c r="C1794" s="37"/>
      <c r="D1794" s="70">
        <v>1</v>
      </c>
      <c r="E1794" s="70">
        <v>1</v>
      </c>
      <c r="F1794" s="70">
        <v>1</v>
      </c>
      <c r="G1794" s="67">
        <f t="shared" si="918"/>
        <v>1</v>
      </c>
      <c r="H1794" s="67">
        <f t="shared" si="919"/>
        <v>1</v>
      </c>
      <c r="I1794" s="67">
        <f t="shared" si="920"/>
        <v>1</v>
      </c>
      <c r="J1794" s="73">
        <f t="shared" si="906"/>
        <v>3</v>
      </c>
      <c r="K1794" s="61"/>
    </row>
    <row r="1795" spans="1:18" x14ac:dyDescent="0.25">
      <c r="A1795" s="2"/>
      <c r="B1795" s="37"/>
      <c r="C1795" s="37"/>
      <c r="D1795" s="71"/>
      <c r="E1795" s="71"/>
      <c r="F1795" s="71"/>
      <c r="G1795" s="68" t="str">
        <f t="shared" si="918"/>
        <v/>
      </c>
      <c r="H1795" s="68" t="str">
        <f t="shared" si="919"/>
        <v/>
      </c>
      <c r="I1795" s="68" t="str">
        <f t="shared" si="920"/>
        <v/>
      </c>
      <c r="J1795" s="74" t="str">
        <f t="shared" si="906"/>
        <v/>
      </c>
      <c r="K1795" s="62"/>
    </row>
    <row r="1796" spans="1:18" x14ac:dyDescent="0.25">
      <c r="A1796" s="3"/>
      <c r="B1796" s="40"/>
      <c r="C1796" s="40"/>
      <c r="D1796" s="72"/>
      <c r="E1796" s="72"/>
      <c r="F1796" s="72"/>
      <c r="G1796" s="69" t="str">
        <f t="shared" si="918"/>
        <v/>
      </c>
      <c r="H1796" s="69" t="str">
        <f t="shared" si="919"/>
        <v/>
      </c>
      <c r="I1796" s="69" t="str">
        <f t="shared" si="920"/>
        <v/>
      </c>
      <c r="J1796" s="75" t="str">
        <f t="shared" si="906"/>
        <v/>
      </c>
      <c r="K1796" s="63"/>
    </row>
    <row r="1797" spans="1:18" x14ac:dyDescent="0.25">
      <c r="A1797" s="2" t="s">
        <v>9</v>
      </c>
      <c r="B1797" s="37" t="s">
        <v>1053</v>
      </c>
      <c r="C1797" s="37"/>
      <c r="D1797" s="71">
        <v>1</v>
      </c>
      <c r="E1797" s="71">
        <v>1</v>
      </c>
      <c r="F1797" s="71">
        <v>1</v>
      </c>
      <c r="G1797" s="68">
        <f t="shared" si="918"/>
        <v>1</v>
      </c>
      <c r="H1797" s="68">
        <f t="shared" si="919"/>
        <v>1</v>
      </c>
      <c r="I1797" s="68">
        <f t="shared" si="920"/>
        <v>1</v>
      </c>
      <c r="J1797" s="74">
        <f t="shared" si="906"/>
        <v>3</v>
      </c>
      <c r="K1797" s="62"/>
    </row>
    <row r="1798" spans="1:18" x14ac:dyDescent="0.25">
      <c r="A1798" s="2"/>
      <c r="B1798" s="37"/>
      <c r="C1798" s="37"/>
      <c r="D1798" s="71"/>
      <c r="E1798" s="71"/>
      <c r="F1798" s="71"/>
      <c r="G1798" s="68" t="str">
        <f t="shared" si="918"/>
        <v/>
      </c>
      <c r="H1798" s="68" t="str">
        <f t="shared" si="919"/>
        <v/>
      </c>
      <c r="I1798" s="68" t="str">
        <f t="shared" si="920"/>
        <v/>
      </c>
      <c r="J1798" s="74" t="str">
        <f t="shared" si="906"/>
        <v/>
      </c>
      <c r="K1798" s="62"/>
    </row>
    <row r="1799" spans="1:18" x14ac:dyDescent="0.25">
      <c r="A1799" s="3"/>
      <c r="B1799" s="40"/>
      <c r="C1799" s="40"/>
      <c r="D1799" s="72"/>
      <c r="E1799" s="72"/>
      <c r="F1799" s="72"/>
      <c r="G1799" s="69" t="str">
        <f t="shared" si="918"/>
        <v/>
      </c>
      <c r="H1799" s="69" t="str">
        <f t="shared" si="919"/>
        <v/>
      </c>
      <c r="I1799" s="69" t="str">
        <f t="shared" si="920"/>
        <v/>
      </c>
      <c r="J1799" s="75" t="str">
        <f t="shared" si="906"/>
        <v/>
      </c>
      <c r="K1799" s="63"/>
    </row>
    <row r="1800" spans="1:18" x14ac:dyDescent="0.25">
      <c r="A1800" s="2" t="s">
        <v>1224</v>
      </c>
      <c r="B1800" s="37" t="s">
        <v>711</v>
      </c>
      <c r="C1800" s="37"/>
      <c r="D1800" s="71">
        <v>1</v>
      </c>
      <c r="E1800" s="71">
        <v>1</v>
      </c>
      <c r="F1800" s="71">
        <v>1</v>
      </c>
      <c r="G1800" s="68">
        <f t="shared" si="918"/>
        <v>1</v>
      </c>
      <c r="H1800" s="68">
        <f t="shared" si="919"/>
        <v>1</v>
      </c>
      <c r="I1800" s="68">
        <f t="shared" si="920"/>
        <v>1</v>
      </c>
      <c r="J1800" s="74">
        <f t="shared" ref="J1800:J1802" si="927">IF(B1800="","",SUM(D1800:F1800))</f>
        <v>3</v>
      </c>
      <c r="K1800" s="62"/>
    </row>
    <row r="1801" spans="1:18" x14ac:dyDescent="0.25">
      <c r="A1801" s="2"/>
      <c r="B1801" s="37"/>
      <c r="C1801" s="37"/>
      <c r="D1801" s="71"/>
      <c r="E1801" s="71"/>
      <c r="F1801" s="71"/>
      <c r="G1801" s="68" t="str">
        <f t="shared" si="918"/>
        <v/>
      </c>
      <c r="H1801" s="68" t="str">
        <f t="shared" si="919"/>
        <v/>
      </c>
      <c r="I1801" s="68" t="str">
        <f t="shared" si="920"/>
        <v/>
      </c>
      <c r="J1801" s="74" t="str">
        <f t="shared" si="927"/>
        <v/>
      </c>
      <c r="K1801" s="62"/>
    </row>
    <row r="1802" spans="1:18" x14ac:dyDescent="0.25">
      <c r="A1802" s="3"/>
      <c r="B1802" s="40"/>
      <c r="C1802" s="40"/>
      <c r="D1802" s="72"/>
      <c r="E1802" s="72"/>
      <c r="F1802" s="72"/>
      <c r="G1802" s="69" t="str">
        <f t="shared" si="918"/>
        <v/>
      </c>
      <c r="H1802" s="69" t="str">
        <f t="shared" si="919"/>
        <v/>
      </c>
      <c r="I1802" s="69" t="str">
        <f t="shared" si="920"/>
        <v/>
      </c>
      <c r="J1802" s="75" t="str">
        <f t="shared" si="927"/>
        <v/>
      </c>
      <c r="K1802" s="63"/>
    </row>
    <row r="1804" spans="1:18" x14ac:dyDescent="0.25">
      <c r="A1804" s="81">
        <v>91</v>
      </c>
      <c r="B1804" s="49" t="s">
        <v>1207</v>
      </c>
      <c r="C1804" s="31" t="s">
        <v>1485</v>
      </c>
      <c r="D1804" s="76"/>
      <c r="E1804" s="66"/>
      <c r="F1804" s="66"/>
      <c r="G1804" s="66"/>
      <c r="H1804" s="66"/>
      <c r="I1804" s="66"/>
      <c r="J1804" s="60"/>
      <c r="K1804" s="60"/>
    </row>
    <row r="1805" spans="1:18" x14ac:dyDescent="0.25">
      <c r="A1805" s="4" t="s">
        <v>6</v>
      </c>
      <c r="B1805" s="37" t="s">
        <v>715</v>
      </c>
      <c r="C1805" s="37"/>
      <c r="D1805" s="70">
        <v>1</v>
      </c>
      <c r="E1805" s="70">
        <v>1</v>
      </c>
      <c r="F1805" s="70">
        <v>1</v>
      </c>
      <c r="G1805" s="67">
        <f t="shared" ref="G1805:G1822" si="928">IF(B1805="","",IF( AND(D1805=1, E1805=1),1,0))</f>
        <v>1</v>
      </c>
      <c r="H1805" s="67">
        <f t="shared" ref="H1805:H1822" si="929">IF(B1805="","",IF(AND(D1805=1,F1805=1),1,0))</f>
        <v>1</v>
      </c>
      <c r="I1805" s="67">
        <f t="shared" ref="I1805:I1822" si="930">IF(B1805="","",IF(AND(E1805=1,F1805=1),1,0))</f>
        <v>1</v>
      </c>
      <c r="J1805" s="73">
        <f t="shared" ref="J1805" si="931">IF(B1805="","",SUM(D1805:F1805))</f>
        <v>3</v>
      </c>
      <c r="K1805" s="61"/>
      <c r="M1805" s="7">
        <f t="shared" ref="M1805" si="932">SUM(G1805:I1805)/3</f>
        <v>1</v>
      </c>
      <c r="N1805" s="6">
        <f t="shared" ref="N1805" si="933">SUM(G1808:I1808)/3</f>
        <v>1</v>
      </c>
      <c r="O1805" s="7">
        <f t="shared" ref="O1805" si="934">SUM(G1811:I1811)/3</f>
        <v>1</v>
      </c>
      <c r="P1805" s="6">
        <f t="shared" ref="P1805" si="935">SUM(G1814:I1814)/3</f>
        <v>1</v>
      </c>
      <c r="Q1805" s="7">
        <f t="shared" ref="Q1805:R1805" si="936">SUM(G1817:I1817)/3</f>
        <v>1</v>
      </c>
      <c r="R1805" s="7">
        <f t="shared" si="936"/>
        <v>1.6666666666666667</v>
      </c>
    </row>
    <row r="1806" spans="1:18" x14ac:dyDescent="0.25">
      <c r="A1806" s="2"/>
      <c r="B1806" s="37"/>
      <c r="C1806" s="37"/>
      <c r="D1806" s="71"/>
      <c r="E1806" s="71"/>
      <c r="F1806" s="71"/>
      <c r="G1806" s="68" t="str">
        <f t="shared" si="928"/>
        <v/>
      </c>
      <c r="H1806" s="68" t="str">
        <f t="shared" si="929"/>
        <v/>
      </c>
      <c r="I1806" s="68" t="str">
        <f t="shared" si="930"/>
        <v/>
      </c>
      <c r="J1806" s="74" t="str">
        <f t="shared" si="906"/>
        <v/>
      </c>
      <c r="K1806" s="62"/>
    </row>
    <row r="1807" spans="1:18" x14ac:dyDescent="0.25">
      <c r="A1807" s="3"/>
      <c r="B1807" s="42"/>
      <c r="C1807" s="42"/>
      <c r="D1807" s="72"/>
      <c r="E1807" s="72"/>
      <c r="F1807" s="72"/>
      <c r="G1807" s="69" t="str">
        <f t="shared" si="928"/>
        <v/>
      </c>
      <c r="H1807" s="69" t="str">
        <f t="shared" si="929"/>
        <v/>
      </c>
      <c r="I1807" s="69" t="str">
        <f t="shared" si="930"/>
        <v/>
      </c>
      <c r="J1807" s="75" t="str">
        <f t="shared" si="906"/>
        <v/>
      </c>
      <c r="K1807" s="63"/>
    </row>
    <row r="1808" spans="1:18" x14ac:dyDescent="0.25">
      <c r="A1808" s="4" t="s">
        <v>5</v>
      </c>
      <c r="B1808" s="33" t="s">
        <v>116</v>
      </c>
      <c r="C1808" s="33"/>
      <c r="D1808" s="70">
        <v>1</v>
      </c>
      <c r="E1808" s="70">
        <v>1</v>
      </c>
      <c r="F1808" s="70">
        <v>1</v>
      </c>
      <c r="G1808" s="67">
        <f t="shared" si="928"/>
        <v>1</v>
      </c>
      <c r="H1808" s="67">
        <f t="shared" si="929"/>
        <v>1</v>
      </c>
      <c r="I1808" s="67">
        <f t="shared" si="930"/>
        <v>1</v>
      </c>
      <c r="J1808" s="73">
        <f t="shared" si="906"/>
        <v>3</v>
      </c>
      <c r="K1808" s="61"/>
    </row>
    <row r="1809" spans="1:11" x14ac:dyDescent="0.25">
      <c r="A1809" s="2"/>
      <c r="B1809" s="37"/>
      <c r="C1809" s="37"/>
      <c r="D1809" s="71"/>
      <c r="E1809" s="71"/>
      <c r="F1809" s="71"/>
      <c r="G1809" s="68" t="str">
        <f t="shared" si="928"/>
        <v/>
      </c>
      <c r="H1809" s="68" t="str">
        <f t="shared" si="929"/>
        <v/>
      </c>
      <c r="I1809" s="68" t="str">
        <f t="shared" si="930"/>
        <v/>
      </c>
      <c r="J1809" s="74" t="str">
        <f t="shared" si="906"/>
        <v/>
      </c>
      <c r="K1809" s="62"/>
    </row>
    <row r="1810" spans="1:11" x14ac:dyDescent="0.25">
      <c r="A1810" s="3"/>
      <c r="B1810" s="40"/>
      <c r="C1810" s="37"/>
      <c r="D1810" s="71"/>
      <c r="E1810" s="71"/>
      <c r="F1810" s="71"/>
      <c r="G1810" s="69" t="str">
        <f t="shared" si="928"/>
        <v/>
      </c>
      <c r="H1810" s="69" t="str">
        <f t="shared" si="929"/>
        <v/>
      </c>
      <c r="I1810" s="69" t="str">
        <f t="shared" si="930"/>
        <v/>
      </c>
      <c r="J1810" s="75" t="str">
        <f t="shared" si="906"/>
        <v/>
      </c>
      <c r="K1810" s="63"/>
    </row>
    <row r="1811" spans="1:11" x14ac:dyDescent="0.25">
      <c r="A1811" s="4" t="s">
        <v>7</v>
      </c>
      <c r="B1811" s="33" t="s">
        <v>722</v>
      </c>
      <c r="C1811" s="33"/>
      <c r="D1811" s="70">
        <v>1</v>
      </c>
      <c r="E1811" s="70">
        <v>1</v>
      </c>
      <c r="F1811" s="70">
        <v>1</v>
      </c>
      <c r="G1811" s="67">
        <f t="shared" si="928"/>
        <v>1</v>
      </c>
      <c r="H1811" s="67">
        <f t="shared" si="929"/>
        <v>1</v>
      </c>
      <c r="I1811" s="67">
        <f t="shared" si="930"/>
        <v>1</v>
      </c>
      <c r="J1811" s="73">
        <f t="shared" si="906"/>
        <v>3</v>
      </c>
      <c r="K1811" s="61"/>
    </row>
    <row r="1812" spans="1:11" x14ac:dyDescent="0.25">
      <c r="A1812" s="2"/>
      <c r="B1812" s="37"/>
      <c r="C1812" s="37"/>
      <c r="D1812" s="71"/>
      <c r="E1812" s="71"/>
      <c r="F1812" s="71"/>
      <c r="G1812" s="68" t="str">
        <f t="shared" si="928"/>
        <v/>
      </c>
      <c r="H1812" s="68" t="str">
        <f t="shared" si="929"/>
        <v/>
      </c>
      <c r="I1812" s="68" t="str">
        <f t="shared" si="930"/>
        <v/>
      </c>
      <c r="J1812" s="74" t="str">
        <f t="shared" si="906"/>
        <v/>
      </c>
      <c r="K1812" s="62"/>
    </row>
    <row r="1813" spans="1:11" x14ac:dyDescent="0.25">
      <c r="A1813" s="3"/>
      <c r="B1813" s="40"/>
      <c r="C1813" s="40"/>
      <c r="D1813" s="72"/>
      <c r="E1813" s="72"/>
      <c r="F1813" s="72"/>
      <c r="G1813" s="69" t="str">
        <f t="shared" si="928"/>
        <v/>
      </c>
      <c r="H1813" s="69" t="str">
        <f t="shared" si="929"/>
        <v/>
      </c>
      <c r="I1813" s="69" t="str">
        <f t="shared" si="930"/>
        <v/>
      </c>
      <c r="J1813" s="75" t="str">
        <f t="shared" si="906"/>
        <v/>
      </c>
      <c r="K1813" s="63"/>
    </row>
    <row r="1814" spans="1:11" x14ac:dyDescent="0.25">
      <c r="A1814" s="4" t="s">
        <v>8</v>
      </c>
      <c r="B1814" s="33" t="s">
        <v>200</v>
      </c>
      <c r="C1814" s="33"/>
      <c r="D1814" s="70">
        <v>1</v>
      </c>
      <c r="E1814" s="70">
        <v>1</v>
      </c>
      <c r="F1814" s="70">
        <v>1</v>
      </c>
      <c r="G1814" s="67">
        <f t="shared" si="928"/>
        <v>1</v>
      </c>
      <c r="H1814" s="67">
        <f t="shared" si="929"/>
        <v>1</v>
      </c>
      <c r="I1814" s="67">
        <f t="shared" si="930"/>
        <v>1</v>
      </c>
      <c r="J1814" s="73">
        <f t="shared" si="906"/>
        <v>3</v>
      </c>
      <c r="K1814" s="61"/>
    </row>
    <row r="1815" spans="1:11" x14ac:dyDescent="0.25">
      <c r="A1815" s="2"/>
      <c r="B1815" s="37" t="s">
        <v>542</v>
      </c>
      <c r="C1815" s="37"/>
      <c r="D1815" s="71">
        <v>1</v>
      </c>
      <c r="E1815" s="71"/>
      <c r="F1815" s="71">
        <v>1</v>
      </c>
      <c r="G1815" s="68">
        <f t="shared" si="928"/>
        <v>0</v>
      </c>
      <c r="H1815" s="68">
        <f t="shared" si="929"/>
        <v>1</v>
      </c>
      <c r="I1815" s="68">
        <f t="shared" si="930"/>
        <v>0</v>
      </c>
      <c r="J1815" s="74">
        <f t="shared" si="906"/>
        <v>2</v>
      </c>
      <c r="K1815" s="62"/>
    </row>
    <row r="1816" spans="1:11" x14ac:dyDescent="0.25">
      <c r="A1816" s="3"/>
      <c r="B1816" s="40"/>
      <c r="C1816" s="40"/>
      <c r="D1816" s="72"/>
      <c r="E1816" s="72"/>
      <c r="F1816" s="72"/>
      <c r="G1816" s="69" t="str">
        <f t="shared" si="928"/>
        <v/>
      </c>
      <c r="H1816" s="69" t="str">
        <f t="shared" si="929"/>
        <v/>
      </c>
      <c r="I1816" s="69" t="str">
        <f t="shared" si="930"/>
        <v/>
      </c>
      <c r="J1816" s="75" t="str">
        <f t="shared" si="906"/>
        <v/>
      </c>
      <c r="K1816" s="63"/>
    </row>
    <row r="1817" spans="1:11" x14ac:dyDescent="0.25">
      <c r="A1817" s="2" t="s">
        <v>9</v>
      </c>
      <c r="B1817" s="37" t="s">
        <v>717</v>
      </c>
      <c r="C1817" s="37"/>
      <c r="D1817" s="71">
        <v>1</v>
      </c>
      <c r="E1817" s="71">
        <v>1</v>
      </c>
      <c r="F1817" s="71">
        <v>1</v>
      </c>
      <c r="G1817" s="68">
        <f t="shared" si="928"/>
        <v>1</v>
      </c>
      <c r="H1817" s="68">
        <f t="shared" si="929"/>
        <v>1</v>
      </c>
      <c r="I1817" s="68">
        <f t="shared" si="930"/>
        <v>1</v>
      </c>
      <c r="J1817" s="74">
        <f t="shared" si="906"/>
        <v>3</v>
      </c>
      <c r="K1817" s="62"/>
    </row>
    <row r="1818" spans="1:11" x14ac:dyDescent="0.25">
      <c r="A1818" s="2"/>
      <c r="B1818" s="37"/>
      <c r="C1818" s="37"/>
      <c r="D1818" s="71"/>
      <c r="E1818" s="71"/>
      <c r="F1818" s="71"/>
      <c r="G1818" s="68" t="str">
        <f t="shared" si="928"/>
        <v/>
      </c>
      <c r="H1818" s="68" t="str">
        <f t="shared" si="929"/>
        <v/>
      </c>
      <c r="I1818" s="68" t="str">
        <f t="shared" si="930"/>
        <v/>
      </c>
      <c r="J1818" s="74" t="str">
        <f t="shared" si="906"/>
        <v/>
      </c>
      <c r="K1818" s="62"/>
    </row>
    <row r="1819" spans="1:11" x14ac:dyDescent="0.25">
      <c r="A1819" s="3"/>
      <c r="B1819" s="40"/>
      <c r="C1819" s="40"/>
      <c r="D1819" s="72"/>
      <c r="E1819" s="72"/>
      <c r="F1819" s="72"/>
      <c r="G1819" s="69" t="str">
        <f t="shared" si="928"/>
        <v/>
      </c>
      <c r="H1819" s="69" t="str">
        <f t="shared" si="929"/>
        <v/>
      </c>
      <c r="I1819" s="69" t="str">
        <f t="shared" si="930"/>
        <v/>
      </c>
      <c r="J1819" s="75" t="str">
        <f t="shared" si="906"/>
        <v/>
      </c>
      <c r="K1819" s="63"/>
    </row>
    <row r="1820" spans="1:11" x14ac:dyDescent="0.25">
      <c r="A1820" s="2" t="s">
        <v>1224</v>
      </c>
      <c r="B1820" s="37" t="s">
        <v>1105</v>
      </c>
      <c r="C1820" s="37"/>
      <c r="D1820" s="71">
        <v>1</v>
      </c>
      <c r="E1820" s="71">
        <v>1</v>
      </c>
      <c r="F1820" s="71">
        <v>1</v>
      </c>
      <c r="G1820" s="68">
        <f t="shared" si="928"/>
        <v>1</v>
      </c>
      <c r="H1820" s="68">
        <f t="shared" si="929"/>
        <v>1</v>
      </c>
      <c r="I1820" s="68">
        <f t="shared" si="930"/>
        <v>1</v>
      </c>
      <c r="J1820" s="74">
        <f t="shared" ref="J1820:J1822" si="937">IF(B1820="","",SUM(D1820:F1820))</f>
        <v>3</v>
      </c>
      <c r="K1820" s="62"/>
    </row>
    <row r="1821" spans="1:11" x14ac:dyDescent="0.25">
      <c r="A1821" s="2"/>
      <c r="B1821" s="37"/>
      <c r="C1821" s="37"/>
      <c r="D1821" s="71"/>
      <c r="E1821" s="71"/>
      <c r="F1821" s="71"/>
      <c r="G1821" s="68" t="str">
        <f t="shared" si="928"/>
        <v/>
      </c>
      <c r="H1821" s="68" t="str">
        <f t="shared" si="929"/>
        <v/>
      </c>
      <c r="I1821" s="68" t="str">
        <f t="shared" si="930"/>
        <v/>
      </c>
      <c r="J1821" s="74" t="str">
        <f t="shared" si="937"/>
        <v/>
      </c>
      <c r="K1821" s="62"/>
    </row>
    <row r="1822" spans="1:11" x14ac:dyDescent="0.25">
      <c r="A1822" s="3"/>
      <c r="B1822" s="40"/>
      <c r="C1822" s="40"/>
      <c r="D1822" s="72"/>
      <c r="E1822" s="72"/>
      <c r="F1822" s="72"/>
      <c r="G1822" s="69" t="str">
        <f t="shared" si="928"/>
        <v/>
      </c>
      <c r="H1822" s="69" t="str">
        <f t="shared" si="929"/>
        <v/>
      </c>
      <c r="I1822" s="69" t="str">
        <f t="shared" si="930"/>
        <v/>
      </c>
      <c r="J1822" s="75" t="str">
        <f t="shared" si="937"/>
        <v/>
      </c>
      <c r="K1822" s="63"/>
    </row>
    <row r="1824" spans="1:11" x14ac:dyDescent="0.25">
      <c r="A1824" s="81">
        <v>92</v>
      </c>
      <c r="B1824" s="49" t="s">
        <v>1208</v>
      </c>
      <c r="C1824" s="31" t="s">
        <v>1486</v>
      </c>
      <c r="D1824" s="76"/>
      <c r="E1824" s="66"/>
      <c r="F1824" s="66"/>
      <c r="G1824" s="66"/>
      <c r="H1824" s="66"/>
      <c r="I1824" s="66"/>
      <c r="J1824" s="60"/>
      <c r="K1824" s="60"/>
    </row>
    <row r="1825" spans="1:18" x14ac:dyDescent="0.25">
      <c r="A1825" s="4" t="s">
        <v>6</v>
      </c>
      <c r="B1825" s="37" t="s">
        <v>718</v>
      </c>
      <c r="C1825" s="37"/>
      <c r="D1825" s="70">
        <v>1</v>
      </c>
      <c r="E1825" s="70">
        <v>1</v>
      </c>
      <c r="F1825" s="70">
        <v>1</v>
      </c>
      <c r="G1825" s="67">
        <f t="shared" ref="G1825:G1842" si="938">IF(B1825="","",IF( AND(D1825=1, E1825=1),1,0))</f>
        <v>1</v>
      </c>
      <c r="H1825" s="67">
        <f t="shared" ref="H1825:H1842" si="939">IF(B1825="","",IF(AND(D1825=1,F1825=1),1,0))</f>
        <v>1</v>
      </c>
      <c r="I1825" s="67">
        <f t="shared" ref="I1825:I1842" si="940">IF(B1825="","",IF(AND(E1825=1,F1825=1),1,0))</f>
        <v>1</v>
      </c>
      <c r="J1825" s="73">
        <f t="shared" ref="J1825:J1897" si="941">IF(B1825="","",SUM(D1825:F1825))</f>
        <v>3</v>
      </c>
      <c r="K1825" s="61"/>
      <c r="M1825" s="7">
        <f t="shared" ref="M1825" si="942">SUM(G1825:I1825)/3</f>
        <v>1</v>
      </c>
      <c r="N1825" s="6">
        <f t="shared" ref="N1825" si="943">SUM(G1828:I1828)/3</f>
        <v>1</v>
      </c>
      <c r="O1825" s="7">
        <f t="shared" ref="O1825" si="944">SUM(G1831:I1831)/3</f>
        <v>1</v>
      </c>
      <c r="P1825" s="6">
        <f t="shared" ref="P1825" si="945">SUM(G1834:I1834)/3</f>
        <v>1</v>
      </c>
      <c r="Q1825" s="7">
        <f t="shared" ref="Q1825:R1825" si="946">SUM(G1837:I1837)/3</f>
        <v>0.33333333333333331</v>
      </c>
      <c r="R1825" s="7">
        <f t="shared" si="946"/>
        <v>0.66666666666666663</v>
      </c>
    </row>
    <row r="1826" spans="1:18" x14ac:dyDescent="0.25">
      <c r="A1826" s="2"/>
      <c r="B1826" s="37"/>
      <c r="C1826" s="37"/>
      <c r="D1826" s="71"/>
      <c r="E1826" s="71"/>
      <c r="F1826" s="71"/>
      <c r="G1826" s="68" t="str">
        <f t="shared" si="938"/>
        <v/>
      </c>
      <c r="H1826" s="68" t="str">
        <f t="shared" si="939"/>
        <v/>
      </c>
      <c r="I1826" s="68" t="str">
        <f t="shared" si="940"/>
        <v/>
      </c>
      <c r="J1826" s="74" t="str">
        <f t="shared" si="941"/>
        <v/>
      </c>
      <c r="K1826" s="62"/>
    </row>
    <row r="1827" spans="1:18" x14ac:dyDescent="0.25">
      <c r="A1827" s="3"/>
      <c r="B1827" s="42"/>
      <c r="C1827" s="42"/>
      <c r="D1827" s="72"/>
      <c r="E1827" s="72"/>
      <c r="F1827" s="72"/>
      <c r="G1827" s="69" t="str">
        <f t="shared" si="938"/>
        <v/>
      </c>
      <c r="H1827" s="69" t="str">
        <f t="shared" si="939"/>
        <v/>
      </c>
      <c r="I1827" s="69" t="str">
        <f t="shared" si="940"/>
        <v/>
      </c>
      <c r="J1827" s="75" t="str">
        <f t="shared" si="941"/>
        <v/>
      </c>
      <c r="K1827" s="63"/>
    </row>
    <row r="1828" spans="1:18" x14ac:dyDescent="0.25">
      <c r="A1828" s="4" t="s">
        <v>5</v>
      </c>
      <c r="B1828" s="33" t="s">
        <v>116</v>
      </c>
      <c r="C1828" s="33"/>
      <c r="D1828" s="70">
        <v>1</v>
      </c>
      <c r="E1828" s="70">
        <v>1</v>
      </c>
      <c r="F1828" s="70">
        <v>1</v>
      </c>
      <c r="G1828" s="67">
        <f t="shared" si="938"/>
        <v>1</v>
      </c>
      <c r="H1828" s="67">
        <f t="shared" si="939"/>
        <v>1</v>
      </c>
      <c r="I1828" s="67">
        <f t="shared" si="940"/>
        <v>1</v>
      </c>
      <c r="J1828" s="73">
        <f t="shared" si="941"/>
        <v>3</v>
      </c>
      <c r="K1828" s="61"/>
    </row>
    <row r="1829" spans="1:18" x14ac:dyDescent="0.25">
      <c r="A1829" s="2"/>
      <c r="B1829" s="37"/>
      <c r="C1829" s="37"/>
      <c r="D1829" s="71"/>
      <c r="E1829" s="71"/>
      <c r="F1829" s="71"/>
      <c r="G1829" s="68" t="str">
        <f t="shared" si="938"/>
        <v/>
      </c>
      <c r="H1829" s="68" t="str">
        <f t="shared" si="939"/>
        <v/>
      </c>
      <c r="I1829" s="68" t="str">
        <f t="shared" si="940"/>
        <v/>
      </c>
      <c r="J1829" s="74" t="str">
        <f t="shared" si="941"/>
        <v/>
      </c>
      <c r="K1829" s="62"/>
    </row>
    <row r="1830" spans="1:18" x14ac:dyDescent="0.25">
      <c r="A1830" s="3"/>
      <c r="B1830" s="40"/>
      <c r="C1830" s="37"/>
      <c r="D1830" s="71"/>
      <c r="E1830" s="71"/>
      <c r="F1830" s="71"/>
      <c r="G1830" s="69" t="str">
        <f t="shared" si="938"/>
        <v/>
      </c>
      <c r="H1830" s="69" t="str">
        <f t="shared" si="939"/>
        <v/>
      </c>
      <c r="I1830" s="69" t="str">
        <f t="shared" si="940"/>
        <v/>
      </c>
      <c r="J1830" s="75" t="str">
        <f t="shared" si="941"/>
        <v/>
      </c>
      <c r="K1830" s="63"/>
    </row>
    <row r="1831" spans="1:18" x14ac:dyDescent="0.25">
      <c r="A1831" s="4" t="s">
        <v>7</v>
      </c>
      <c r="B1831" s="33" t="s">
        <v>722</v>
      </c>
      <c r="C1831" s="33"/>
      <c r="D1831" s="70">
        <v>1</v>
      </c>
      <c r="E1831" s="70">
        <v>1</v>
      </c>
      <c r="F1831" s="70">
        <v>1</v>
      </c>
      <c r="G1831" s="67">
        <f t="shared" si="938"/>
        <v>1</v>
      </c>
      <c r="H1831" s="67">
        <f t="shared" si="939"/>
        <v>1</v>
      </c>
      <c r="I1831" s="67">
        <f t="shared" si="940"/>
        <v>1</v>
      </c>
      <c r="J1831" s="73">
        <f t="shared" si="941"/>
        <v>3</v>
      </c>
      <c r="K1831" s="61"/>
    </row>
    <row r="1832" spans="1:18" x14ac:dyDescent="0.25">
      <c r="A1832" s="2"/>
      <c r="B1832" s="37"/>
      <c r="C1832" s="37"/>
      <c r="D1832" s="71"/>
      <c r="E1832" s="71"/>
      <c r="F1832" s="71"/>
      <c r="G1832" s="68" t="str">
        <f t="shared" si="938"/>
        <v/>
      </c>
      <c r="H1832" s="68" t="str">
        <f t="shared" si="939"/>
        <v/>
      </c>
      <c r="I1832" s="68" t="str">
        <f t="shared" si="940"/>
        <v/>
      </c>
      <c r="J1832" s="74" t="str">
        <f t="shared" si="941"/>
        <v/>
      </c>
      <c r="K1832" s="62"/>
    </row>
    <row r="1833" spans="1:18" x14ac:dyDescent="0.25">
      <c r="A1833" s="3"/>
      <c r="B1833" s="40"/>
      <c r="C1833" s="40"/>
      <c r="D1833" s="72"/>
      <c r="E1833" s="72"/>
      <c r="F1833" s="72"/>
      <c r="G1833" s="69" t="str">
        <f t="shared" si="938"/>
        <v/>
      </c>
      <c r="H1833" s="69" t="str">
        <f t="shared" si="939"/>
        <v/>
      </c>
      <c r="I1833" s="69" t="str">
        <f t="shared" si="940"/>
        <v/>
      </c>
      <c r="J1833" s="75" t="str">
        <f t="shared" si="941"/>
        <v/>
      </c>
      <c r="K1833" s="63"/>
    </row>
    <row r="1834" spans="1:18" x14ac:dyDescent="0.25">
      <c r="A1834" s="4" t="s">
        <v>8</v>
      </c>
      <c r="B1834" s="33" t="s">
        <v>542</v>
      </c>
      <c r="C1834" s="33"/>
      <c r="D1834" s="70">
        <v>1</v>
      </c>
      <c r="E1834" s="70">
        <v>1</v>
      </c>
      <c r="F1834" s="70">
        <v>1</v>
      </c>
      <c r="G1834" s="67">
        <f t="shared" si="938"/>
        <v>1</v>
      </c>
      <c r="H1834" s="67">
        <f t="shared" si="939"/>
        <v>1</v>
      </c>
      <c r="I1834" s="67">
        <f t="shared" si="940"/>
        <v>1</v>
      </c>
      <c r="J1834" s="73">
        <f t="shared" si="941"/>
        <v>3</v>
      </c>
      <c r="K1834" s="61"/>
    </row>
    <row r="1835" spans="1:18" x14ac:dyDescent="0.25">
      <c r="A1835" s="2"/>
      <c r="B1835" s="37" t="s">
        <v>200</v>
      </c>
      <c r="C1835" s="37"/>
      <c r="D1835" s="71">
        <v>1</v>
      </c>
      <c r="E1835" s="71">
        <v>1</v>
      </c>
      <c r="F1835" s="71">
        <v>1</v>
      </c>
      <c r="G1835" s="68">
        <f t="shared" si="938"/>
        <v>1</v>
      </c>
      <c r="H1835" s="68">
        <f t="shared" si="939"/>
        <v>1</v>
      </c>
      <c r="I1835" s="68">
        <f t="shared" si="940"/>
        <v>1</v>
      </c>
      <c r="J1835" s="74">
        <f t="shared" si="941"/>
        <v>3</v>
      </c>
      <c r="K1835" s="62"/>
    </row>
    <row r="1836" spans="1:18" x14ac:dyDescent="0.25">
      <c r="A1836" s="3"/>
      <c r="B1836" s="40"/>
      <c r="C1836" s="40"/>
      <c r="D1836" s="72"/>
      <c r="E1836" s="72"/>
      <c r="F1836" s="72"/>
      <c r="G1836" s="69" t="str">
        <f t="shared" si="938"/>
        <v/>
      </c>
      <c r="H1836" s="69" t="str">
        <f t="shared" si="939"/>
        <v/>
      </c>
      <c r="I1836" s="69" t="str">
        <f t="shared" si="940"/>
        <v/>
      </c>
      <c r="J1836" s="75" t="str">
        <f t="shared" si="941"/>
        <v/>
      </c>
      <c r="K1836" s="63"/>
    </row>
    <row r="1837" spans="1:18" x14ac:dyDescent="0.25">
      <c r="A1837" s="2" t="s">
        <v>9</v>
      </c>
      <c r="B1837" s="37" t="s">
        <v>1105</v>
      </c>
      <c r="C1837" s="37"/>
      <c r="D1837" s="71">
        <v>1</v>
      </c>
      <c r="E1837" s="71">
        <v>1</v>
      </c>
      <c r="F1837" s="71">
        <v>0</v>
      </c>
      <c r="G1837" s="68">
        <f t="shared" si="938"/>
        <v>1</v>
      </c>
      <c r="H1837" s="68">
        <f t="shared" si="939"/>
        <v>0</v>
      </c>
      <c r="I1837" s="68">
        <f t="shared" si="940"/>
        <v>0</v>
      </c>
      <c r="J1837" s="74">
        <f t="shared" si="941"/>
        <v>2</v>
      </c>
      <c r="K1837" s="62"/>
    </row>
    <row r="1838" spans="1:18" x14ac:dyDescent="0.25">
      <c r="A1838" s="2"/>
      <c r="B1838" s="37"/>
      <c r="C1838" s="37"/>
      <c r="D1838" s="71"/>
      <c r="E1838" s="71"/>
      <c r="F1838" s="71"/>
      <c r="G1838" s="68" t="str">
        <f t="shared" si="938"/>
        <v/>
      </c>
      <c r="H1838" s="68" t="str">
        <f t="shared" si="939"/>
        <v/>
      </c>
      <c r="I1838" s="68" t="str">
        <f t="shared" si="940"/>
        <v/>
      </c>
      <c r="J1838" s="74" t="str">
        <f t="shared" si="941"/>
        <v/>
      </c>
      <c r="K1838" s="62"/>
    </row>
    <row r="1839" spans="1:18" x14ac:dyDescent="0.25">
      <c r="A1839" s="3"/>
      <c r="B1839" s="40"/>
      <c r="C1839" s="40"/>
      <c r="D1839" s="72"/>
      <c r="E1839" s="72"/>
      <c r="F1839" s="72"/>
      <c r="G1839" s="69" t="str">
        <f t="shared" si="938"/>
        <v/>
      </c>
      <c r="H1839" s="69" t="str">
        <f t="shared" si="939"/>
        <v/>
      </c>
      <c r="I1839" s="69" t="str">
        <f t="shared" si="940"/>
        <v/>
      </c>
      <c r="J1839" s="75" t="str">
        <f t="shared" si="941"/>
        <v/>
      </c>
      <c r="K1839" s="63"/>
    </row>
    <row r="1840" spans="1:18" x14ac:dyDescent="0.25">
      <c r="A1840" s="2" t="s">
        <v>1224</v>
      </c>
      <c r="B1840" s="37" t="s">
        <v>1105</v>
      </c>
      <c r="C1840" s="37"/>
      <c r="D1840" s="71">
        <v>1</v>
      </c>
      <c r="E1840" s="71">
        <v>1</v>
      </c>
      <c r="F1840" s="71">
        <v>1</v>
      </c>
      <c r="G1840" s="68">
        <f t="shared" si="938"/>
        <v>1</v>
      </c>
      <c r="H1840" s="68">
        <f t="shared" si="939"/>
        <v>1</v>
      </c>
      <c r="I1840" s="68">
        <f t="shared" si="940"/>
        <v>1</v>
      </c>
      <c r="J1840" s="74">
        <f t="shared" si="941"/>
        <v>3</v>
      </c>
      <c r="K1840" s="62"/>
    </row>
    <row r="1841" spans="1:18" x14ac:dyDescent="0.25">
      <c r="A1841" s="2"/>
      <c r="B1841" s="37"/>
      <c r="C1841" s="37"/>
      <c r="D1841" s="71"/>
      <c r="E1841" s="71"/>
      <c r="F1841" s="71"/>
      <c r="G1841" s="68" t="str">
        <f t="shared" si="938"/>
        <v/>
      </c>
      <c r="H1841" s="68" t="str">
        <f t="shared" si="939"/>
        <v/>
      </c>
      <c r="I1841" s="68" t="str">
        <f t="shared" si="940"/>
        <v/>
      </c>
      <c r="J1841" s="74" t="str">
        <f t="shared" si="941"/>
        <v/>
      </c>
      <c r="K1841" s="62"/>
    </row>
    <row r="1842" spans="1:18" x14ac:dyDescent="0.25">
      <c r="A1842" s="3"/>
      <c r="B1842" s="40"/>
      <c r="C1842" s="40"/>
      <c r="D1842" s="72"/>
      <c r="E1842" s="72"/>
      <c r="F1842" s="72"/>
      <c r="G1842" s="69" t="str">
        <f t="shared" si="938"/>
        <v/>
      </c>
      <c r="H1842" s="69" t="str">
        <f t="shared" si="939"/>
        <v/>
      </c>
      <c r="I1842" s="69" t="str">
        <f t="shared" si="940"/>
        <v/>
      </c>
      <c r="J1842" s="75" t="str">
        <f t="shared" si="941"/>
        <v/>
      </c>
      <c r="K1842" s="63"/>
    </row>
    <row r="1844" spans="1:18" x14ac:dyDescent="0.25">
      <c r="A1844" s="81">
        <v>93</v>
      </c>
      <c r="B1844" s="49" t="s">
        <v>1209</v>
      </c>
      <c r="C1844" s="31" t="s">
        <v>1487</v>
      </c>
      <c r="D1844" s="76"/>
      <c r="E1844" s="66"/>
      <c r="F1844" s="66"/>
      <c r="G1844" s="66"/>
      <c r="H1844" s="66"/>
      <c r="I1844" s="66"/>
      <c r="J1844" s="60"/>
      <c r="K1844" s="60"/>
    </row>
    <row r="1845" spans="1:18" x14ac:dyDescent="0.25">
      <c r="A1845" s="4" t="s">
        <v>6</v>
      </c>
      <c r="B1845" s="37" t="s">
        <v>720</v>
      </c>
      <c r="C1845" s="37"/>
      <c r="D1845" s="70">
        <v>0</v>
      </c>
      <c r="E1845" s="70">
        <v>1</v>
      </c>
      <c r="F1845" s="70">
        <v>1</v>
      </c>
      <c r="G1845" s="67">
        <f t="shared" ref="G1845:G1862" si="947">IF(B1845="","",IF( AND(D1845=1, E1845=1),1,0))</f>
        <v>0</v>
      </c>
      <c r="H1845" s="67">
        <f t="shared" ref="H1845:H1862" si="948">IF(B1845="","",IF(AND(D1845=1,F1845=1),1,0))</f>
        <v>0</v>
      </c>
      <c r="I1845" s="67">
        <f t="shared" ref="I1845:I1862" si="949">IF(B1845="","",IF(AND(E1845=1,F1845=1),1,0))</f>
        <v>1</v>
      </c>
      <c r="J1845" s="73">
        <f t="shared" ref="J1845" si="950">IF(B1845="","",SUM(D1845:F1845))</f>
        <v>2</v>
      </c>
      <c r="K1845" s="61"/>
      <c r="M1845" s="7">
        <f t="shared" ref="M1845" si="951">SUM(G1845:I1845)/3</f>
        <v>0.33333333333333331</v>
      </c>
      <c r="N1845" s="6">
        <f t="shared" ref="N1845" si="952">SUM(G1848:I1848)/3</f>
        <v>0.33333333333333331</v>
      </c>
      <c r="O1845" s="7">
        <f t="shared" ref="O1845" si="953">SUM(G1851:I1851)/3</f>
        <v>1</v>
      </c>
      <c r="P1845" s="6">
        <f t="shared" ref="P1845" si="954">SUM(G1854:I1854)/3</f>
        <v>1</v>
      </c>
      <c r="Q1845" s="7">
        <f t="shared" ref="Q1845:R1845" si="955">SUM(G1857:I1857)/3</f>
        <v>0.33333333333333331</v>
      </c>
      <c r="R1845" s="7">
        <f t="shared" si="955"/>
        <v>1</v>
      </c>
    </row>
    <row r="1846" spans="1:18" x14ac:dyDescent="0.25">
      <c r="A1846" s="2"/>
      <c r="B1846" s="37"/>
      <c r="C1846" s="37"/>
      <c r="D1846" s="71"/>
      <c r="E1846" s="71"/>
      <c r="F1846" s="71"/>
      <c r="G1846" s="68" t="str">
        <f t="shared" si="947"/>
        <v/>
      </c>
      <c r="H1846" s="68" t="str">
        <f t="shared" si="948"/>
        <v/>
      </c>
      <c r="I1846" s="68" t="str">
        <f t="shared" si="949"/>
        <v/>
      </c>
      <c r="J1846" s="74" t="str">
        <f t="shared" si="941"/>
        <v/>
      </c>
      <c r="K1846" s="62"/>
    </row>
    <row r="1847" spans="1:18" x14ac:dyDescent="0.25">
      <c r="A1847" s="3"/>
      <c r="B1847" s="42"/>
      <c r="C1847" s="42"/>
      <c r="D1847" s="72"/>
      <c r="E1847" s="72"/>
      <c r="F1847" s="72"/>
      <c r="G1847" s="69" t="str">
        <f t="shared" si="947"/>
        <v/>
      </c>
      <c r="H1847" s="69" t="str">
        <f t="shared" si="948"/>
        <v/>
      </c>
      <c r="I1847" s="69" t="str">
        <f t="shared" si="949"/>
        <v/>
      </c>
      <c r="J1847" s="75" t="str">
        <f t="shared" si="941"/>
        <v/>
      </c>
      <c r="K1847" s="63"/>
    </row>
    <row r="1848" spans="1:18" x14ac:dyDescent="0.25">
      <c r="A1848" s="4" t="s">
        <v>5</v>
      </c>
      <c r="B1848" s="33" t="s">
        <v>721</v>
      </c>
      <c r="C1848" s="33"/>
      <c r="D1848" s="70">
        <v>0</v>
      </c>
      <c r="E1848" s="70">
        <v>1</v>
      </c>
      <c r="F1848" s="70">
        <v>1</v>
      </c>
      <c r="G1848" s="67">
        <f t="shared" si="947"/>
        <v>0</v>
      </c>
      <c r="H1848" s="67">
        <f t="shared" si="948"/>
        <v>0</v>
      </c>
      <c r="I1848" s="67">
        <f t="shared" si="949"/>
        <v>1</v>
      </c>
      <c r="J1848" s="73">
        <f t="shared" si="941"/>
        <v>2</v>
      </c>
      <c r="K1848" s="61"/>
    </row>
    <row r="1849" spans="1:18" x14ac:dyDescent="0.25">
      <c r="A1849" s="2"/>
      <c r="B1849" s="37"/>
      <c r="C1849" s="37"/>
      <c r="D1849" s="71"/>
      <c r="E1849" s="71"/>
      <c r="F1849" s="71"/>
      <c r="G1849" s="68" t="str">
        <f t="shared" si="947"/>
        <v/>
      </c>
      <c r="H1849" s="68" t="str">
        <f t="shared" si="948"/>
        <v/>
      </c>
      <c r="I1849" s="68" t="str">
        <f t="shared" si="949"/>
        <v/>
      </c>
      <c r="J1849" s="74" t="str">
        <f t="shared" si="941"/>
        <v/>
      </c>
      <c r="K1849" s="62"/>
    </row>
    <row r="1850" spans="1:18" x14ac:dyDescent="0.25">
      <c r="A1850" s="3"/>
      <c r="B1850" s="40"/>
      <c r="C1850" s="37"/>
      <c r="D1850" s="71"/>
      <c r="E1850" s="71"/>
      <c r="F1850" s="71"/>
      <c r="G1850" s="69" t="str">
        <f t="shared" si="947"/>
        <v/>
      </c>
      <c r="H1850" s="69" t="str">
        <f t="shared" si="948"/>
        <v/>
      </c>
      <c r="I1850" s="69" t="str">
        <f t="shared" si="949"/>
        <v/>
      </c>
      <c r="J1850" s="75" t="str">
        <f t="shared" si="941"/>
        <v/>
      </c>
      <c r="K1850" s="63"/>
    </row>
    <row r="1851" spans="1:18" x14ac:dyDescent="0.25">
      <c r="A1851" s="4" t="s">
        <v>7</v>
      </c>
      <c r="B1851" s="33" t="s">
        <v>722</v>
      </c>
      <c r="C1851" s="33"/>
      <c r="D1851" s="70">
        <v>1</v>
      </c>
      <c r="E1851" s="70">
        <v>1</v>
      </c>
      <c r="F1851" s="70">
        <v>1</v>
      </c>
      <c r="G1851" s="67">
        <f t="shared" si="947"/>
        <v>1</v>
      </c>
      <c r="H1851" s="67">
        <f t="shared" si="948"/>
        <v>1</v>
      </c>
      <c r="I1851" s="67">
        <f t="shared" si="949"/>
        <v>1</v>
      </c>
      <c r="J1851" s="73">
        <f t="shared" si="941"/>
        <v>3</v>
      </c>
      <c r="K1851" s="61"/>
    </row>
    <row r="1852" spans="1:18" x14ac:dyDescent="0.25">
      <c r="A1852" s="2"/>
      <c r="B1852" s="33" t="s">
        <v>730</v>
      </c>
      <c r="C1852" s="37"/>
      <c r="D1852" s="71">
        <v>0</v>
      </c>
      <c r="E1852" s="71">
        <v>1</v>
      </c>
      <c r="F1852" s="71">
        <v>1</v>
      </c>
      <c r="G1852" s="68">
        <f t="shared" si="947"/>
        <v>0</v>
      </c>
      <c r="H1852" s="68">
        <f t="shared" si="948"/>
        <v>0</v>
      </c>
      <c r="I1852" s="68">
        <f t="shared" si="949"/>
        <v>1</v>
      </c>
      <c r="J1852" s="74">
        <f t="shared" si="941"/>
        <v>2</v>
      </c>
      <c r="K1852" s="62"/>
    </row>
    <row r="1853" spans="1:18" x14ac:dyDescent="0.25">
      <c r="A1853" s="3"/>
      <c r="B1853" s="40"/>
      <c r="C1853" s="40"/>
      <c r="D1853" s="72"/>
      <c r="E1853" s="72"/>
      <c r="F1853" s="72"/>
      <c r="G1853" s="69" t="str">
        <f t="shared" si="947"/>
        <v/>
      </c>
      <c r="H1853" s="69" t="str">
        <f t="shared" si="948"/>
        <v/>
      </c>
      <c r="I1853" s="69" t="str">
        <f t="shared" si="949"/>
        <v/>
      </c>
      <c r="J1853" s="75" t="str">
        <f t="shared" si="941"/>
        <v/>
      </c>
      <c r="K1853" s="63"/>
    </row>
    <row r="1854" spans="1:18" x14ac:dyDescent="0.25">
      <c r="A1854" s="4" t="s">
        <v>8</v>
      </c>
      <c r="B1854" s="37" t="s">
        <v>200</v>
      </c>
      <c r="C1854" s="37"/>
      <c r="D1854" s="70">
        <v>1</v>
      </c>
      <c r="E1854" s="70">
        <v>1</v>
      </c>
      <c r="F1854" s="70">
        <v>1</v>
      </c>
      <c r="G1854" s="67">
        <f t="shared" si="947"/>
        <v>1</v>
      </c>
      <c r="H1854" s="67">
        <f t="shared" si="948"/>
        <v>1</v>
      </c>
      <c r="I1854" s="67">
        <f t="shared" si="949"/>
        <v>1</v>
      </c>
      <c r="J1854" s="73">
        <f t="shared" si="941"/>
        <v>3</v>
      </c>
      <c r="K1854" s="61"/>
    </row>
    <row r="1855" spans="1:18" x14ac:dyDescent="0.25">
      <c r="A1855" s="2"/>
      <c r="B1855" s="37"/>
      <c r="C1855" s="37"/>
      <c r="D1855" s="71"/>
      <c r="E1855" s="71"/>
      <c r="F1855" s="71"/>
      <c r="G1855" s="68" t="str">
        <f t="shared" si="947"/>
        <v/>
      </c>
      <c r="H1855" s="68" t="str">
        <f t="shared" si="948"/>
        <v/>
      </c>
      <c r="I1855" s="68" t="str">
        <f t="shared" si="949"/>
        <v/>
      </c>
      <c r="J1855" s="74" t="str">
        <f t="shared" si="941"/>
        <v/>
      </c>
      <c r="K1855" s="62"/>
    </row>
    <row r="1856" spans="1:18" x14ac:dyDescent="0.25">
      <c r="A1856" s="3"/>
      <c r="B1856" s="40"/>
      <c r="C1856" s="40"/>
      <c r="D1856" s="72"/>
      <c r="E1856" s="72"/>
      <c r="F1856" s="72"/>
      <c r="G1856" s="69" t="str">
        <f t="shared" si="947"/>
        <v/>
      </c>
      <c r="H1856" s="69" t="str">
        <f t="shared" si="948"/>
        <v/>
      </c>
      <c r="I1856" s="69" t="str">
        <f t="shared" si="949"/>
        <v/>
      </c>
      <c r="J1856" s="75" t="str">
        <f t="shared" si="941"/>
        <v/>
      </c>
      <c r="K1856" s="63"/>
    </row>
    <row r="1857" spans="1:18" x14ac:dyDescent="0.25">
      <c r="A1857" s="2" t="s">
        <v>9</v>
      </c>
      <c r="B1857" s="37" t="s">
        <v>1047</v>
      </c>
      <c r="C1857" s="37"/>
      <c r="D1857" s="71">
        <v>0</v>
      </c>
      <c r="E1857" s="71">
        <v>1</v>
      </c>
      <c r="F1857" s="71">
        <v>1</v>
      </c>
      <c r="G1857" s="68">
        <f t="shared" si="947"/>
        <v>0</v>
      </c>
      <c r="H1857" s="68">
        <f t="shared" si="948"/>
        <v>0</v>
      </c>
      <c r="I1857" s="68">
        <f t="shared" si="949"/>
        <v>1</v>
      </c>
      <c r="J1857" s="74">
        <f t="shared" si="941"/>
        <v>2</v>
      </c>
      <c r="K1857" s="62"/>
    </row>
    <row r="1858" spans="1:18" x14ac:dyDescent="0.25">
      <c r="A1858" s="2"/>
      <c r="B1858" s="37"/>
      <c r="C1858" s="37"/>
      <c r="D1858" s="71"/>
      <c r="E1858" s="71"/>
      <c r="F1858" s="71"/>
      <c r="G1858" s="68" t="str">
        <f t="shared" si="947"/>
        <v/>
      </c>
      <c r="H1858" s="68" t="str">
        <f t="shared" si="948"/>
        <v/>
      </c>
      <c r="I1858" s="68" t="str">
        <f t="shared" si="949"/>
        <v/>
      </c>
      <c r="J1858" s="74" t="str">
        <f t="shared" si="941"/>
        <v/>
      </c>
      <c r="K1858" s="62"/>
    </row>
    <row r="1859" spans="1:18" x14ac:dyDescent="0.25">
      <c r="A1859" s="3"/>
      <c r="B1859" s="40"/>
      <c r="C1859" s="40"/>
      <c r="D1859" s="72"/>
      <c r="E1859" s="72"/>
      <c r="F1859" s="72"/>
      <c r="G1859" s="69" t="str">
        <f t="shared" si="947"/>
        <v/>
      </c>
      <c r="H1859" s="69" t="str">
        <f t="shared" si="948"/>
        <v/>
      </c>
      <c r="I1859" s="69" t="str">
        <f t="shared" si="949"/>
        <v/>
      </c>
      <c r="J1859" s="75" t="str">
        <f t="shared" si="941"/>
        <v/>
      </c>
      <c r="K1859" s="63"/>
    </row>
    <row r="1860" spans="1:18" x14ac:dyDescent="0.25">
      <c r="A1860" s="2" t="s">
        <v>1224</v>
      </c>
      <c r="B1860" s="37" t="s">
        <v>1290</v>
      </c>
      <c r="C1860" s="37"/>
      <c r="D1860" s="71">
        <v>1</v>
      </c>
      <c r="E1860" s="71">
        <v>0</v>
      </c>
      <c r="F1860" s="71">
        <v>0</v>
      </c>
      <c r="G1860" s="68">
        <f t="shared" si="947"/>
        <v>0</v>
      </c>
      <c r="H1860" s="68">
        <f t="shared" si="948"/>
        <v>0</v>
      </c>
      <c r="I1860" s="68">
        <f t="shared" si="949"/>
        <v>0</v>
      </c>
      <c r="J1860" s="74">
        <f t="shared" ref="J1860:J1862" si="956">IF(B1860="","",SUM(D1860:F1860))</f>
        <v>1</v>
      </c>
      <c r="K1860" s="62"/>
    </row>
    <row r="1861" spans="1:18" x14ac:dyDescent="0.25">
      <c r="A1861" s="2"/>
      <c r="B1861" s="37" t="s">
        <v>1361</v>
      </c>
      <c r="C1861" s="37"/>
      <c r="D1861" s="71">
        <v>0</v>
      </c>
      <c r="E1861" s="71">
        <v>1</v>
      </c>
      <c r="F1861" s="71">
        <v>0</v>
      </c>
      <c r="G1861" s="68">
        <f t="shared" si="947"/>
        <v>0</v>
      </c>
      <c r="H1861" s="68">
        <f t="shared" si="948"/>
        <v>0</v>
      </c>
      <c r="I1861" s="68">
        <f t="shared" si="949"/>
        <v>0</v>
      </c>
      <c r="J1861" s="74">
        <f t="shared" si="956"/>
        <v>1</v>
      </c>
      <c r="K1861" s="62"/>
    </row>
    <row r="1862" spans="1:18" x14ac:dyDescent="0.25">
      <c r="A1862" s="3"/>
      <c r="B1862" s="40" t="s">
        <v>1105</v>
      </c>
      <c r="C1862" s="40"/>
      <c r="D1862" s="72">
        <v>0</v>
      </c>
      <c r="E1862" s="72">
        <v>0</v>
      </c>
      <c r="F1862" s="72">
        <v>1</v>
      </c>
      <c r="G1862" s="69">
        <f t="shared" si="947"/>
        <v>0</v>
      </c>
      <c r="H1862" s="69">
        <f t="shared" si="948"/>
        <v>0</v>
      </c>
      <c r="I1862" s="69">
        <f t="shared" si="949"/>
        <v>0</v>
      </c>
      <c r="J1862" s="75">
        <f t="shared" si="956"/>
        <v>1</v>
      </c>
      <c r="K1862" s="63"/>
    </row>
    <row r="1864" spans="1:18" x14ac:dyDescent="0.25">
      <c r="A1864" s="81">
        <v>94</v>
      </c>
      <c r="B1864" s="49" t="s">
        <v>1210</v>
      </c>
      <c r="C1864" s="31" t="s">
        <v>1488</v>
      </c>
      <c r="D1864" s="76"/>
      <c r="E1864" s="66"/>
      <c r="F1864" s="66"/>
      <c r="G1864" s="66"/>
      <c r="H1864" s="66"/>
      <c r="I1864" s="66"/>
      <c r="J1864" s="60"/>
      <c r="K1864" s="60"/>
    </row>
    <row r="1865" spans="1:18" x14ac:dyDescent="0.25">
      <c r="A1865" s="4" t="s">
        <v>6</v>
      </c>
      <c r="B1865" s="37" t="s">
        <v>1045</v>
      </c>
      <c r="C1865" s="37"/>
      <c r="D1865" s="70">
        <v>1</v>
      </c>
      <c r="E1865" s="70">
        <v>1</v>
      </c>
      <c r="F1865" s="70">
        <v>1</v>
      </c>
      <c r="G1865" s="67">
        <f t="shared" ref="G1865:G1882" si="957">IF(B1865="","",IF( AND(D1865=1, E1865=1),1,0))</f>
        <v>1</v>
      </c>
      <c r="H1865" s="67">
        <f t="shared" ref="H1865:H1882" si="958">IF(B1865="","",IF(AND(D1865=1,F1865=1),1,0))</f>
        <v>1</v>
      </c>
      <c r="I1865" s="67">
        <f t="shared" ref="I1865:I1882" si="959">IF(B1865="","",IF(AND(E1865=1,F1865=1),1,0))</f>
        <v>1</v>
      </c>
      <c r="J1865" s="73">
        <f t="shared" ref="J1865" si="960">IF(B1865="","",SUM(D1865:F1865))</f>
        <v>3</v>
      </c>
      <c r="K1865" s="61"/>
      <c r="M1865" s="7">
        <f t="shared" ref="M1865" si="961">SUM(G1865:I1865)/3</f>
        <v>1</v>
      </c>
      <c r="N1865" s="6">
        <f t="shared" ref="N1865" si="962">SUM(G1868:I1868)/3</f>
        <v>1</v>
      </c>
      <c r="O1865" s="7">
        <f t="shared" ref="O1865" si="963">SUM(G1871:I1871)/3</f>
        <v>0.33333333333333331</v>
      </c>
      <c r="P1865" s="6">
        <f t="shared" ref="P1865" si="964">SUM(G1874:I1874)/3</f>
        <v>1</v>
      </c>
      <c r="Q1865" s="7">
        <f t="shared" ref="Q1865" si="965">SUM(G1877:I1877)/3</f>
        <v>1</v>
      </c>
      <c r="R1865" s="7">
        <f>SUM(G1880:I1880)/3</f>
        <v>0.33333333333333331</v>
      </c>
    </row>
    <row r="1866" spans="1:18" x14ac:dyDescent="0.25">
      <c r="A1866" s="2"/>
      <c r="B1866" s="37"/>
      <c r="C1866" s="37"/>
      <c r="D1866" s="71"/>
      <c r="E1866" s="71"/>
      <c r="F1866" s="71"/>
      <c r="G1866" s="68" t="str">
        <f t="shared" si="957"/>
        <v/>
      </c>
      <c r="H1866" s="68" t="str">
        <f t="shared" si="958"/>
        <v/>
      </c>
      <c r="I1866" s="68" t="str">
        <f t="shared" si="959"/>
        <v/>
      </c>
      <c r="J1866" s="74" t="str">
        <f t="shared" si="941"/>
        <v/>
      </c>
      <c r="K1866" s="62"/>
    </row>
    <row r="1867" spans="1:18" x14ac:dyDescent="0.25">
      <c r="A1867" s="3"/>
      <c r="B1867" s="42"/>
      <c r="C1867" s="42"/>
      <c r="D1867" s="72"/>
      <c r="E1867" s="72"/>
      <c r="F1867" s="72"/>
      <c r="G1867" s="69" t="str">
        <f t="shared" si="957"/>
        <v/>
      </c>
      <c r="H1867" s="69" t="str">
        <f t="shared" si="958"/>
        <v/>
      </c>
      <c r="I1867" s="69" t="str">
        <f t="shared" si="959"/>
        <v/>
      </c>
      <c r="J1867" s="75" t="str">
        <f t="shared" si="941"/>
        <v/>
      </c>
      <c r="K1867" s="63"/>
    </row>
    <row r="1868" spans="1:18" x14ac:dyDescent="0.25">
      <c r="A1868" s="4" t="s">
        <v>5</v>
      </c>
      <c r="B1868" s="33" t="s">
        <v>1105</v>
      </c>
      <c r="C1868" s="33"/>
      <c r="D1868" s="70">
        <v>1</v>
      </c>
      <c r="E1868" s="70">
        <v>1</v>
      </c>
      <c r="F1868" s="70">
        <v>1</v>
      </c>
      <c r="G1868" s="67">
        <f t="shared" si="957"/>
        <v>1</v>
      </c>
      <c r="H1868" s="67">
        <f t="shared" si="958"/>
        <v>1</v>
      </c>
      <c r="I1868" s="67">
        <f t="shared" si="959"/>
        <v>1</v>
      </c>
      <c r="J1868" s="73">
        <f t="shared" si="941"/>
        <v>3</v>
      </c>
      <c r="K1868" s="61"/>
    </row>
    <row r="1869" spans="1:18" x14ac:dyDescent="0.25">
      <c r="A1869" s="2"/>
      <c r="B1869" s="37"/>
      <c r="C1869" s="37"/>
      <c r="D1869" s="71"/>
      <c r="E1869" s="71"/>
      <c r="F1869" s="71"/>
      <c r="G1869" s="68" t="str">
        <f t="shared" si="957"/>
        <v/>
      </c>
      <c r="H1869" s="68" t="str">
        <f t="shared" si="958"/>
        <v/>
      </c>
      <c r="I1869" s="68" t="str">
        <f t="shared" si="959"/>
        <v/>
      </c>
      <c r="J1869" s="74" t="str">
        <f t="shared" si="941"/>
        <v/>
      </c>
      <c r="K1869" s="62"/>
    </row>
    <row r="1870" spans="1:18" x14ac:dyDescent="0.25">
      <c r="A1870" s="3"/>
      <c r="B1870" s="40"/>
      <c r="C1870" s="37"/>
      <c r="D1870" s="71"/>
      <c r="E1870" s="71"/>
      <c r="F1870" s="71"/>
      <c r="G1870" s="69" t="str">
        <f t="shared" si="957"/>
        <v/>
      </c>
      <c r="H1870" s="69" t="str">
        <f t="shared" si="958"/>
        <v/>
      </c>
      <c r="I1870" s="69" t="str">
        <f t="shared" si="959"/>
        <v/>
      </c>
      <c r="J1870" s="75" t="str">
        <f t="shared" si="941"/>
        <v/>
      </c>
      <c r="K1870" s="63"/>
    </row>
    <row r="1871" spans="1:18" x14ac:dyDescent="0.25">
      <c r="A1871" s="4" t="s">
        <v>7</v>
      </c>
      <c r="B1871" s="33" t="s">
        <v>722</v>
      </c>
      <c r="C1871" s="33"/>
      <c r="D1871" s="70">
        <v>1</v>
      </c>
      <c r="E1871" s="70">
        <v>1</v>
      </c>
      <c r="F1871" s="70">
        <v>0</v>
      </c>
      <c r="G1871" s="67">
        <f t="shared" si="957"/>
        <v>1</v>
      </c>
      <c r="H1871" s="67">
        <f t="shared" si="958"/>
        <v>0</v>
      </c>
      <c r="I1871" s="67">
        <f t="shared" si="959"/>
        <v>0</v>
      </c>
      <c r="J1871" s="73">
        <f t="shared" si="941"/>
        <v>2</v>
      </c>
      <c r="K1871" s="61"/>
    </row>
    <row r="1872" spans="1:18" x14ac:dyDescent="0.25">
      <c r="A1872" s="2"/>
      <c r="B1872" s="37"/>
      <c r="C1872" s="37"/>
      <c r="D1872" s="71"/>
      <c r="E1872" s="71"/>
      <c r="F1872" s="71"/>
      <c r="G1872" s="68" t="str">
        <f t="shared" si="957"/>
        <v/>
      </c>
      <c r="H1872" s="68" t="str">
        <f t="shared" si="958"/>
        <v/>
      </c>
      <c r="I1872" s="68" t="str">
        <f t="shared" si="959"/>
        <v/>
      </c>
      <c r="J1872" s="74" t="str">
        <f t="shared" si="941"/>
        <v/>
      </c>
      <c r="K1872" s="62"/>
    </row>
    <row r="1873" spans="1:18" x14ac:dyDescent="0.25">
      <c r="A1873" s="3"/>
      <c r="B1873" s="40"/>
      <c r="C1873" s="40"/>
      <c r="D1873" s="72"/>
      <c r="E1873" s="72"/>
      <c r="F1873" s="72"/>
      <c r="G1873" s="69" t="str">
        <f t="shared" si="957"/>
        <v/>
      </c>
      <c r="H1873" s="69" t="str">
        <f t="shared" si="958"/>
        <v/>
      </c>
      <c r="I1873" s="69" t="str">
        <f t="shared" si="959"/>
        <v/>
      </c>
      <c r="J1873" s="75" t="str">
        <f t="shared" si="941"/>
        <v/>
      </c>
      <c r="K1873" s="63"/>
    </row>
    <row r="1874" spans="1:18" x14ac:dyDescent="0.25">
      <c r="A1874" s="4" t="s">
        <v>8</v>
      </c>
      <c r="B1874" s="37" t="s">
        <v>1046</v>
      </c>
      <c r="C1874" s="37"/>
      <c r="D1874" s="70">
        <v>1</v>
      </c>
      <c r="E1874" s="70">
        <v>1</v>
      </c>
      <c r="F1874" s="70">
        <v>1</v>
      </c>
      <c r="G1874" s="67">
        <f t="shared" si="957"/>
        <v>1</v>
      </c>
      <c r="H1874" s="67">
        <f t="shared" si="958"/>
        <v>1</v>
      </c>
      <c r="I1874" s="67">
        <f t="shared" si="959"/>
        <v>1</v>
      </c>
      <c r="J1874" s="73">
        <f t="shared" si="941"/>
        <v>3</v>
      </c>
      <c r="K1874" s="61"/>
    </row>
    <row r="1875" spans="1:18" x14ac:dyDescent="0.25">
      <c r="A1875" s="2"/>
      <c r="B1875" s="37"/>
      <c r="C1875" s="37"/>
      <c r="D1875" s="71"/>
      <c r="E1875" s="71"/>
      <c r="F1875" s="71"/>
      <c r="G1875" s="68" t="str">
        <f t="shared" si="957"/>
        <v/>
      </c>
      <c r="H1875" s="68" t="str">
        <f t="shared" si="958"/>
        <v/>
      </c>
      <c r="I1875" s="68" t="str">
        <f t="shared" si="959"/>
        <v/>
      </c>
      <c r="J1875" s="74" t="str">
        <f t="shared" si="941"/>
        <v/>
      </c>
      <c r="K1875" s="62"/>
    </row>
    <row r="1876" spans="1:18" x14ac:dyDescent="0.25">
      <c r="A1876" s="3"/>
      <c r="B1876" s="40"/>
      <c r="C1876" s="40"/>
      <c r="D1876" s="72"/>
      <c r="E1876" s="72"/>
      <c r="F1876" s="72"/>
      <c r="G1876" s="69" t="str">
        <f t="shared" si="957"/>
        <v/>
      </c>
      <c r="H1876" s="69" t="str">
        <f t="shared" si="958"/>
        <v/>
      </c>
      <c r="I1876" s="69" t="str">
        <f t="shared" si="959"/>
        <v/>
      </c>
      <c r="J1876" s="75" t="str">
        <f t="shared" si="941"/>
        <v/>
      </c>
      <c r="K1876" s="63"/>
    </row>
    <row r="1877" spans="1:18" x14ac:dyDescent="0.25">
      <c r="A1877" s="2" t="s">
        <v>9</v>
      </c>
      <c r="B1877" s="37" t="s">
        <v>1105</v>
      </c>
      <c r="C1877" s="37"/>
      <c r="D1877" s="71">
        <v>1</v>
      </c>
      <c r="E1877" s="71">
        <v>1</v>
      </c>
      <c r="F1877" s="71">
        <v>1</v>
      </c>
      <c r="G1877" s="68">
        <f t="shared" si="957"/>
        <v>1</v>
      </c>
      <c r="H1877" s="68">
        <f t="shared" si="958"/>
        <v>1</v>
      </c>
      <c r="I1877" s="68">
        <f t="shared" si="959"/>
        <v>1</v>
      </c>
      <c r="J1877" s="74">
        <f t="shared" si="941"/>
        <v>3</v>
      </c>
      <c r="K1877" s="62"/>
    </row>
    <row r="1878" spans="1:18" x14ac:dyDescent="0.25">
      <c r="A1878" s="2"/>
      <c r="B1878" s="37"/>
      <c r="C1878" s="37"/>
      <c r="D1878" s="71"/>
      <c r="E1878" s="71"/>
      <c r="F1878" s="71"/>
      <c r="G1878" s="68" t="str">
        <f t="shared" si="957"/>
        <v/>
      </c>
      <c r="H1878" s="68" t="str">
        <f t="shared" si="958"/>
        <v/>
      </c>
      <c r="I1878" s="68" t="str">
        <f t="shared" si="959"/>
        <v/>
      </c>
      <c r="J1878" s="74" t="str">
        <f t="shared" si="941"/>
        <v/>
      </c>
      <c r="K1878" s="62"/>
    </row>
    <row r="1879" spans="1:18" x14ac:dyDescent="0.25">
      <c r="A1879" s="3"/>
      <c r="B1879" s="40"/>
      <c r="C1879" s="40"/>
      <c r="D1879" s="72"/>
      <c r="E1879" s="72"/>
      <c r="F1879" s="72"/>
      <c r="G1879" s="69" t="str">
        <f t="shared" si="957"/>
        <v/>
      </c>
      <c r="H1879" s="69" t="str">
        <f t="shared" si="958"/>
        <v/>
      </c>
      <c r="I1879" s="69" t="str">
        <f t="shared" si="959"/>
        <v/>
      </c>
      <c r="J1879" s="75" t="str">
        <f t="shared" si="941"/>
        <v/>
      </c>
      <c r="K1879" s="63"/>
    </row>
    <row r="1880" spans="1:18" x14ac:dyDescent="0.25">
      <c r="A1880" s="2" t="s">
        <v>1224</v>
      </c>
      <c r="B1880" s="39" t="s">
        <v>1291</v>
      </c>
      <c r="C1880" s="39"/>
      <c r="D1880" s="71">
        <v>1</v>
      </c>
      <c r="E1880" s="71">
        <v>0</v>
      </c>
      <c r="F1880" s="71">
        <v>1</v>
      </c>
      <c r="G1880" s="68">
        <f t="shared" si="957"/>
        <v>0</v>
      </c>
      <c r="H1880" s="68">
        <f t="shared" si="958"/>
        <v>1</v>
      </c>
      <c r="I1880" s="68">
        <f t="shared" si="959"/>
        <v>0</v>
      </c>
      <c r="J1880" s="74">
        <f t="shared" si="941"/>
        <v>2</v>
      </c>
      <c r="K1880" s="62"/>
    </row>
    <row r="1881" spans="1:18" x14ac:dyDescent="0.25">
      <c r="A1881" s="2"/>
      <c r="B1881" s="39" t="s">
        <v>1363</v>
      </c>
      <c r="C1881" s="39"/>
      <c r="D1881" s="71">
        <v>0</v>
      </c>
      <c r="E1881" s="71">
        <v>1</v>
      </c>
      <c r="F1881" s="71">
        <v>1</v>
      </c>
      <c r="G1881" s="68">
        <f t="shared" si="957"/>
        <v>0</v>
      </c>
      <c r="H1881" s="68">
        <f t="shared" si="958"/>
        <v>0</v>
      </c>
      <c r="I1881" s="68">
        <f t="shared" si="959"/>
        <v>1</v>
      </c>
      <c r="J1881" s="74">
        <f t="shared" si="941"/>
        <v>2</v>
      </c>
      <c r="K1881" s="62"/>
    </row>
    <row r="1882" spans="1:18" x14ac:dyDescent="0.25">
      <c r="A1882" s="3"/>
      <c r="B1882" s="40"/>
      <c r="C1882" s="40"/>
      <c r="D1882" s="72"/>
      <c r="E1882" s="72"/>
      <c r="F1882" s="72"/>
      <c r="G1882" s="69" t="str">
        <f t="shared" si="957"/>
        <v/>
      </c>
      <c r="H1882" s="69" t="str">
        <f t="shared" si="958"/>
        <v/>
      </c>
      <c r="I1882" s="69" t="str">
        <f t="shared" si="959"/>
        <v/>
      </c>
      <c r="J1882" s="75" t="str">
        <f t="shared" si="941"/>
        <v/>
      </c>
      <c r="K1882" s="63"/>
    </row>
    <row r="1884" spans="1:18" x14ac:dyDescent="0.25">
      <c r="A1884" s="81">
        <v>95</v>
      </c>
      <c r="B1884" s="49" t="s">
        <v>1211</v>
      </c>
      <c r="C1884" s="31" t="s">
        <v>1489</v>
      </c>
      <c r="D1884" s="76"/>
      <c r="E1884" s="66"/>
      <c r="F1884" s="66"/>
      <c r="G1884" s="66"/>
      <c r="H1884" s="66"/>
      <c r="I1884" s="66"/>
      <c r="J1884" s="60"/>
      <c r="K1884" s="60"/>
    </row>
    <row r="1885" spans="1:18" x14ac:dyDescent="0.25">
      <c r="A1885" s="4" t="s">
        <v>6</v>
      </c>
      <c r="B1885" s="37" t="s">
        <v>726</v>
      </c>
      <c r="C1885" s="37"/>
      <c r="D1885" s="70">
        <v>1</v>
      </c>
      <c r="E1885" s="70">
        <v>1</v>
      </c>
      <c r="F1885" s="70">
        <v>1</v>
      </c>
      <c r="G1885" s="67">
        <f t="shared" ref="G1885:G1902" si="966">IF(B1885="","",IF( AND(D1885=1, E1885=1),1,0))</f>
        <v>1</v>
      </c>
      <c r="H1885" s="67">
        <f t="shared" ref="H1885:H1902" si="967">IF(B1885="","",IF(AND(D1885=1,F1885=1),1,0))</f>
        <v>1</v>
      </c>
      <c r="I1885" s="67">
        <f t="shared" ref="I1885:I1902" si="968">IF(B1885="","",IF(AND(E1885=1,F1885=1),1,0))</f>
        <v>1</v>
      </c>
      <c r="J1885" s="73">
        <f t="shared" ref="J1885" si="969">IF(B1885="","",SUM(D1885:F1885))</f>
        <v>3</v>
      </c>
      <c r="K1885" s="61"/>
      <c r="M1885" s="7">
        <f t="shared" ref="M1885" si="970">SUM(G1885:I1885)/3</f>
        <v>1</v>
      </c>
      <c r="N1885" s="6">
        <f t="shared" ref="N1885" si="971">SUM(G1888:I1888)/3</f>
        <v>0.33333333333333331</v>
      </c>
      <c r="O1885" s="7">
        <f t="shared" ref="O1885" si="972">SUM(G1891:I1891)/3</f>
        <v>1</v>
      </c>
      <c r="P1885" s="6">
        <f t="shared" ref="P1885" si="973">SUM(G1894:I1894)/3</f>
        <v>1</v>
      </c>
      <c r="Q1885" s="7">
        <f t="shared" ref="Q1885:R1885" si="974">SUM(G1897:I1897)/3</f>
        <v>0.33333333333333331</v>
      </c>
      <c r="R1885" s="7">
        <f t="shared" si="974"/>
        <v>0.66666666666666663</v>
      </c>
    </row>
    <row r="1886" spans="1:18" x14ac:dyDescent="0.25">
      <c r="A1886" s="2"/>
      <c r="B1886" s="37"/>
      <c r="C1886" s="37"/>
      <c r="D1886" s="71"/>
      <c r="E1886" s="71"/>
      <c r="F1886" s="71"/>
      <c r="G1886" s="68" t="str">
        <f t="shared" si="966"/>
        <v/>
      </c>
      <c r="H1886" s="68" t="str">
        <f t="shared" si="967"/>
        <v/>
      </c>
      <c r="I1886" s="68" t="str">
        <f t="shared" si="968"/>
        <v/>
      </c>
      <c r="J1886" s="74" t="str">
        <f t="shared" si="941"/>
        <v/>
      </c>
      <c r="K1886" s="62"/>
    </row>
    <row r="1887" spans="1:18" x14ac:dyDescent="0.25">
      <c r="A1887" s="3"/>
      <c r="B1887" s="42"/>
      <c r="C1887" s="42"/>
      <c r="D1887" s="72"/>
      <c r="E1887" s="72"/>
      <c r="F1887" s="72"/>
      <c r="G1887" s="69" t="str">
        <f t="shared" si="966"/>
        <v/>
      </c>
      <c r="H1887" s="69" t="str">
        <f t="shared" si="967"/>
        <v/>
      </c>
      <c r="I1887" s="69" t="str">
        <f t="shared" si="968"/>
        <v/>
      </c>
      <c r="J1887" s="75" t="str">
        <f t="shared" si="941"/>
        <v/>
      </c>
      <c r="K1887" s="63"/>
    </row>
    <row r="1888" spans="1:18" x14ac:dyDescent="0.25">
      <c r="A1888" s="4" t="s">
        <v>5</v>
      </c>
      <c r="B1888" s="33" t="s">
        <v>671</v>
      </c>
      <c r="C1888" s="33"/>
      <c r="D1888" s="70">
        <v>0</v>
      </c>
      <c r="E1888" s="70">
        <v>1</v>
      </c>
      <c r="F1888" s="70">
        <v>1</v>
      </c>
      <c r="G1888" s="67">
        <f t="shared" si="966"/>
        <v>0</v>
      </c>
      <c r="H1888" s="67">
        <f t="shared" si="967"/>
        <v>0</v>
      </c>
      <c r="I1888" s="67">
        <f t="shared" si="968"/>
        <v>1</v>
      </c>
      <c r="J1888" s="73">
        <f t="shared" si="941"/>
        <v>2</v>
      </c>
      <c r="K1888" s="61"/>
    </row>
    <row r="1889" spans="1:11" x14ac:dyDescent="0.25">
      <c r="A1889" s="2"/>
      <c r="B1889" s="37"/>
      <c r="C1889" s="37"/>
      <c r="D1889" s="71"/>
      <c r="E1889" s="71"/>
      <c r="F1889" s="71"/>
      <c r="G1889" s="68" t="str">
        <f t="shared" si="966"/>
        <v/>
      </c>
      <c r="H1889" s="68" t="str">
        <f t="shared" si="967"/>
        <v/>
      </c>
      <c r="I1889" s="68" t="str">
        <f t="shared" si="968"/>
        <v/>
      </c>
      <c r="J1889" s="74" t="str">
        <f t="shared" si="941"/>
        <v/>
      </c>
      <c r="K1889" s="62"/>
    </row>
    <row r="1890" spans="1:11" x14ac:dyDescent="0.25">
      <c r="A1890" s="3"/>
      <c r="B1890" s="40"/>
      <c r="C1890" s="37"/>
      <c r="D1890" s="71"/>
      <c r="E1890" s="71"/>
      <c r="F1890" s="71"/>
      <c r="G1890" s="69" t="str">
        <f t="shared" si="966"/>
        <v/>
      </c>
      <c r="H1890" s="69" t="str">
        <f t="shared" si="967"/>
        <v/>
      </c>
      <c r="I1890" s="69" t="str">
        <f t="shared" si="968"/>
        <v/>
      </c>
      <c r="J1890" s="75" t="str">
        <f t="shared" si="941"/>
        <v/>
      </c>
      <c r="K1890" s="63"/>
    </row>
    <row r="1891" spans="1:11" x14ac:dyDescent="0.25">
      <c r="A1891" s="4" t="s">
        <v>7</v>
      </c>
      <c r="B1891" s="33" t="s">
        <v>722</v>
      </c>
      <c r="C1891" s="33"/>
      <c r="D1891" s="70">
        <v>1</v>
      </c>
      <c r="E1891" s="70">
        <v>1</v>
      </c>
      <c r="F1891" s="70">
        <v>1</v>
      </c>
      <c r="G1891" s="67">
        <f t="shared" si="966"/>
        <v>1</v>
      </c>
      <c r="H1891" s="67">
        <f t="shared" si="967"/>
        <v>1</v>
      </c>
      <c r="I1891" s="67">
        <f t="shared" si="968"/>
        <v>1</v>
      </c>
      <c r="J1891" s="73">
        <f t="shared" si="941"/>
        <v>3</v>
      </c>
      <c r="K1891" s="61"/>
    </row>
    <row r="1892" spans="1:11" x14ac:dyDescent="0.25">
      <c r="A1892" s="2"/>
      <c r="B1892" s="37"/>
      <c r="C1892" s="37"/>
      <c r="D1892" s="71"/>
      <c r="E1892" s="71"/>
      <c r="F1892" s="71"/>
      <c r="G1892" s="68" t="str">
        <f t="shared" si="966"/>
        <v/>
      </c>
      <c r="H1892" s="68" t="str">
        <f t="shared" si="967"/>
        <v/>
      </c>
      <c r="I1892" s="68" t="str">
        <f t="shared" si="968"/>
        <v/>
      </c>
      <c r="J1892" s="74" t="str">
        <f t="shared" si="941"/>
        <v/>
      </c>
      <c r="K1892" s="62"/>
    </row>
    <row r="1893" spans="1:11" x14ac:dyDescent="0.25">
      <c r="A1893" s="3"/>
      <c r="B1893" s="40"/>
      <c r="C1893" s="40"/>
      <c r="D1893" s="72"/>
      <c r="E1893" s="72"/>
      <c r="F1893" s="72"/>
      <c r="G1893" s="69" t="str">
        <f t="shared" si="966"/>
        <v/>
      </c>
      <c r="H1893" s="69" t="str">
        <f t="shared" si="967"/>
        <v/>
      </c>
      <c r="I1893" s="69" t="str">
        <f t="shared" si="968"/>
        <v/>
      </c>
      <c r="J1893" s="75" t="str">
        <f t="shared" si="941"/>
        <v/>
      </c>
      <c r="K1893" s="63"/>
    </row>
    <row r="1894" spans="1:11" x14ac:dyDescent="0.25">
      <c r="A1894" s="4" t="s">
        <v>8</v>
      </c>
      <c r="B1894" s="37" t="s">
        <v>200</v>
      </c>
      <c r="C1894" s="37"/>
      <c r="D1894" s="70">
        <v>1</v>
      </c>
      <c r="E1894" s="70">
        <v>1</v>
      </c>
      <c r="F1894" s="70">
        <v>1</v>
      </c>
      <c r="G1894" s="67">
        <f t="shared" si="966"/>
        <v>1</v>
      </c>
      <c r="H1894" s="67">
        <f t="shared" si="967"/>
        <v>1</v>
      </c>
      <c r="I1894" s="67">
        <f t="shared" si="968"/>
        <v>1</v>
      </c>
      <c r="J1894" s="73">
        <f t="shared" si="941"/>
        <v>3</v>
      </c>
      <c r="K1894" s="61"/>
    </row>
    <row r="1895" spans="1:11" x14ac:dyDescent="0.25">
      <c r="A1895" s="2"/>
      <c r="B1895" s="37" t="s">
        <v>542</v>
      </c>
      <c r="C1895" s="37"/>
      <c r="D1895" s="71">
        <v>1</v>
      </c>
      <c r="E1895" s="71">
        <v>1</v>
      </c>
      <c r="F1895" s="71">
        <v>1</v>
      </c>
      <c r="G1895" s="68">
        <f t="shared" si="966"/>
        <v>1</v>
      </c>
      <c r="H1895" s="68">
        <f t="shared" si="967"/>
        <v>1</v>
      </c>
      <c r="I1895" s="68">
        <f t="shared" si="968"/>
        <v>1</v>
      </c>
      <c r="J1895" s="74">
        <f t="shared" si="941"/>
        <v>3</v>
      </c>
      <c r="K1895" s="62"/>
    </row>
    <row r="1896" spans="1:11" x14ac:dyDescent="0.25">
      <c r="A1896" s="3"/>
      <c r="B1896" s="40"/>
      <c r="C1896" s="40"/>
      <c r="D1896" s="72"/>
      <c r="E1896" s="72"/>
      <c r="F1896" s="72"/>
      <c r="G1896" s="69" t="str">
        <f t="shared" si="966"/>
        <v/>
      </c>
      <c r="H1896" s="69" t="str">
        <f t="shared" si="967"/>
        <v/>
      </c>
      <c r="I1896" s="69" t="str">
        <f t="shared" si="968"/>
        <v/>
      </c>
      <c r="J1896" s="75" t="str">
        <f t="shared" si="941"/>
        <v/>
      </c>
      <c r="K1896" s="63"/>
    </row>
    <row r="1897" spans="1:11" x14ac:dyDescent="0.25">
      <c r="A1897" s="2" t="s">
        <v>9</v>
      </c>
      <c r="B1897" s="37" t="s">
        <v>1105</v>
      </c>
      <c r="C1897" s="37"/>
      <c r="D1897" s="71">
        <v>1</v>
      </c>
      <c r="E1897" s="71">
        <v>1</v>
      </c>
      <c r="F1897" s="71">
        <v>0</v>
      </c>
      <c r="G1897" s="68">
        <f t="shared" si="966"/>
        <v>1</v>
      </c>
      <c r="H1897" s="68">
        <f t="shared" si="967"/>
        <v>0</v>
      </c>
      <c r="I1897" s="68">
        <f t="shared" si="968"/>
        <v>0</v>
      </c>
      <c r="J1897" s="74">
        <f t="shared" si="941"/>
        <v>2</v>
      </c>
      <c r="K1897" s="62"/>
    </row>
    <row r="1898" spans="1:11" x14ac:dyDescent="0.25">
      <c r="A1898" s="2"/>
      <c r="B1898" s="37"/>
      <c r="C1898" s="37"/>
      <c r="D1898" s="71"/>
      <c r="E1898" s="71"/>
      <c r="F1898" s="71"/>
      <c r="G1898" s="68" t="str">
        <f t="shared" si="966"/>
        <v/>
      </c>
      <c r="H1898" s="68" t="str">
        <f t="shared" si="967"/>
        <v/>
      </c>
      <c r="I1898" s="68" t="str">
        <f t="shared" si="968"/>
        <v/>
      </c>
      <c r="J1898" s="74" t="str">
        <f t="shared" ref="J1898:J1973" si="975">IF(B1898="","",SUM(D1898:F1898))</f>
        <v/>
      </c>
      <c r="K1898" s="62"/>
    </row>
    <row r="1899" spans="1:11" x14ac:dyDescent="0.25">
      <c r="A1899" s="3"/>
      <c r="B1899" s="40"/>
      <c r="C1899" s="40"/>
      <c r="D1899" s="72"/>
      <c r="E1899" s="72"/>
      <c r="F1899" s="72"/>
      <c r="G1899" s="69" t="str">
        <f t="shared" si="966"/>
        <v/>
      </c>
      <c r="H1899" s="69" t="str">
        <f t="shared" si="967"/>
        <v/>
      </c>
      <c r="I1899" s="69" t="str">
        <f t="shared" si="968"/>
        <v/>
      </c>
      <c r="J1899" s="75" t="str">
        <f t="shared" si="975"/>
        <v/>
      </c>
      <c r="K1899" s="63"/>
    </row>
    <row r="1900" spans="1:11" x14ac:dyDescent="0.25">
      <c r="A1900" s="2" t="s">
        <v>1224</v>
      </c>
      <c r="B1900" s="37" t="s">
        <v>1105</v>
      </c>
      <c r="C1900" s="37"/>
      <c r="D1900" s="71">
        <v>1</v>
      </c>
      <c r="E1900" s="71">
        <v>1</v>
      </c>
      <c r="F1900" s="71">
        <v>1</v>
      </c>
      <c r="G1900" s="68">
        <f t="shared" si="966"/>
        <v>1</v>
      </c>
      <c r="H1900" s="68">
        <f t="shared" si="967"/>
        <v>1</v>
      </c>
      <c r="I1900" s="68">
        <f t="shared" si="968"/>
        <v>1</v>
      </c>
      <c r="J1900" s="74">
        <f t="shared" ref="J1900:J1902" si="976">IF(B1900="","",SUM(D1900:F1900))</f>
        <v>3</v>
      </c>
      <c r="K1900" s="62"/>
    </row>
    <row r="1901" spans="1:11" x14ac:dyDescent="0.25">
      <c r="A1901" s="2"/>
      <c r="B1901" s="37"/>
      <c r="C1901" s="37"/>
      <c r="D1901" s="71"/>
      <c r="E1901" s="71"/>
      <c r="F1901" s="71"/>
      <c r="G1901" s="68" t="str">
        <f t="shared" si="966"/>
        <v/>
      </c>
      <c r="H1901" s="68" t="str">
        <f t="shared" si="967"/>
        <v/>
      </c>
      <c r="I1901" s="68" t="str">
        <f t="shared" si="968"/>
        <v/>
      </c>
      <c r="J1901" s="74" t="str">
        <f t="shared" si="976"/>
        <v/>
      </c>
      <c r="K1901" s="62"/>
    </row>
    <row r="1902" spans="1:11" x14ac:dyDescent="0.25">
      <c r="A1902" s="3"/>
      <c r="B1902" s="40"/>
      <c r="C1902" s="40"/>
      <c r="D1902" s="72"/>
      <c r="E1902" s="72"/>
      <c r="F1902" s="72"/>
      <c r="G1902" s="69" t="str">
        <f t="shared" si="966"/>
        <v/>
      </c>
      <c r="H1902" s="69" t="str">
        <f t="shared" si="967"/>
        <v/>
      </c>
      <c r="I1902" s="69" t="str">
        <f t="shared" si="968"/>
        <v/>
      </c>
      <c r="J1902" s="75" t="str">
        <f t="shared" si="976"/>
        <v/>
      </c>
      <c r="K1902" s="63"/>
    </row>
    <row r="1904" spans="1:11" x14ac:dyDescent="0.25">
      <c r="A1904" s="81">
        <v>96</v>
      </c>
      <c r="B1904" s="49" t="s">
        <v>1212</v>
      </c>
      <c r="C1904" s="31" t="s">
        <v>1490</v>
      </c>
      <c r="D1904" s="76"/>
      <c r="E1904" s="66"/>
      <c r="F1904" s="66"/>
      <c r="G1904" s="66"/>
      <c r="H1904" s="66"/>
      <c r="I1904" s="66"/>
      <c r="J1904" s="60"/>
      <c r="K1904" s="60"/>
    </row>
    <row r="1905" spans="1:18" x14ac:dyDescent="0.25">
      <c r="A1905" s="4" t="s">
        <v>6</v>
      </c>
      <c r="B1905" s="37" t="s">
        <v>1044</v>
      </c>
      <c r="C1905" s="37"/>
      <c r="D1905" s="70">
        <v>1</v>
      </c>
      <c r="E1905" s="70">
        <v>1</v>
      </c>
      <c r="F1905" s="70">
        <v>1</v>
      </c>
      <c r="G1905" s="67">
        <f t="shared" ref="G1905:G1922" si="977">IF(B1905="","",IF( AND(D1905=1, E1905=1),1,0))</f>
        <v>1</v>
      </c>
      <c r="H1905" s="67">
        <f t="shared" ref="H1905:H1922" si="978">IF(B1905="","",IF(AND(D1905=1,F1905=1),1,0))</f>
        <v>1</v>
      </c>
      <c r="I1905" s="67">
        <f t="shared" ref="I1905:I1922" si="979">IF(B1905="","",IF(AND(E1905=1,F1905=1),1,0))</f>
        <v>1</v>
      </c>
      <c r="J1905" s="73">
        <f t="shared" ref="J1905" si="980">IF(B1905="","",SUM(D1905:F1905))</f>
        <v>3</v>
      </c>
      <c r="K1905" s="61"/>
      <c r="M1905" s="7">
        <f t="shared" ref="M1905" si="981">SUM(G1905:I1905)/3</f>
        <v>1</v>
      </c>
      <c r="N1905" s="6">
        <f t="shared" ref="N1905" si="982">SUM(G1908:I1908)/3</f>
        <v>1</v>
      </c>
      <c r="O1905" s="7">
        <f t="shared" ref="O1905" si="983">SUM(G1911:I1911)/3</f>
        <v>1</v>
      </c>
      <c r="P1905" s="6">
        <f t="shared" ref="P1905" si="984">SUM(G1914:I1914)/3</f>
        <v>1</v>
      </c>
      <c r="Q1905" s="7">
        <f t="shared" ref="Q1905:R1905" si="985">SUM(G1917:I1917)/3</f>
        <v>0.33333333333333331</v>
      </c>
      <c r="R1905" s="7">
        <f t="shared" si="985"/>
        <v>1</v>
      </c>
    </row>
    <row r="1906" spans="1:18" x14ac:dyDescent="0.25">
      <c r="A1906" s="2"/>
      <c r="B1906" s="37"/>
      <c r="C1906" s="37"/>
      <c r="D1906" s="71"/>
      <c r="E1906" s="71"/>
      <c r="F1906" s="71"/>
      <c r="G1906" s="68" t="str">
        <f t="shared" si="977"/>
        <v/>
      </c>
      <c r="H1906" s="68" t="str">
        <f t="shared" si="978"/>
        <v/>
      </c>
      <c r="I1906" s="68" t="str">
        <f t="shared" si="979"/>
        <v/>
      </c>
      <c r="J1906" s="74" t="str">
        <f t="shared" si="975"/>
        <v/>
      </c>
      <c r="K1906" s="62"/>
    </row>
    <row r="1907" spans="1:18" x14ac:dyDescent="0.25">
      <c r="A1907" s="3"/>
      <c r="B1907" s="42"/>
      <c r="C1907" s="42"/>
      <c r="D1907" s="72"/>
      <c r="E1907" s="72"/>
      <c r="F1907" s="72"/>
      <c r="G1907" s="69" t="str">
        <f t="shared" si="977"/>
        <v/>
      </c>
      <c r="H1907" s="69" t="str">
        <f t="shared" si="978"/>
        <v/>
      </c>
      <c r="I1907" s="69" t="str">
        <f t="shared" si="979"/>
        <v/>
      </c>
      <c r="J1907" s="75" t="str">
        <f t="shared" si="975"/>
        <v/>
      </c>
      <c r="K1907" s="63"/>
    </row>
    <row r="1908" spans="1:18" x14ac:dyDescent="0.25">
      <c r="A1908" s="4" t="s">
        <v>5</v>
      </c>
      <c r="B1908" s="33" t="s">
        <v>116</v>
      </c>
      <c r="C1908" s="33"/>
      <c r="D1908" s="70">
        <v>1</v>
      </c>
      <c r="E1908" s="70">
        <v>1</v>
      </c>
      <c r="F1908" s="70">
        <v>1</v>
      </c>
      <c r="G1908" s="67">
        <f t="shared" si="977"/>
        <v>1</v>
      </c>
      <c r="H1908" s="67">
        <f t="shared" si="978"/>
        <v>1</v>
      </c>
      <c r="I1908" s="67">
        <f t="shared" si="979"/>
        <v>1</v>
      </c>
      <c r="J1908" s="73">
        <f t="shared" si="975"/>
        <v>3</v>
      </c>
      <c r="K1908" s="61"/>
    </row>
    <row r="1909" spans="1:18" x14ac:dyDescent="0.25">
      <c r="A1909" s="2"/>
      <c r="B1909" s="37"/>
      <c r="C1909" s="37"/>
      <c r="D1909" s="71"/>
      <c r="E1909" s="71"/>
      <c r="F1909" s="71"/>
      <c r="G1909" s="68" t="str">
        <f t="shared" si="977"/>
        <v/>
      </c>
      <c r="H1909" s="68" t="str">
        <f t="shared" si="978"/>
        <v/>
      </c>
      <c r="I1909" s="68" t="str">
        <f t="shared" si="979"/>
        <v/>
      </c>
      <c r="J1909" s="74" t="str">
        <f t="shared" si="975"/>
        <v/>
      </c>
      <c r="K1909" s="62"/>
    </row>
    <row r="1910" spans="1:18" x14ac:dyDescent="0.25">
      <c r="A1910" s="3"/>
      <c r="B1910" s="40"/>
      <c r="C1910" s="37"/>
      <c r="D1910" s="71"/>
      <c r="E1910" s="71"/>
      <c r="F1910" s="71"/>
      <c r="G1910" s="69" t="str">
        <f t="shared" si="977"/>
        <v/>
      </c>
      <c r="H1910" s="69" t="str">
        <f t="shared" si="978"/>
        <v/>
      </c>
      <c r="I1910" s="69" t="str">
        <f t="shared" si="979"/>
        <v/>
      </c>
      <c r="J1910" s="75" t="str">
        <f t="shared" si="975"/>
        <v/>
      </c>
      <c r="K1910" s="63"/>
    </row>
    <row r="1911" spans="1:18" x14ac:dyDescent="0.25">
      <c r="A1911" s="4" t="s">
        <v>7</v>
      </c>
      <c r="B1911" s="33" t="s">
        <v>722</v>
      </c>
      <c r="C1911" s="33"/>
      <c r="D1911" s="70">
        <v>1</v>
      </c>
      <c r="E1911" s="70">
        <v>1</v>
      </c>
      <c r="F1911" s="70">
        <v>1</v>
      </c>
      <c r="G1911" s="67">
        <f t="shared" si="977"/>
        <v>1</v>
      </c>
      <c r="H1911" s="67">
        <f t="shared" si="978"/>
        <v>1</v>
      </c>
      <c r="I1911" s="67">
        <f t="shared" si="979"/>
        <v>1</v>
      </c>
      <c r="J1911" s="73">
        <f t="shared" si="975"/>
        <v>3</v>
      </c>
      <c r="K1911" s="61"/>
    </row>
    <row r="1912" spans="1:18" x14ac:dyDescent="0.25">
      <c r="A1912" s="2"/>
      <c r="B1912" s="37"/>
      <c r="C1912" s="37"/>
      <c r="D1912" s="71"/>
      <c r="E1912" s="71"/>
      <c r="F1912" s="71"/>
      <c r="G1912" s="68" t="str">
        <f t="shared" si="977"/>
        <v/>
      </c>
      <c r="H1912" s="68" t="str">
        <f t="shared" si="978"/>
        <v/>
      </c>
      <c r="I1912" s="68" t="str">
        <f t="shared" si="979"/>
        <v/>
      </c>
      <c r="J1912" s="74" t="str">
        <f t="shared" si="975"/>
        <v/>
      </c>
      <c r="K1912" s="62"/>
    </row>
    <row r="1913" spans="1:18" x14ac:dyDescent="0.25">
      <c r="A1913" s="3"/>
      <c r="B1913" s="40"/>
      <c r="C1913" s="40"/>
      <c r="D1913" s="72"/>
      <c r="E1913" s="72"/>
      <c r="F1913" s="72"/>
      <c r="G1913" s="69" t="str">
        <f t="shared" si="977"/>
        <v/>
      </c>
      <c r="H1913" s="69" t="str">
        <f t="shared" si="978"/>
        <v/>
      </c>
      <c r="I1913" s="69" t="str">
        <f t="shared" si="979"/>
        <v/>
      </c>
      <c r="J1913" s="75" t="str">
        <f t="shared" si="975"/>
        <v/>
      </c>
      <c r="K1913" s="63"/>
    </row>
    <row r="1914" spans="1:18" x14ac:dyDescent="0.25">
      <c r="A1914" s="4" t="s">
        <v>8</v>
      </c>
      <c r="B1914" s="37" t="s">
        <v>542</v>
      </c>
      <c r="C1914" s="37"/>
      <c r="D1914" s="70">
        <v>1</v>
      </c>
      <c r="E1914" s="70">
        <v>1</v>
      </c>
      <c r="F1914" s="70">
        <v>1</v>
      </c>
      <c r="G1914" s="67">
        <f t="shared" si="977"/>
        <v>1</v>
      </c>
      <c r="H1914" s="67">
        <f t="shared" si="978"/>
        <v>1</v>
      </c>
      <c r="I1914" s="67">
        <f t="shared" si="979"/>
        <v>1</v>
      </c>
      <c r="J1914" s="73">
        <f t="shared" si="975"/>
        <v>3</v>
      </c>
      <c r="K1914" s="61"/>
    </row>
    <row r="1915" spans="1:18" x14ac:dyDescent="0.25">
      <c r="A1915" s="2"/>
      <c r="B1915" s="37"/>
      <c r="C1915" s="37"/>
      <c r="D1915" s="71"/>
      <c r="E1915" s="71"/>
      <c r="F1915" s="71"/>
      <c r="G1915" s="68" t="str">
        <f t="shared" si="977"/>
        <v/>
      </c>
      <c r="H1915" s="68" t="str">
        <f t="shared" si="978"/>
        <v/>
      </c>
      <c r="I1915" s="68" t="str">
        <f t="shared" si="979"/>
        <v/>
      </c>
      <c r="J1915" s="74" t="str">
        <f t="shared" si="975"/>
        <v/>
      </c>
      <c r="K1915" s="62"/>
    </row>
    <row r="1916" spans="1:18" x14ac:dyDescent="0.25">
      <c r="A1916" s="3"/>
      <c r="B1916" s="40"/>
      <c r="C1916" s="40"/>
      <c r="D1916" s="72"/>
      <c r="E1916" s="72"/>
      <c r="F1916" s="72"/>
      <c r="G1916" s="69" t="str">
        <f t="shared" si="977"/>
        <v/>
      </c>
      <c r="H1916" s="69" t="str">
        <f t="shared" si="978"/>
        <v/>
      </c>
      <c r="I1916" s="69" t="str">
        <f t="shared" si="979"/>
        <v/>
      </c>
      <c r="J1916" s="75" t="str">
        <f t="shared" si="975"/>
        <v/>
      </c>
      <c r="K1916" s="63"/>
    </row>
    <row r="1917" spans="1:18" x14ac:dyDescent="0.25">
      <c r="A1917" s="2" t="s">
        <v>9</v>
      </c>
      <c r="B1917" s="37" t="s">
        <v>1105</v>
      </c>
      <c r="C1917" s="37"/>
      <c r="D1917" s="71">
        <v>0</v>
      </c>
      <c r="E1917" s="71">
        <v>1</v>
      </c>
      <c r="F1917" s="71">
        <v>1</v>
      </c>
      <c r="G1917" s="68">
        <f t="shared" si="977"/>
        <v>0</v>
      </c>
      <c r="H1917" s="68">
        <f t="shared" si="978"/>
        <v>0</v>
      </c>
      <c r="I1917" s="68">
        <f t="shared" si="979"/>
        <v>1</v>
      </c>
      <c r="J1917" s="74">
        <f t="shared" si="975"/>
        <v>2</v>
      </c>
      <c r="K1917" s="62"/>
    </row>
    <row r="1918" spans="1:18" x14ac:dyDescent="0.25">
      <c r="A1918" s="2"/>
      <c r="B1918" s="37"/>
      <c r="C1918" s="37"/>
      <c r="D1918" s="71"/>
      <c r="E1918" s="71"/>
      <c r="F1918" s="71"/>
      <c r="G1918" s="68" t="str">
        <f t="shared" si="977"/>
        <v/>
      </c>
      <c r="H1918" s="68" t="str">
        <f t="shared" si="978"/>
        <v/>
      </c>
      <c r="I1918" s="68" t="str">
        <f t="shared" si="979"/>
        <v/>
      </c>
      <c r="J1918" s="74" t="str">
        <f t="shared" si="975"/>
        <v/>
      </c>
      <c r="K1918" s="62"/>
    </row>
    <row r="1919" spans="1:18" x14ac:dyDescent="0.25">
      <c r="A1919" s="3"/>
      <c r="B1919" s="40"/>
      <c r="C1919" s="40"/>
      <c r="D1919" s="72"/>
      <c r="E1919" s="72"/>
      <c r="F1919" s="72"/>
      <c r="G1919" s="69" t="str">
        <f t="shared" si="977"/>
        <v/>
      </c>
      <c r="H1919" s="69" t="str">
        <f t="shared" si="978"/>
        <v/>
      </c>
      <c r="I1919" s="69" t="str">
        <f t="shared" si="979"/>
        <v/>
      </c>
      <c r="J1919" s="75" t="str">
        <f t="shared" si="975"/>
        <v/>
      </c>
      <c r="K1919" s="63"/>
    </row>
    <row r="1920" spans="1:18" x14ac:dyDescent="0.25">
      <c r="A1920" s="2" t="s">
        <v>1224</v>
      </c>
      <c r="B1920" s="37" t="s">
        <v>1364</v>
      </c>
      <c r="C1920" s="37"/>
      <c r="D1920" s="71">
        <v>0</v>
      </c>
      <c r="E1920" s="71">
        <v>1</v>
      </c>
      <c r="F1920" s="71">
        <v>1</v>
      </c>
      <c r="G1920" s="68">
        <f t="shared" si="977"/>
        <v>0</v>
      </c>
      <c r="H1920" s="68">
        <f t="shared" si="978"/>
        <v>0</v>
      </c>
      <c r="I1920" s="68">
        <f t="shared" si="979"/>
        <v>1</v>
      </c>
      <c r="J1920" s="74">
        <f t="shared" ref="J1920:J1922" si="986">IF(B1920="","",SUM(D1920:F1920))</f>
        <v>2</v>
      </c>
      <c r="K1920" s="62"/>
    </row>
    <row r="1921" spans="1:18" x14ac:dyDescent="0.25">
      <c r="A1921" s="2"/>
      <c r="B1921" s="37"/>
      <c r="C1921" s="37"/>
      <c r="D1921" s="71"/>
      <c r="E1921" s="71"/>
      <c r="F1921" s="71"/>
      <c r="G1921" s="68" t="str">
        <f t="shared" si="977"/>
        <v/>
      </c>
      <c r="H1921" s="68" t="str">
        <f t="shared" si="978"/>
        <v/>
      </c>
      <c r="I1921" s="68" t="str">
        <f t="shared" si="979"/>
        <v/>
      </c>
      <c r="J1921" s="74" t="str">
        <f t="shared" si="986"/>
        <v/>
      </c>
      <c r="K1921" s="62"/>
    </row>
    <row r="1922" spans="1:18" x14ac:dyDescent="0.25">
      <c r="A1922" s="3"/>
      <c r="B1922" s="40"/>
      <c r="C1922" s="40"/>
      <c r="D1922" s="72"/>
      <c r="E1922" s="72"/>
      <c r="F1922" s="72"/>
      <c r="G1922" s="69" t="str">
        <f t="shared" si="977"/>
        <v/>
      </c>
      <c r="H1922" s="69" t="str">
        <f t="shared" si="978"/>
        <v/>
      </c>
      <c r="I1922" s="69" t="str">
        <f t="shared" si="979"/>
        <v/>
      </c>
      <c r="J1922" s="75" t="str">
        <f t="shared" si="986"/>
        <v/>
      </c>
      <c r="K1922" s="63"/>
    </row>
    <row r="1924" spans="1:18" x14ac:dyDescent="0.25">
      <c r="A1924" s="81">
        <v>97</v>
      </c>
      <c r="B1924" s="49" t="s">
        <v>1215</v>
      </c>
      <c r="C1924" s="31" t="s">
        <v>1491</v>
      </c>
      <c r="D1924" s="76"/>
      <c r="E1924" s="66"/>
      <c r="F1924" s="66"/>
      <c r="G1924" s="66"/>
      <c r="H1924" s="66"/>
      <c r="I1924" s="66"/>
      <c r="J1924" s="60"/>
      <c r="K1924" s="60"/>
    </row>
    <row r="1925" spans="1:18" x14ac:dyDescent="0.25">
      <c r="A1925" s="4" t="s">
        <v>6</v>
      </c>
      <c r="B1925" s="37" t="s">
        <v>729</v>
      </c>
      <c r="C1925" s="37"/>
      <c r="D1925" s="70">
        <v>1</v>
      </c>
      <c r="E1925" s="70">
        <v>1</v>
      </c>
      <c r="F1925" s="70">
        <v>1</v>
      </c>
      <c r="G1925" s="67">
        <f t="shared" ref="G1925:G1942" si="987">IF(B1925="","",IF( AND(D1925=1, E1925=1),1,0))</f>
        <v>1</v>
      </c>
      <c r="H1925" s="67">
        <f t="shared" ref="H1925:H1942" si="988">IF(B1925="","",IF(AND(D1925=1,F1925=1),1,0))</f>
        <v>1</v>
      </c>
      <c r="I1925" s="67">
        <f t="shared" ref="I1925:I1942" si="989">IF(B1925="","",IF(AND(E1925=1,F1925=1),1,0))</f>
        <v>1</v>
      </c>
      <c r="J1925" s="73">
        <f t="shared" ref="J1925" si="990">IF(B1925="","",SUM(D1925:F1925))</f>
        <v>3</v>
      </c>
      <c r="K1925" s="61"/>
      <c r="M1925" s="7">
        <f t="shared" ref="M1925" si="991">SUM(G1925:I1925)/3</f>
        <v>1</v>
      </c>
      <c r="N1925" s="6">
        <f t="shared" ref="N1925" si="992">SUM(G1928:I1928)/3</f>
        <v>0.33333333333333331</v>
      </c>
      <c r="O1925" s="7">
        <f t="shared" ref="O1925" si="993">SUM(G1931:I1931)/3</f>
        <v>1</v>
      </c>
      <c r="P1925" s="6">
        <f t="shared" ref="P1925" si="994">SUM(G1934:I1934)/3</f>
        <v>1</v>
      </c>
      <c r="Q1925" s="7">
        <f t="shared" ref="Q1925" si="995">SUM(G1937:I1937)/3</f>
        <v>1</v>
      </c>
      <c r="R1925" s="7">
        <f>SUM(G1940:I1940)/3</f>
        <v>0.33333333333333331</v>
      </c>
    </row>
    <row r="1926" spans="1:18" x14ac:dyDescent="0.25">
      <c r="A1926" s="2"/>
      <c r="B1926" s="37"/>
      <c r="C1926" s="37"/>
      <c r="D1926" s="71"/>
      <c r="E1926" s="71"/>
      <c r="F1926" s="71"/>
      <c r="G1926" s="68" t="str">
        <f t="shared" si="987"/>
        <v/>
      </c>
      <c r="H1926" s="68" t="str">
        <f t="shared" si="988"/>
        <v/>
      </c>
      <c r="I1926" s="68" t="str">
        <f t="shared" si="989"/>
        <v/>
      </c>
      <c r="J1926" s="74" t="str">
        <f t="shared" si="975"/>
        <v/>
      </c>
      <c r="K1926" s="62"/>
    </row>
    <row r="1927" spans="1:18" x14ac:dyDescent="0.25">
      <c r="A1927" s="3"/>
      <c r="B1927" s="42"/>
      <c r="C1927" s="42"/>
      <c r="D1927" s="72"/>
      <c r="E1927" s="72"/>
      <c r="F1927" s="72"/>
      <c r="G1927" s="69" t="str">
        <f t="shared" si="987"/>
        <v/>
      </c>
      <c r="H1927" s="69" t="str">
        <f t="shared" si="988"/>
        <v/>
      </c>
      <c r="I1927" s="69" t="str">
        <f t="shared" si="989"/>
        <v/>
      </c>
      <c r="J1927" s="75" t="str">
        <f t="shared" si="975"/>
        <v/>
      </c>
      <c r="K1927" s="63"/>
    </row>
    <row r="1928" spans="1:18" x14ac:dyDescent="0.25">
      <c r="A1928" s="4" t="s">
        <v>5</v>
      </c>
      <c r="B1928" s="33" t="s">
        <v>671</v>
      </c>
      <c r="C1928" s="33"/>
      <c r="D1928" s="70">
        <v>0</v>
      </c>
      <c r="E1928" s="70">
        <v>1</v>
      </c>
      <c r="F1928" s="70">
        <v>1</v>
      </c>
      <c r="G1928" s="67">
        <f t="shared" si="987"/>
        <v>0</v>
      </c>
      <c r="H1928" s="67">
        <f t="shared" si="988"/>
        <v>0</v>
      </c>
      <c r="I1928" s="67">
        <f t="shared" si="989"/>
        <v>1</v>
      </c>
      <c r="J1928" s="73">
        <f t="shared" si="975"/>
        <v>2</v>
      </c>
      <c r="K1928" s="61"/>
    </row>
    <row r="1929" spans="1:18" x14ac:dyDescent="0.25">
      <c r="A1929" s="2"/>
      <c r="B1929" s="37"/>
      <c r="C1929" s="37"/>
      <c r="D1929" s="71"/>
      <c r="E1929" s="71"/>
      <c r="F1929" s="71"/>
      <c r="G1929" s="68" t="str">
        <f t="shared" si="987"/>
        <v/>
      </c>
      <c r="H1929" s="68" t="str">
        <f t="shared" si="988"/>
        <v/>
      </c>
      <c r="I1929" s="68" t="str">
        <f t="shared" si="989"/>
        <v/>
      </c>
      <c r="J1929" s="74" t="str">
        <f t="shared" si="975"/>
        <v/>
      </c>
      <c r="K1929" s="62"/>
    </row>
    <row r="1930" spans="1:18" x14ac:dyDescent="0.25">
      <c r="A1930" s="3"/>
      <c r="B1930" s="40"/>
      <c r="C1930" s="37"/>
      <c r="D1930" s="71"/>
      <c r="E1930" s="71"/>
      <c r="F1930" s="71"/>
      <c r="G1930" s="69" t="str">
        <f t="shared" si="987"/>
        <v/>
      </c>
      <c r="H1930" s="69" t="str">
        <f t="shared" si="988"/>
        <v/>
      </c>
      <c r="I1930" s="69" t="str">
        <f t="shared" si="989"/>
        <v/>
      </c>
      <c r="J1930" s="75" t="str">
        <f t="shared" si="975"/>
        <v/>
      </c>
      <c r="K1930" s="63"/>
    </row>
    <row r="1931" spans="1:18" x14ac:dyDescent="0.25">
      <c r="A1931" s="4" t="s">
        <v>7</v>
      </c>
      <c r="B1931" s="33" t="s">
        <v>730</v>
      </c>
      <c r="C1931" s="33"/>
      <c r="D1931" s="70">
        <v>1</v>
      </c>
      <c r="E1931" s="70">
        <v>1</v>
      </c>
      <c r="F1931" s="70">
        <v>1</v>
      </c>
      <c r="G1931" s="67">
        <f t="shared" si="987"/>
        <v>1</v>
      </c>
      <c r="H1931" s="67">
        <f t="shared" si="988"/>
        <v>1</v>
      </c>
      <c r="I1931" s="67">
        <f t="shared" si="989"/>
        <v>1</v>
      </c>
      <c r="J1931" s="73">
        <f t="shared" si="975"/>
        <v>3</v>
      </c>
      <c r="K1931" s="61"/>
    </row>
    <row r="1932" spans="1:18" x14ac:dyDescent="0.25">
      <c r="A1932" s="2"/>
      <c r="B1932" s="33" t="s">
        <v>722</v>
      </c>
      <c r="C1932" s="37"/>
      <c r="D1932" s="71">
        <v>1</v>
      </c>
      <c r="E1932" s="71">
        <v>1</v>
      </c>
      <c r="F1932" s="71">
        <v>0</v>
      </c>
      <c r="G1932" s="68">
        <f t="shared" si="987"/>
        <v>1</v>
      </c>
      <c r="H1932" s="68">
        <f t="shared" si="988"/>
        <v>0</v>
      </c>
      <c r="I1932" s="68">
        <f t="shared" si="989"/>
        <v>0</v>
      </c>
      <c r="J1932" s="74">
        <f t="shared" si="975"/>
        <v>2</v>
      </c>
      <c r="K1932" s="62"/>
    </row>
    <row r="1933" spans="1:18" x14ac:dyDescent="0.25">
      <c r="A1933" s="3"/>
      <c r="B1933" s="40"/>
      <c r="C1933" s="40"/>
      <c r="D1933" s="72"/>
      <c r="E1933" s="72"/>
      <c r="F1933" s="72"/>
      <c r="G1933" s="69" t="str">
        <f t="shared" si="987"/>
        <v/>
      </c>
      <c r="H1933" s="69" t="str">
        <f t="shared" si="988"/>
        <v/>
      </c>
      <c r="I1933" s="69" t="str">
        <f t="shared" si="989"/>
        <v/>
      </c>
      <c r="J1933" s="75" t="str">
        <f t="shared" si="975"/>
        <v/>
      </c>
      <c r="K1933" s="63"/>
    </row>
    <row r="1934" spans="1:18" x14ac:dyDescent="0.25">
      <c r="A1934" s="4" t="s">
        <v>8</v>
      </c>
      <c r="B1934" s="37" t="s">
        <v>200</v>
      </c>
      <c r="C1934" s="37"/>
      <c r="D1934" s="70">
        <v>1</v>
      </c>
      <c r="E1934" s="70">
        <v>1</v>
      </c>
      <c r="F1934" s="70">
        <v>1</v>
      </c>
      <c r="G1934" s="67">
        <f t="shared" si="987"/>
        <v>1</v>
      </c>
      <c r="H1934" s="67">
        <f t="shared" si="988"/>
        <v>1</v>
      </c>
      <c r="I1934" s="67">
        <f t="shared" si="989"/>
        <v>1</v>
      </c>
      <c r="J1934" s="73">
        <f t="shared" si="975"/>
        <v>3</v>
      </c>
      <c r="K1934" s="61"/>
    </row>
    <row r="1935" spans="1:18" x14ac:dyDescent="0.25">
      <c r="A1935" s="2"/>
      <c r="B1935" s="37"/>
      <c r="C1935" s="37"/>
      <c r="D1935" s="71"/>
      <c r="E1935" s="71"/>
      <c r="F1935" s="71"/>
      <c r="G1935" s="68" t="str">
        <f t="shared" si="987"/>
        <v/>
      </c>
      <c r="H1935" s="68" t="str">
        <f t="shared" si="988"/>
        <v/>
      </c>
      <c r="I1935" s="68" t="str">
        <f t="shared" si="989"/>
        <v/>
      </c>
      <c r="J1935" s="74" t="str">
        <f t="shared" si="975"/>
        <v/>
      </c>
      <c r="K1935" s="62"/>
    </row>
    <row r="1936" spans="1:18" x14ac:dyDescent="0.25">
      <c r="A1936" s="3"/>
      <c r="B1936" s="40"/>
      <c r="C1936" s="40"/>
      <c r="D1936" s="72"/>
      <c r="E1936" s="72"/>
      <c r="F1936" s="72"/>
      <c r="G1936" s="69" t="str">
        <f t="shared" si="987"/>
        <v/>
      </c>
      <c r="H1936" s="69" t="str">
        <f t="shared" si="988"/>
        <v/>
      </c>
      <c r="I1936" s="69" t="str">
        <f t="shared" si="989"/>
        <v/>
      </c>
      <c r="J1936" s="75" t="str">
        <f t="shared" si="975"/>
        <v/>
      </c>
      <c r="K1936" s="63"/>
    </row>
    <row r="1937" spans="1:18" x14ac:dyDescent="0.25">
      <c r="A1937" s="2" t="s">
        <v>9</v>
      </c>
      <c r="B1937" s="37" t="s">
        <v>976</v>
      </c>
      <c r="C1937" s="37"/>
      <c r="D1937" s="71">
        <v>1</v>
      </c>
      <c r="E1937" s="71">
        <v>1</v>
      </c>
      <c r="F1937" s="71">
        <v>1</v>
      </c>
      <c r="G1937" s="68">
        <f t="shared" si="987"/>
        <v>1</v>
      </c>
      <c r="H1937" s="68">
        <f t="shared" si="988"/>
        <v>1</v>
      </c>
      <c r="I1937" s="68">
        <f t="shared" si="989"/>
        <v>1</v>
      </c>
      <c r="J1937" s="74">
        <f t="shared" si="975"/>
        <v>3</v>
      </c>
      <c r="K1937" s="62"/>
    </row>
    <row r="1938" spans="1:18" x14ac:dyDescent="0.25">
      <c r="A1938" s="2"/>
      <c r="B1938" s="37"/>
      <c r="C1938" s="37"/>
      <c r="D1938" s="71"/>
      <c r="E1938" s="71"/>
      <c r="F1938" s="71"/>
      <c r="G1938" s="68" t="str">
        <f t="shared" si="987"/>
        <v/>
      </c>
      <c r="H1938" s="68" t="str">
        <f t="shared" si="988"/>
        <v/>
      </c>
      <c r="I1938" s="68" t="str">
        <f t="shared" si="989"/>
        <v/>
      </c>
      <c r="J1938" s="74" t="str">
        <f t="shared" si="975"/>
        <v/>
      </c>
      <c r="K1938" s="62"/>
    </row>
    <row r="1939" spans="1:18" x14ac:dyDescent="0.25">
      <c r="A1939" s="3"/>
      <c r="B1939" s="40"/>
      <c r="C1939" s="40"/>
      <c r="D1939" s="72"/>
      <c r="E1939" s="72"/>
      <c r="F1939" s="72"/>
      <c r="G1939" s="69" t="str">
        <f t="shared" si="987"/>
        <v/>
      </c>
      <c r="H1939" s="69" t="str">
        <f t="shared" si="988"/>
        <v/>
      </c>
      <c r="I1939" s="69" t="str">
        <f t="shared" si="989"/>
        <v/>
      </c>
      <c r="J1939" s="75" t="str">
        <f t="shared" si="975"/>
        <v/>
      </c>
      <c r="K1939" s="63"/>
    </row>
    <row r="1940" spans="1:18" x14ac:dyDescent="0.25">
      <c r="A1940" s="2" t="s">
        <v>1224</v>
      </c>
      <c r="B1940" s="37" t="s">
        <v>1105</v>
      </c>
      <c r="C1940" s="37"/>
      <c r="D1940" s="71">
        <v>1</v>
      </c>
      <c r="E1940" s="71">
        <v>0</v>
      </c>
      <c r="F1940" s="71">
        <v>1</v>
      </c>
      <c r="G1940" s="68">
        <f t="shared" si="987"/>
        <v>0</v>
      </c>
      <c r="H1940" s="68">
        <f t="shared" si="988"/>
        <v>1</v>
      </c>
      <c r="I1940" s="68">
        <f t="shared" si="989"/>
        <v>0</v>
      </c>
      <c r="J1940" s="74">
        <f t="shared" ref="J1940:J1942" si="996">IF(B1940="","",SUM(D1940:F1940))</f>
        <v>2</v>
      </c>
      <c r="K1940" s="62"/>
    </row>
    <row r="1941" spans="1:18" x14ac:dyDescent="0.25">
      <c r="A1941" s="2"/>
      <c r="B1941" s="37"/>
      <c r="C1941" s="37"/>
      <c r="D1941" s="71"/>
      <c r="E1941" s="71"/>
      <c r="F1941" s="71"/>
      <c r="G1941" s="68" t="str">
        <f t="shared" si="987"/>
        <v/>
      </c>
      <c r="H1941" s="68" t="str">
        <f t="shared" si="988"/>
        <v/>
      </c>
      <c r="I1941" s="68" t="str">
        <f t="shared" si="989"/>
        <v/>
      </c>
      <c r="J1941" s="74" t="str">
        <f t="shared" si="996"/>
        <v/>
      </c>
      <c r="K1941" s="62"/>
    </row>
    <row r="1942" spans="1:18" x14ac:dyDescent="0.25">
      <c r="A1942" s="3"/>
      <c r="B1942" s="40"/>
      <c r="C1942" s="40"/>
      <c r="D1942" s="72"/>
      <c r="E1942" s="72"/>
      <c r="F1942" s="72"/>
      <c r="G1942" s="69" t="str">
        <f t="shared" si="987"/>
        <v/>
      </c>
      <c r="H1942" s="69" t="str">
        <f t="shared" si="988"/>
        <v/>
      </c>
      <c r="I1942" s="69" t="str">
        <f t="shared" si="989"/>
        <v/>
      </c>
      <c r="J1942" s="75" t="str">
        <f t="shared" si="996"/>
        <v/>
      </c>
      <c r="K1942" s="63"/>
    </row>
    <row r="1944" spans="1:18" x14ac:dyDescent="0.25">
      <c r="A1944" s="81">
        <v>98</v>
      </c>
      <c r="B1944" s="49" t="s">
        <v>1216</v>
      </c>
      <c r="C1944" s="31" t="s">
        <v>1492</v>
      </c>
      <c r="D1944" s="76"/>
      <c r="E1944" s="66"/>
      <c r="F1944" s="66"/>
      <c r="G1944" s="66"/>
      <c r="H1944" s="66"/>
      <c r="I1944" s="66"/>
      <c r="J1944" s="60"/>
      <c r="K1944" s="60"/>
    </row>
    <row r="1945" spans="1:18" x14ac:dyDescent="0.25">
      <c r="A1945" s="4" t="s">
        <v>6</v>
      </c>
      <c r="B1945" s="37" t="s">
        <v>732</v>
      </c>
      <c r="C1945" s="37"/>
      <c r="D1945" s="70">
        <v>1</v>
      </c>
      <c r="E1945" s="70">
        <v>1</v>
      </c>
      <c r="F1945" s="70">
        <v>1</v>
      </c>
      <c r="G1945" s="67">
        <f t="shared" ref="G1945:G1962" si="997">IF(B1945="","",IF( AND(D1945=1, E1945=1),1,0))</f>
        <v>1</v>
      </c>
      <c r="H1945" s="67">
        <f t="shared" ref="H1945:H1962" si="998">IF(B1945="","",IF(AND(D1945=1,F1945=1),1,0))</f>
        <v>1</v>
      </c>
      <c r="I1945" s="67">
        <f t="shared" ref="I1945:I1962" si="999">IF(B1945="","",IF(AND(E1945=1,F1945=1),1,0))</f>
        <v>1</v>
      </c>
      <c r="J1945" s="73">
        <f t="shared" ref="J1945" si="1000">IF(B1945="","",SUM(D1945:F1945))</f>
        <v>3</v>
      </c>
      <c r="K1945" s="61"/>
      <c r="M1945" s="7">
        <f t="shared" ref="M1945" si="1001">SUM(G1945:I1945)/3</f>
        <v>1</v>
      </c>
      <c r="N1945" s="6">
        <f t="shared" ref="N1945" si="1002">SUM(G1948:I1948)/3</f>
        <v>1</v>
      </c>
      <c r="O1945" s="7">
        <f t="shared" ref="O1945" si="1003">SUM(G1951:I1951)/3</f>
        <v>1</v>
      </c>
      <c r="P1945" s="6">
        <f t="shared" ref="P1945" si="1004">SUM(G1954:I1954)/3</f>
        <v>1</v>
      </c>
      <c r="Q1945" s="7">
        <f t="shared" ref="Q1945" si="1005">SUM(G1957:I1957)/3</f>
        <v>1</v>
      </c>
      <c r="R1945" s="7">
        <f>SUM(G1960:I1960)/3</f>
        <v>0.33333333333333331</v>
      </c>
    </row>
    <row r="1946" spans="1:18" x14ac:dyDescent="0.25">
      <c r="A1946" s="2"/>
      <c r="B1946" s="37"/>
      <c r="C1946" s="37"/>
      <c r="D1946" s="71"/>
      <c r="E1946" s="71"/>
      <c r="F1946" s="71"/>
      <c r="G1946" s="68" t="str">
        <f t="shared" si="997"/>
        <v/>
      </c>
      <c r="H1946" s="68" t="str">
        <f t="shared" si="998"/>
        <v/>
      </c>
      <c r="I1946" s="68" t="str">
        <f t="shared" si="999"/>
        <v/>
      </c>
      <c r="J1946" s="74" t="str">
        <f t="shared" si="975"/>
        <v/>
      </c>
      <c r="K1946" s="62"/>
    </row>
    <row r="1947" spans="1:18" x14ac:dyDescent="0.25">
      <c r="A1947" s="3"/>
      <c r="B1947" s="42"/>
      <c r="C1947" s="42"/>
      <c r="D1947" s="72"/>
      <c r="E1947" s="72"/>
      <c r="F1947" s="72"/>
      <c r="G1947" s="69" t="str">
        <f t="shared" si="997"/>
        <v/>
      </c>
      <c r="H1947" s="69" t="str">
        <f t="shared" si="998"/>
        <v/>
      </c>
      <c r="I1947" s="69" t="str">
        <f t="shared" si="999"/>
        <v/>
      </c>
      <c r="J1947" s="75" t="str">
        <f t="shared" si="975"/>
        <v/>
      </c>
      <c r="K1947" s="63"/>
    </row>
    <row r="1948" spans="1:18" x14ac:dyDescent="0.25">
      <c r="A1948" s="4" t="s">
        <v>5</v>
      </c>
      <c r="B1948" s="33" t="s">
        <v>733</v>
      </c>
      <c r="C1948" s="33"/>
      <c r="D1948" s="70">
        <v>1</v>
      </c>
      <c r="E1948" s="70">
        <v>1</v>
      </c>
      <c r="F1948" s="70">
        <v>1</v>
      </c>
      <c r="G1948" s="67">
        <f t="shared" si="997"/>
        <v>1</v>
      </c>
      <c r="H1948" s="67">
        <f t="shared" si="998"/>
        <v>1</v>
      </c>
      <c r="I1948" s="67">
        <f t="shared" si="999"/>
        <v>1</v>
      </c>
      <c r="J1948" s="73">
        <f t="shared" si="975"/>
        <v>3</v>
      </c>
      <c r="K1948" s="61"/>
    </row>
    <row r="1949" spans="1:18" x14ac:dyDescent="0.25">
      <c r="A1949" s="2"/>
      <c r="B1949" s="37"/>
      <c r="C1949" s="37"/>
      <c r="D1949" s="71"/>
      <c r="E1949" s="71"/>
      <c r="F1949" s="71"/>
      <c r="G1949" s="68" t="str">
        <f t="shared" si="997"/>
        <v/>
      </c>
      <c r="H1949" s="68" t="str">
        <f t="shared" si="998"/>
        <v/>
      </c>
      <c r="I1949" s="68" t="str">
        <f t="shared" si="999"/>
        <v/>
      </c>
      <c r="J1949" s="74" t="str">
        <f t="shared" si="975"/>
        <v/>
      </c>
      <c r="K1949" s="62"/>
    </row>
    <row r="1950" spans="1:18" x14ac:dyDescent="0.25">
      <c r="A1950" s="3"/>
      <c r="B1950" s="40"/>
      <c r="C1950" s="37"/>
      <c r="D1950" s="71"/>
      <c r="E1950" s="71"/>
      <c r="F1950" s="71"/>
      <c r="G1950" s="69" t="str">
        <f t="shared" si="997"/>
        <v/>
      </c>
      <c r="H1950" s="69" t="str">
        <f t="shared" si="998"/>
        <v/>
      </c>
      <c r="I1950" s="69" t="str">
        <f t="shared" si="999"/>
        <v/>
      </c>
      <c r="J1950" s="75" t="str">
        <f t="shared" si="975"/>
        <v/>
      </c>
      <c r="K1950" s="63"/>
    </row>
    <row r="1951" spans="1:18" x14ac:dyDescent="0.25">
      <c r="A1951" s="4" t="s">
        <v>7</v>
      </c>
      <c r="B1951" s="33" t="s">
        <v>722</v>
      </c>
      <c r="C1951" s="33"/>
      <c r="D1951" s="70">
        <v>1</v>
      </c>
      <c r="E1951" s="70">
        <v>1</v>
      </c>
      <c r="F1951" s="70">
        <v>1</v>
      </c>
      <c r="G1951" s="67">
        <f t="shared" si="997"/>
        <v>1</v>
      </c>
      <c r="H1951" s="67">
        <f t="shared" si="998"/>
        <v>1</v>
      </c>
      <c r="I1951" s="67">
        <f t="shared" si="999"/>
        <v>1</v>
      </c>
      <c r="J1951" s="73">
        <f t="shared" si="975"/>
        <v>3</v>
      </c>
      <c r="K1951" s="61"/>
    </row>
    <row r="1952" spans="1:18" x14ac:dyDescent="0.25">
      <c r="A1952" s="2"/>
      <c r="B1952" s="37"/>
      <c r="C1952" s="37"/>
      <c r="D1952" s="71"/>
      <c r="E1952" s="71"/>
      <c r="F1952" s="71"/>
      <c r="G1952" s="68" t="str">
        <f t="shared" si="997"/>
        <v/>
      </c>
      <c r="H1952" s="68" t="str">
        <f t="shared" si="998"/>
        <v/>
      </c>
      <c r="I1952" s="68" t="str">
        <f t="shared" si="999"/>
        <v/>
      </c>
      <c r="J1952" s="74" t="str">
        <f t="shared" si="975"/>
        <v/>
      </c>
      <c r="K1952" s="62"/>
    </row>
    <row r="1953" spans="1:18" x14ac:dyDescent="0.25">
      <c r="A1953" s="3"/>
      <c r="B1953" s="40"/>
      <c r="C1953" s="40"/>
      <c r="D1953" s="72"/>
      <c r="E1953" s="72"/>
      <c r="F1953" s="72"/>
      <c r="G1953" s="69" t="str">
        <f t="shared" si="997"/>
        <v/>
      </c>
      <c r="H1953" s="69" t="str">
        <f t="shared" si="998"/>
        <v/>
      </c>
      <c r="I1953" s="69" t="str">
        <f t="shared" si="999"/>
        <v/>
      </c>
      <c r="J1953" s="75" t="str">
        <f t="shared" si="975"/>
        <v/>
      </c>
      <c r="K1953" s="63"/>
    </row>
    <row r="1954" spans="1:18" x14ac:dyDescent="0.25">
      <c r="A1954" s="4" t="s">
        <v>8</v>
      </c>
      <c r="B1954" s="33" t="s">
        <v>734</v>
      </c>
      <c r="C1954" s="33"/>
      <c r="D1954" s="70">
        <v>1</v>
      </c>
      <c r="E1954" s="70">
        <v>1</v>
      </c>
      <c r="F1954" s="70">
        <v>1</v>
      </c>
      <c r="G1954" s="67">
        <f t="shared" si="997"/>
        <v>1</v>
      </c>
      <c r="H1954" s="67">
        <f t="shared" si="998"/>
        <v>1</v>
      </c>
      <c r="I1954" s="67">
        <f t="shared" si="999"/>
        <v>1</v>
      </c>
      <c r="J1954" s="73">
        <f t="shared" si="975"/>
        <v>3</v>
      </c>
      <c r="K1954" s="61"/>
    </row>
    <row r="1955" spans="1:18" x14ac:dyDescent="0.25">
      <c r="A1955" s="2"/>
      <c r="B1955" s="37" t="s">
        <v>200</v>
      </c>
      <c r="C1955" s="37"/>
      <c r="D1955" s="71">
        <v>1</v>
      </c>
      <c r="E1955" s="71">
        <v>1</v>
      </c>
      <c r="F1955" s="71">
        <v>1</v>
      </c>
      <c r="G1955" s="68">
        <f t="shared" si="997"/>
        <v>1</v>
      </c>
      <c r="H1955" s="68">
        <f t="shared" si="998"/>
        <v>1</v>
      </c>
      <c r="I1955" s="68">
        <f t="shared" si="999"/>
        <v>1</v>
      </c>
      <c r="J1955" s="74">
        <f t="shared" si="975"/>
        <v>3</v>
      </c>
      <c r="K1955" s="62"/>
    </row>
    <row r="1956" spans="1:18" x14ac:dyDescent="0.25">
      <c r="A1956" s="3"/>
      <c r="B1956" s="40"/>
      <c r="C1956" s="40"/>
      <c r="D1956" s="72"/>
      <c r="E1956" s="72"/>
      <c r="F1956" s="72"/>
      <c r="G1956" s="69" t="str">
        <f t="shared" si="997"/>
        <v/>
      </c>
      <c r="H1956" s="69" t="str">
        <f t="shared" si="998"/>
        <v/>
      </c>
      <c r="I1956" s="69" t="str">
        <f t="shared" si="999"/>
        <v/>
      </c>
      <c r="J1956" s="75" t="str">
        <f t="shared" si="975"/>
        <v/>
      </c>
      <c r="K1956" s="63"/>
    </row>
    <row r="1957" spans="1:18" x14ac:dyDescent="0.25">
      <c r="A1957" s="2" t="s">
        <v>9</v>
      </c>
      <c r="B1957" s="37" t="s">
        <v>1042</v>
      </c>
      <c r="C1957" s="37"/>
      <c r="D1957" s="71">
        <v>1</v>
      </c>
      <c r="E1957" s="71">
        <v>1</v>
      </c>
      <c r="F1957" s="71">
        <v>1</v>
      </c>
      <c r="G1957" s="68">
        <f t="shared" si="997"/>
        <v>1</v>
      </c>
      <c r="H1957" s="68">
        <f t="shared" si="998"/>
        <v>1</v>
      </c>
      <c r="I1957" s="68">
        <f t="shared" si="999"/>
        <v>1</v>
      </c>
      <c r="J1957" s="74">
        <f t="shared" si="975"/>
        <v>3</v>
      </c>
      <c r="K1957" s="62"/>
    </row>
    <row r="1958" spans="1:18" x14ac:dyDescent="0.25">
      <c r="A1958" s="2"/>
      <c r="B1958" s="37"/>
      <c r="C1958" s="37"/>
      <c r="D1958" s="71"/>
      <c r="E1958" s="71"/>
      <c r="F1958" s="71"/>
      <c r="G1958" s="68" t="str">
        <f t="shared" si="997"/>
        <v/>
      </c>
      <c r="H1958" s="68" t="str">
        <f t="shared" si="998"/>
        <v/>
      </c>
      <c r="I1958" s="68" t="str">
        <f t="shared" si="999"/>
        <v/>
      </c>
      <c r="J1958" s="74" t="str">
        <f t="shared" si="975"/>
        <v/>
      </c>
      <c r="K1958" s="62"/>
    </row>
    <row r="1959" spans="1:18" x14ac:dyDescent="0.25">
      <c r="A1959" s="3"/>
      <c r="B1959" s="40"/>
      <c r="C1959" s="40"/>
      <c r="D1959" s="72"/>
      <c r="E1959" s="72"/>
      <c r="F1959" s="72"/>
      <c r="G1959" s="69" t="str">
        <f t="shared" si="997"/>
        <v/>
      </c>
      <c r="H1959" s="69" t="str">
        <f t="shared" si="998"/>
        <v/>
      </c>
      <c r="I1959" s="69" t="str">
        <f t="shared" si="999"/>
        <v/>
      </c>
      <c r="J1959" s="75" t="str">
        <f t="shared" si="975"/>
        <v/>
      </c>
      <c r="K1959" s="63"/>
    </row>
    <row r="1960" spans="1:18" x14ac:dyDescent="0.25">
      <c r="A1960" s="2" t="s">
        <v>1224</v>
      </c>
      <c r="B1960" s="37" t="s">
        <v>1105</v>
      </c>
      <c r="C1960" s="37"/>
      <c r="D1960" s="71">
        <v>0</v>
      </c>
      <c r="E1960" s="71">
        <v>1</v>
      </c>
      <c r="F1960" s="71">
        <v>1</v>
      </c>
      <c r="G1960" s="68">
        <f t="shared" si="997"/>
        <v>0</v>
      </c>
      <c r="H1960" s="68">
        <f t="shared" si="998"/>
        <v>0</v>
      </c>
      <c r="I1960" s="68">
        <f t="shared" si="999"/>
        <v>1</v>
      </c>
      <c r="J1960" s="74">
        <f t="shared" ref="J1960:J1962" si="1006">IF(B1960="","",SUM(D1960:F1960))</f>
        <v>2</v>
      </c>
      <c r="K1960" s="62"/>
    </row>
    <row r="1961" spans="1:18" x14ac:dyDescent="0.25">
      <c r="A1961" s="2"/>
      <c r="B1961" s="37"/>
      <c r="C1961" s="37"/>
      <c r="D1961" s="71"/>
      <c r="E1961" s="71"/>
      <c r="F1961" s="71"/>
      <c r="G1961" s="68" t="str">
        <f t="shared" si="997"/>
        <v/>
      </c>
      <c r="H1961" s="68" t="str">
        <f t="shared" si="998"/>
        <v/>
      </c>
      <c r="I1961" s="68" t="str">
        <f t="shared" si="999"/>
        <v/>
      </c>
      <c r="J1961" s="74" t="str">
        <f t="shared" si="1006"/>
        <v/>
      </c>
      <c r="K1961" s="62"/>
    </row>
    <row r="1962" spans="1:18" x14ac:dyDescent="0.25">
      <c r="A1962" s="3"/>
      <c r="B1962" s="40"/>
      <c r="C1962" s="40"/>
      <c r="D1962" s="72"/>
      <c r="E1962" s="72"/>
      <c r="F1962" s="72"/>
      <c r="G1962" s="69" t="str">
        <f t="shared" si="997"/>
        <v/>
      </c>
      <c r="H1962" s="69" t="str">
        <f t="shared" si="998"/>
        <v/>
      </c>
      <c r="I1962" s="69" t="str">
        <f t="shared" si="999"/>
        <v/>
      </c>
      <c r="J1962" s="75" t="str">
        <f t="shared" si="1006"/>
        <v/>
      </c>
      <c r="K1962" s="63"/>
    </row>
    <row r="1964" spans="1:18" x14ac:dyDescent="0.25">
      <c r="A1964" s="81">
        <v>99</v>
      </c>
      <c r="B1964" s="49" t="s">
        <v>1217</v>
      </c>
      <c r="C1964" s="31" t="s">
        <v>1493</v>
      </c>
      <c r="D1964" s="76"/>
      <c r="E1964" s="66"/>
      <c r="F1964" s="66"/>
      <c r="G1964" s="66"/>
      <c r="H1964" s="66"/>
      <c r="I1964" s="66"/>
      <c r="J1964" s="60"/>
      <c r="K1964" s="60"/>
    </row>
    <row r="1965" spans="1:18" x14ac:dyDescent="0.25">
      <c r="A1965" s="4" t="s">
        <v>6</v>
      </c>
      <c r="B1965" s="37" t="s">
        <v>978</v>
      </c>
      <c r="C1965" s="37"/>
      <c r="D1965" s="70">
        <v>1</v>
      </c>
      <c r="E1965" s="70">
        <v>1</v>
      </c>
      <c r="F1965" s="70">
        <v>1</v>
      </c>
      <c r="G1965" s="67">
        <f t="shared" ref="G1965:G1982" si="1007">IF(B1965="","",IF( AND(D1965=1, E1965=1),1,0))</f>
        <v>1</v>
      </c>
      <c r="H1965" s="67">
        <f t="shared" ref="H1965:H1982" si="1008">IF(B1965="","",IF(AND(D1965=1,F1965=1),1,0))</f>
        <v>1</v>
      </c>
      <c r="I1965" s="67">
        <f t="shared" ref="I1965:I1982" si="1009">IF(B1965="","",IF(AND(E1965=1,F1965=1),1,0))</f>
        <v>1</v>
      </c>
      <c r="J1965" s="73">
        <f t="shared" ref="J1965" si="1010">IF(B1965="","",SUM(D1965:F1965))</f>
        <v>3</v>
      </c>
      <c r="K1965" s="61"/>
      <c r="M1965" s="7">
        <f t="shared" ref="M1965" si="1011">SUM(G1965:I1965)/3</f>
        <v>1</v>
      </c>
      <c r="N1965" s="6">
        <f t="shared" ref="N1965" si="1012">SUM(G1968:I1968)/3</f>
        <v>0.33333333333333331</v>
      </c>
      <c r="O1965" s="7">
        <f t="shared" ref="O1965" si="1013">SUM(G1971:I1971)/3</f>
        <v>1</v>
      </c>
      <c r="P1965" s="6">
        <f t="shared" ref="P1965" si="1014">SUM(G1974:I1974)/3</f>
        <v>1</v>
      </c>
      <c r="Q1965" s="7">
        <f t="shared" ref="Q1965:R1965" si="1015">SUM(G1977:I1977)/3</f>
        <v>0.33333333333333331</v>
      </c>
      <c r="R1965" s="7">
        <f t="shared" si="1015"/>
        <v>0.66666666666666663</v>
      </c>
    </row>
    <row r="1966" spans="1:18" x14ac:dyDescent="0.25">
      <c r="A1966" s="2"/>
      <c r="B1966" s="37" t="s">
        <v>737</v>
      </c>
      <c r="C1966" s="37"/>
      <c r="D1966" s="71">
        <v>0</v>
      </c>
      <c r="E1966" s="71">
        <v>1</v>
      </c>
      <c r="F1966" s="71">
        <v>1</v>
      </c>
      <c r="G1966" s="68">
        <f t="shared" si="1007"/>
        <v>0</v>
      </c>
      <c r="H1966" s="68">
        <f t="shared" si="1008"/>
        <v>0</v>
      </c>
      <c r="I1966" s="68">
        <f t="shared" si="1009"/>
        <v>1</v>
      </c>
      <c r="J1966" s="74">
        <f t="shared" si="975"/>
        <v>2</v>
      </c>
      <c r="K1966" s="62"/>
    </row>
    <row r="1967" spans="1:18" x14ac:dyDescent="0.25">
      <c r="A1967" s="3"/>
      <c r="B1967" s="42"/>
      <c r="C1967" s="42"/>
      <c r="D1967" s="72"/>
      <c r="E1967" s="72"/>
      <c r="F1967" s="72"/>
      <c r="G1967" s="69" t="str">
        <f t="shared" si="1007"/>
        <v/>
      </c>
      <c r="H1967" s="69" t="str">
        <f t="shared" si="1008"/>
        <v/>
      </c>
      <c r="I1967" s="69" t="str">
        <f t="shared" si="1009"/>
        <v/>
      </c>
      <c r="J1967" s="75" t="str">
        <f t="shared" si="975"/>
        <v/>
      </c>
      <c r="K1967" s="63"/>
    </row>
    <row r="1968" spans="1:18" x14ac:dyDescent="0.25">
      <c r="A1968" s="4" t="s">
        <v>5</v>
      </c>
      <c r="B1968" s="33" t="s">
        <v>1096</v>
      </c>
      <c r="C1968" s="33"/>
      <c r="D1968" s="70"/>
      <c r="E1968" s="70">
        <v>1</v>
      </c>
      <c r="F1968" s="70">
        <v>1</v>
      </c>
      <c r="G1968" s="67">
        <f t="shared" si="1007"/>
        <v>0</v>
      </c>
      <c r="H1968" s="67">
        <f t="shared" si="1008"/>
        <v>0</v>
      </c>
      <c r="I1968" s="67">
        <f t="shared" si="1009"/>
        <v>1</v>
      </c>
      <c r="J1968" s="73">
        <f t="shared" si="975"/>
        <v>2</v>
      </c>
      <c r="K1968" s="61"/>
    </row>
    <row r="1969" spans="1:11" x14ac:dyDescent="0.25">
      <c r="A1969" s="2"/>
      <c r="B1969" s="37" t="s">
        <v>1040</v>
      </c>
      <c r="C1969" s="37"/>
      <c r="D1969" s="71">
        <v>1</v>
      </c>
      <c r="E1969" s="71">
        <v>1</v>
      </c>
      <c r="F1969" s="71"/>
      <c r="G1969" s="68">
        <f t="shared" si="1007"/>
        <v>1</v>
      </c>
      <c r="H1969" s="68">
        <f t="shared" si="1008"/>
        <v>0</v>
      </c>
      <c r="I1969" s="68">
        <f t="shared" si="1009"/>
        <v>0</v>
      </c>
      <c r="J1969" s="74">
        <f t="shared" si="975"/>
        <v>2</v>
      </c>
      <c r="K1969" s="62"/>
    </row>
    <row r="1970" spans="1:11" x14ac:dyDescent="0.25">
      <c r="A1970" s="3"/>
      <c r="B1970" s="40"/>
      <c r="C1970" s="37"/>
      <c r="D1970" s="71"/>
      <c r="E1970" s="71"/>
      <c r="F1970" s="71"/>
      <c r="G1970" s="69" t="str">
        <f t="shared" si="1007"/>
        <v/>
      </c>
      <c r="H1970" s="69" t="str">
        <f t="shared" si="1008"/>
        <v/>
      </c>
      <c r="I1970" s="69" t="str">
        <f t="shared" si="1009"/>
        <v/>
      </c>
      <c r="J1970" s="75" t="str">
        <f t="shared" si="975"/>
        <v/>
      </c>
      <c r="K1970" s="63"/>
    </row>
    <row r="1971" spans="1:11" x14ac:dyDescent="0.25">
      <c r="A1971" s="4" t="s">
        <v>7</v>
      </c>
      <c r="B1971" s="33" t="s">
        <v>979</v>
      </c>
      <c r="C1971" s="33"/>
      <c r="D1971" s="70">
        <v>1</v>
      </c>
      <c r="E1971" s="70">
        <v>1</v>
      </c>
      <c r="F1971" s="70">
        <v>1</v>
      </c>
      <c r="G1971" s="67">
        <f t="shared" si="1007"/>
        <v>1</v>
      </c>
      <c r="H1971" s="67">
        <f t="shared" si="1008"/>
        <v>1</v>
      </c>
      <c r="I1971" s="67">
        <f t="shared" si="1009"/>
        <v>1</v>
      </c>
      <c r="J1971" s="73">
        <f t="shared" si="975"/>
        <v>3</v>
      </c>
      <c r="K1971" s="61"/>
    </row>
    <row r="1972" spans="1:11" x14ac:dyDescent="0.25">
      <c r="A1972" s="2"/>
      <c r="B1972" s="37"/>
      <c r="C1972" s="37"/>
      <c r="D1972" s="71"/>
      <c r="E1972" s="71"/>
      <c r="F1972" s="71"/>
      <c r="G1972" s="68" t="str">
        <f t="shared" si="1007"/>
        <v/>
      </c>
      <c r="H1972" s="68" t="str">
        <f t="shared" si="1008"/>
        <v/>
      </c>
      <c r="I1972" s="68" t="str">
        <f t="shared" si="1009"/>
        <v/>
      </c>
      <c r="J1972" s="74" t="str">
        <f t="shared" si="975"/>
        <v/>
      </c>
      <c r="K1972" s="62"/>
    </row>
    <row r="1973" spans="1:11" x14ac:dyDescent="0.25">
      <c r="A1973" s="3"/>
      <c r="B1973" s="40"/>
      <c r="C1973" s="40"/>
      <c r="D1973" s="72"/>
      <c r="E1973" s="72"/>
      <c r="F1973" s="72"/>
      <c r="G1973" s="69" t="str">
        <f t="shared" si="1007"/>
        <v/>
      </c>
      <c r="H1973" s="69" t="str">
        <f t="shared" si="1008"/>
        <v/>
      </c>
      <c r="I1973" s="69" t="str">
        <f t="shared" si="1009"/>
        <v/>
      </c>
      <c r="J1973" s="75" t="str">
        <f t="shared" si="975"/>
        <v/>
      </c>
      <c r="K1973" s="63"/>
    </row>
    <row r="1974" spans="1:11" x14ac:dyDescent="0.25">
      <c r="A1974" s="4" t="s">
        <v>8</v>
      </c>
      <c r="B1974" s="37" t="s">
        <v>200</v>
      </c>
      <c r="C1974" s="37"/>
      <c r="D1974" s="70">
        <v>1</v>
      </c>
      <c r="E1974" s="70">
        <v>1</v>
      </c>
      <c r="F1974" s="70">
        <v>1</v>
      </c>
      <c r="G1974" s="67">
        <f t="shared" si="1007"/>
        <v>1</v>
      </c>
      <c r="H1974" s="67">
        <f t="shared" si="1008"/>
        <v>1</v>
      </c>
      <c r="I1974" s="67">
        <f t="shared" si="1009"/>
        <v>1</v>
      </c>
      <c r="J1974" s="73">
        <f t="shared" ref="J1974:J1999" si="1016">IF(B1974="","",SUM(D1974:F1974))</f>
        <v>3</v>
      </c>
      <c r="K1974" s="61"/>
    </row>
    <row r="1975" spans="1:11" x14ac:dyDescent="0.25">
      <c r="A1975" s="2"/>
      <c r="B1975" s="37" t="s">
        <v>738</v>
      </c>
      <c r="C1975" s="37"/>
      <c r="D1975" s="71">
        <v>0</v>
      </c>
      <c r="E1975" s="71">
        <v>1</v>
      </c>
      <c r="F1975" s="71">
        <v>1</v>
      </c>
      <c r="G1975" s="68">
        <f t="shared" si="1007"/>
        <v>0</v>
      </c>
      <c r="H1975" s="68">
        <f t="shared" si="1008"/>
        <v>0</v>
      </c>
      <c r="I1975" s="68">
        <f t="shared" si="1009"/>
        <v>1</v>
      </c>
      <c r="J1975" s="74">
        <f t="shared" si="1016"/>
        <v>2</v>
      </c>
      <c r="K1975" s="62"/>
    </row>
    <row r="1976" spans="1:11" x14ac:dyDescent="0.25">
      <c r="A1976" s="3"/>
      <c r="B1976" s="40"/>
      <c r="C1976" s="40"/>
      <c r="D1976" s="72"/>
      <c r="E1976" s="72"/>
      <c r="F1976" s="72"/>
      <c r="G1976" s="69" t="str">
        <f t="shared" si="1007"/>
        <v/>
      </c>
      <c r="H1976" s="69" t="str">
        <f t="shared" si="1008"/>
        <v/>
      </c>
      <c r="I1976" s="69" t="str">
        <f t="shared" si="1009"/>
        <v/>
      </c>
      <c r="J1976" s="75" t="str">
        <f t="shared" si="1016"/>
        <v/>
      </c>
      <c r="K1976" s="63"/>
    </row>
    <row r="1977" spans="1:11" x14ac:dyDescent="0.25">
      <c r="A1977" s="2" t="s">
        <v>9</v>
      </c>
      <c r="B1977" s="37" t="s">
        <v>1105</v>
      </c>
      <c r="C1977" s="37"/>
      <c r="D1977" s="71">
        <v>1</v>
      </c>
      <c r="E1977" s="71">
        <v>1</v>
      </c>
      <c r="F1977" s="71">
        <v>0</v>
      </c>
      <c r="G1977" s="68">
        <f t="shared" si="1007"/>
        <v>1</v>
      </c>
      <c r="H1977" s="68">
        <f t="shared" si="1008"/>
        <v>0</v>
      </c>
      <c r="I1977" s="68">
        <f t="shared" si="1009"/>
        <v>0</v>
      </c>
      <c r="J1977" s="74">
        <f t="shared" si="1016"/>
        <v>2</v>
      </c>
      <c r="K1977" s="62"/>
    </row>
    <row r="1978" spans="1:11" x14ac:dyDescent="0.25">
      <c r="A1978" s="2"/>
      <c r="B1978" s="37"/>
      <c r="C1978" s="37"/>
      <c r="D1978" s="71"/>
      <c r="E1978" s="71"/>
      <c r="F1978" s="71"/>
      <c r="G1978" s="68" t="str">
        <f t="shared" si="1007"/>
        <v/>
      </c>
      <c r="H1978" s="68" t="str">
        <f t="shared" si="1008"/>
        <v/>
      </c>
      <c r="I1978" s="68" t="str">
        <f t="shared" si="1009"/>
        <v/>
      </c>
      <c r="J1978" s="74" t="str">
        <f t="shared" si="1016"/>
        <v/>
      </c>
      <c r="K1978" s="62"/>
    </row>
    <row r="1979" spans="1:11" x14ac:dyDescent="0.25">
      <c r="A1979" s="3"/>
      <c r="B1979" s="40"/>
      <c r="C1979" s="40"/>
      <c r="D1979" s="72"/>
      <c r="E1979" s="72"/>
      <c r="F1979" s="72"/>
      <c r="G1979" s="69" t="str">
        <f t="shared" si="1007"/>
        <v/>
      </c>
      <c r="H1979" s="69" t="str">
        <f t="shared" si="1008"/>
        <v/>
      </c>
      <c r="I1979" s="69" t="str">
        <f t="shared" si="1009"/>
        <v/>
      </c>
      <c r="J1979" s="75" t="str">
        <f t="shared" si="1016"/>
        <v/>
      </c>
      <c r="K1979" s="63"/>
    </row>
    <row r="1980" spans="1:11" x14ac:dyDescent="0.25">
      <c r="A1980" s="2" t="s">
        <v>1224</v>
      </c>
      <c r="B1980" s="37" t="s">
        <v>1393</v>
      </c>
      <c r="C1980" s="37"/>
      <c r="D1980" s="71">
        <v>1</v>
      </c>
      <c r="E1980" s="71">
        <v>1</v>
      </c>
      <c r="F1980" s="71">
        <v>0</v>
      </c>
      <c r="G1980" s="68">
        <f t="shared" si="1007"/>
        <v>1</v>
      </c>
      <c r="H1980" s="68">
        <f t="shared" si="1008"/>
        <v>0</v>
      </c>
      <c r="I1980" s="68">
        <f t="shared" si="1009"/>
        <v>0</v>
      </c>
      <c r="J1980" s="74">
        <f t="shared" ref="J1980:J1982" si="1017">IF(B1980="","",SUM(D1980:F1980))</f>
        <v>2</v>
      </c>
      <c r="K1980" s="62"/>
    </row>
    <row r="1981" spans="1:11" x14ac:dyDescent="0.25">
      <c r="A1981" s="2"/>
      <c r="B1981" s="37"/>
      <c r="C1981" s="37"/>
      <c r="D1981" s="71"/>
      <c r="E1981" s="71"/>
      <c r="F1981" s="71"/>
      <c r="G1981" s="68" t="str">
        <f t="shared" si="1007"/>
        <v/>
      </c>
      <c r="H1981" s="68" t="str">
        <f t="shared" si="1008"/>
        <v/>
      </c>
      <c r="I1981" s="68" t="str">
        <f t="shared" si="1009"/>
        <v/>
      </c>
      <c r="J1981" s="74" t="str">
        <f t="shared" si="1017"/>
        <v/>
      </c>
      <c r="K1981" s="62"/>
    </row>
    <row r="1982" spans="1:11" x14ac:dyDescent="0.25">
      <c r="A1982" s="3"/>
      <c r="B1982" s="40"/>
      <c r="C1982" s="40"/>
      <c r="D1982" s="72"/>
      <c r="E1982" s="72"/>
      <c r="F1982" s="72"/>
      <c r="G1982" s="69" t="str">
        <f t="shared" si="1007"/>
        <v/>
      </c>
      <c r="H1982" s="69" t="str">
        <f t="shared" si="1008"/>
        <v/>
      </c>
      <c r="I1982" s="69" t="str">
        <f t="shared" si="1009"/>
        <v/>
      </c>
      <c r="J1982" s="75" t="str">
        <f t="shared" si="1017"/>
        <v/>
      </c>
      <c r="K1982" s="63"/>
    </row>
    <row r="1984" spans="1:11" x14ac:dyDescent="0.25">
      <c r="A1984" s="81">
        <v>100</v>
      </c>
      <c r="B1984" s="49" t="s">
        <v>1222</v>
      </c>
      <c r="C1984" s="31" t="s">
        <v>1494</v>
      </c>
      <c r="D1984" s="76"/>
      <c r="E1984" s="66"/>
      <c r="F1984" s="66"/>
      <c r="G1984" s="66"/>
      <c r="H1984" s="66"/>
      <c r="I1984" s="66"/>
      <c r="J1984" s="60"/>
      <c r="K1984" s="60"/>
    </row>
    <row r="1985" spans="1:18" x14ac:dyDescent="0.25">
      <c r="A1985" s="4" t="s">
        <v>6</v>
      </c>
      <c r="B1985" s="37" t="s">
        <v>1035</v>
      </c>
      <c r="C1985" s="37"/>
      <c r="D1985" s="70">
        <v>0</v>
      </c>
      <c r="E1985" s="70">
        <v>1</v>
      </c>
      <c r="F1985" s="70">
        <v>1</v>
      </c>
      <c r="G1985" s="67">
        <f t="shared" ref="G1985:G2002" si="1018">IF(B1985="","",IF( AND(D1985=1, E1985=1),1,0))</f>
        <v>0</v>
      </c>
      <c r="H1985" s="67">
        <f t="shared" ref="H1985:H2002" si="1019">IF(B1985="","",IF(AND(D1985=1,F1985=1),1,0))</f>
        <v>0</v>
      </c>
      <c r="I1985" s="67">
        <f t="shared" ref="I1985:I2002" si="1020">IF(B1985="","",IF(AND(E1985=1,F1985=1),1,0))</f>
        <v>1</v>
      </c>
      <c r="J1985" s="73">
        <f t="shared" ref="J1985" si="1021">IF(B1985="","",SUM(D1985:F1985))</f>
        <v>2</v>
      </c>
      <c r="K1985" s="61"/>
      <c r="M1985" s="7">
        <f t="shared" ref="M1985" si="1022">SUM(G1985:I1985)/3</f>
        <v>0.33333333333333331</v>
      </c>
      <c r="N1985" s="6">
        <f t="shared" ref="N1985" si="1023">SUM(G1988:I1988)/3</f>
        <v>1</v>
      </c>
      <c r="O1985" s="7">
        <f t="shared" ref="O1985" si="1024">SUM(G1991:I1991)/3</f>
        <v>1</v>
      </c>
      <c r="P1985" s="6">
        <f t="shared" ref="P1985" si="1025">SUM(G1994:I1994)/3</f>
        <v>1</v>
      </c>
      <c r="Q1985" s="7">
        <f t="shared" ref="Q1985" si="1026">SUM(G1997:I1997)/3</f>
        <v>1</v>
      </c>
      <c r="R1985" s="7">
        <f>SUM(G2000:I2000)/3</f>
        <v>1</v>
      </c>
    </row>
    <row r="1986" spans="1:18" x14ac:dyDescent="0.25">
      <c r="A1986" s="2"/>
      <c r="B1986" s="37" t="s">
        <v>980</v>
      </c>
      <c r="C1986" s="37"/>
      <c r="D1986" s="71">
        <v>1</v>
      </c>
      <c r="E1986" s="71">
        <v>1</v>
      </c>
      <c r="F1986" s="71">
        <v>0</v>
      </c>
      <c r="G1986" s="68">
        <f t="shared" si="1018"/>
        <v>1</v>
      </c>
      <c r="H1986" s="68">
        <f t="shared" si="1019"/>
        <v>0</v>
      </c>
      <c r="I1986" s="68">
        <f t="shared" si="1020"/>
        <v>0</v>
      </c>
      <c r="J1986" s="74">
        <f t="shared" si="1016"/>
        <v>2</v>
      </c>
      <c r="K1986" s="62"/>
    </row>
    <row r="1987" spans="1:18" x14ac:dyDescent="0.25">
      <c r="A1987" s="3"/>
      <c r="B1987" s="42"/>
      <c r="C1987" s="42"/>
      <c r="D1987" s="72"/>
      <c r="E1987" s="72"/>
      <c r="F1987" s="72"/>
      <c r="G1987" s="69" t="str">
        <f t="shared" si="1018"/>
        <v/>
      </c>
      <c r="H1987" s="69" t="str">
        <f t="shared" si="1019"/>
        <v/>
      </c>
      <c r="I1987" s="69" t="str">
        <f t="shared" si="1020"/>
        <v/>
      </c>
      <c r="J1987" s="75" t="str">
        <f t="shared" si="1016"/>
        <v/>
      </c>
      <c r="K1987" s="63"/>
    </row>
    <row r="1988" spans="1:18" x14ac:dyDescent="0.25">
      <c r="A1988" s="4" t="s">
        <v>5</v>
      </c>
      <c r="B1988" s="33" t="s">
        <v>981</v>
      </c>
      <c r="C1988" s="33"/>
      <c r="D1988" s="70">
        <v>1</v>
      </c>
      <c r="E1988" s="70">
        <v>1</v>
      </c>
      <c r="F1988" s="70">
        <v>1</v>
      </c>
      <c r="G1988" s="67">
        <f t="shared" si="1018"/>
        <v>1</v>
      </c>
      <c r="H1988" s="67">
        <f t="shared" si="1019"/>
        <v>1</v>
      </c>
      <c r="I1988" s="67">
        <f t="shared" si="1020"/>
        <v>1</v>
      </c>
      <c r="J1988" s="73">
        <f t="shared" si="1016"/>
        <v>3</v>
      </c>
      <c r="K1988" s="61"/>
    </row>
    <row r="1989" spans="1:18" x14ac:dyDescent="0.25">
      <c r="A1989" s="2"/>
      <c r="B1989" s="37" t="s">
        <v>23</v>
      </c>
      <c r="C1989" s="37"/>
      <c r="D1989" s="71">
        <v>0</v>
      </c>
      <c r="E1989" s="71">
        <v>1</v>
      </c>
      <c r="F1989" s="71">
        <v>1</v>
      </c>
      <c r="G1989" s="68">
        <f t="shared" si="1018"/>
        <v>0</v>
      </c>
      <c r="H1989" s="68">
        <f t="shared" si="1019"/>
        <v>0</v>
      </c>
      <c r="I1989" s="68">
        <f t="shared" si="1020"/>
        <v>1</v>
      </c>
      <c r="J1989" s="74">
        <f t="shared" si="1016"/>
        <v>2</v>
      </c>
      <c r="K1989" s="62"/>
    </row>
    <row r="1990" spans="1:18" x14ac:dyDescent="0.25">
      <c r="A1990" s="3"/>
      <c r="B1990" s="40"/>
      <c r="C1990" s="37"/>
      <c r="D1990" s="71"/>
      <c r="E1990" s="71"/>
      <c r="F1990" s="71"/>
      <c r="G1990" s="69" t="str">
        <f t="shared" si="1018"/>
        <v/>
      </c>
      <c r="H1990" s="69" t="str">
        <f t="shared" si="1019"/>
        <v/>
      </c>
      <c r="I1990" s="69" t="str">
        <f t="shared" si="1020"/>
        <v/>
      </c>
      <c r="J1990" s="75" t="str">
        <f t="shared" si="1016"/>
        <v/>
      </c>
      <c r="K1990" s="63"/>
    </row>
    <row r="1991" spans="1:18" x14ac:dyDescent="0.25">
      <c r="A1991" s="4" t="s">
        <v>7</v>
      </c>
      <c r="B1991" s="33" t="s">
        <v>1105</v>
      </c>
      <c r="C1991" s="33"/>
      <c r="D1991" s="70">
        <v>1</v>
      </c>
      <c r="E1991" s="70">
        <v>1</v>
      </c>
      <c r="F1991" s="70">
        <v>1</v>
      </c>
      <c r="G1991" s="67">
        <f t="shared" si="1018"/>
        <v>1</v>
      </c>
      <c r="H1991" s="67">
        <f t="shared" si="1019"/>
        <v>1</v>
      </c>
      <c r="I1991" s="67">
        <f t="shared" si="1020"/>
        <v>1</v>
      </c>
      <c r="J1991" s="73">
        <f t="shared" si="1016"/>
        <v>3</v>
      </c>
      <c r="K1991" s="61"/>
    </row>
    <row r="1992" spans="1:18" x14ac:dyDescent="0.25">
      <c r="A1992" s="2"/>
      <c r="B1992" s="37"/>
      <c r="C1992" s="37"/>
      <c r="D1992" s="71"/>
      <c r="E1992" s="71"/>
      <c r="F1992" s="71"/>
      <c r="G1992" s="68" t="str">
        <f t="shared" si="1018"/>
        <v/>
      </c>
      <c r="H1992" s="68" t="str">
        <f t="shared" si="1019"/>
        <v/>
      </c>
      <c r="I1992" s="68" t="str">
        <f t="shared" si="1020"/>
        <v/>
      </c>
      <c r="J1992" s="74" t="str">
        <f t="shared" si="1016"/>
        <v/>
      </c>
      <c r="K1992" s="62"/>
    </row>
    <row r="1993" spans="1:18" x14ac:dyDescent="0.25">
      <c r="A1993" s="3"/>
      <c r="B1993" s="40"/>
      <c r="C1993" s="40"/>
      <c r="D1993" s="72"/>
      <c r="E1993" s="72"/>
      <c r="F1993" s="72"/>
      <c r="G1993" s="69" t="str">
        <f t="shared" si="1018"/>
        <v/>
      </c>
      <c r="H1993" s="69" t="str">
        <f t="shared" si="1019"/>
        <v/>
      </c>
      <c r="I1993" s="69" t="str">
        <f t="shared" si="1020"/>
        <v/>
      </c>
      <c r="J1993" s="75" t="str">
        <f t="shared" si="1016"/>
        <v/>
      </c>
      <c r="K1993" s="63"/>
    </row>
    <row r="1994" spans="1:18" x14ac:dyDescent="0.25">
      <c r="A1994" s="4" t="s">
        <v>8</v>
      </c>
      <c r="B1994" s="37" t="s">
        <v>172</v>
      </c>
      <c r="C1994" s="37"/>
      <c r="D1994" s="70">
        <v>1</v>
      </c>
      <c r="E1994" s="70">
        <v>1</v>
      </c>
      <c r="F1994" s="70">
        <v>1</v>
      </c>
      <c r="G1994" s="67">
        <f t="shared" si="1018"/>
        <v>1</v>
      </c>
      <c r="H1994" s="67">
        <f t="shared" si="1019"/>
        <v>1</v>
      </c>
      <c r="I1994" s="67">
        <f t="shared" si="1020"/>
        <v>1</v>
      </c>
      <c r="J1994" s="73">
        <f t="shared" si="1016"/>
        <v>3</v>
      </c>
      <c r="K1994" s="61"/>
    </row>
    <row r="1995" spans="1:18" x14ac:dyDescent="0.25">
      <c r="A1995" s="2"/>
      <c r="B1995" s="37" t="s">
        <v>745</v>
      </c>
      <c r="C1995" s="37"/>
      <c r="D1995" s="71">
        <v>1</v>
      </c>
      <c r="E1995" s="71">
        <v>1</v>
      </c>
      <c r="F1995" s="71">
        <v>1</v>
      </c>
      <c r="G1995" s="68">
        <f t="shared" si="1018"/>
        <v>1</v>
      </c>
      <c r="H1995" s="68">
        <f t="shared" si="1019"/>
        <v>1</v>
      </c>
      <c r="I1995" s="68">
        <f t="shared" si="1020"/>
        <v>1</v>
      </c>
      <c r="J1995" s="74">
        <f t="shared" si="1016"/>
        <v>3</v>
      </c>
      <c r="K1995" s="62"/>
    </row>
    <row r="1996" spans="1:18" x14ac:dyDescent="0.25">
      <c r="A1996" s="3"/>
      <c r="B1996" s="33" t="s">
        <v>1038</v>
      </c>
      <c r="C1996" s="37"/>
      <c r="D1996" s="72">
        <v>0</v>
      </c>
      <c r="E1996" s="72">
        <v>1</v>
      </c>
      <c r="F1996" s="72">
        <v>1</v>
      </c>
      <c r="G1996" s="69">
        <f>IF(B1996="","",IF( AND(D1996=1, E1996=1),1,0))</f>
        <v>0</v>
      </c>
      <c r="H1996" s="69">
        <f>IF(B1996="","",IF(AND(D1996=1,F1996=1),1,0))</f>
        <v>0</v>
      </c>
      <c r="I1996" s="69">
        <f>IF(B1996="","",IF(AND(E1996=1,F1996=1),1,0))</f>
        <v>1</v>
      </c>
      <c r="J1996" s="75">
        <f>IF(B1996="","",SUM(D1996:F1996))</f>
        <v>2</v>
      </c>
      <c r="K1996" s="63"/>
    </row>
    <row r="1997" spans="1:18" x14ac:dyDescent="0.25">
      <c r="A1997" s="2" t="s">
        <v>9</v>
      </c>
      <c r="B1997" s="37" t="s">
        <v>1105</v>
      </c>
      <c r="C1997" s="37"/>
      <c r="D1997" s="71">
        <v>1</v>
      </c>
      <c r="E1997" s="71">
        <v>1</v>
      </c>
      <c r="F1997" s="71">
        <v>1</v>
      </c>
      <c r="G1997" s="68">
        <f>IF(B1997="","",IF( AND(D1997=1, E1997=1),1,0))</f>
        <v>1</v>
      </c>
      <c r="H1997" s="68">
        <f>IF(B1997="","",IF(AND(D1997=1,F1997=1),1,0))</f>
        <v>1</v>
      </c>
      <c r="I1997" s="68">
        <f>IF(B1997="","",IF(AND(E1997=1,F1997=1),1,0))</f>
        <v>1</v>
      </c>
      <c r="J1997" s="74">
        <f>IF(B1997="","",SUM(D1997:F1997))</f>
        <v>3</v>
      </c>
      <c r="K1997" s="62"/>
    </row>
    <row r="1998" spans="1:18" x14ac:dyDescent="0.25">
      <c r="A1998" s="2"/>
      <c r="B1998" s="37"/>
      <c r="C1998" s="37"/>
      <c r="D1998" s="71"/>
      <c r="E1998" s="71"/>
      <c r="F1998" s="71"/>
      <c r="G1998" s="68" t="str">
        <f>IF(B1998="","",IF( AND(D1998=1, E1998=1),1,0))</f>
        <v/>
      </c>
      <c r="H1998" s="68" t="str">
        <f>IF(B1998="","",IF(AND(D1998=1,F1998=1),1,0))</f>
        <v/>
      </c>
      <c r="I1998" s="68" t="str">
        <f>IF(B1998="","",IF(AND(E1998=1,F1998=1),1,0))</f>
        <v/>
      </c>
      <c r="J1998" s="74" t="str">
        <f>IF(B1998="","",SUM(D1998:F1998))</f>
        <v/>
      </c>
      <c r="K1998" s="62"/>
    </row>
    <row r="1999" spans="1:18" x14ac:dyDescent="0.25">
      <c r="A1999" s="3"/>
      <c r="B1999" s="40"/>
      <c r="C1999" s="40"/>
      <c r="D1999" s="72"/>
      <c r="E1999" s="72"/>
      <c r="F1999" s="72"/>
      <c r="G1999" s="69" t="str">
        <f t="shared" si="1018"/>
        <v/>
      </c>
      <c r="H1999" s="69" t="str">
        <f t="shared" si="1019"/>
        <v/>
      </c>
      <c r="I1999" s="69" t="str">
        <f t="shared" si="1020"/>
        <v/>
      </c>
      <c r="J1999" s="75" t="str">
        <f t="shared" si="1016"/>
        <v/>
      </c>
      <c r="K1999" s="63"/>
    </row>
    <row r="2000" spans="1:18" x14ac:dyDescent="0.25">
      <c r="A2000" s="2" t="s">
        <v>1224</v>
      </c>
      <c r="B2000" s="37" t="s">
        <v>1105</v>
      </c>
      <c r="C2000" s="37"/>
      <c r="D2000" s="71">
        <v>1</v>
      </c>
      <c r="E2000" s="71">
        <v>1</v>
      </c>
      <c r="F2000" s="71">
        <v>1</v>
      </c>
      <c r="G2000" s="68">
        <f t="shared" si="1018"/>
        <v>1</v>
      </c>
      <c r="H2000" s="68">
        <f t="shared" si="1019"/>
        <v>1</v>
      </c>
      <c r="I2000" s="68">
        <f t="shared" si="1020"/>
        <v>1</v>
      </c>
      <c r="J2000" s="74">
        <f t="shared" ref="J2000:J2002" si="1027">IF(B2000="","",SUM(D2000:F2000))</f>
        <v>3</v>
      </c>
      <c r="K2000" s="62"/>
    </row>
    <row r="2001" spans="1:11" x14ac:dyDescent="0.25">
      <c r="A2001" s="2"/>
      <c r="B2001" s="37"/>
      <c r="C2001" s="37"/>
      <c r="D2001" s="71"/>
      <c r="E2001" s="71"/>
      <c r="F2001" s="71"/>
      <c r="G2001" s="68" t="str">
        <f t="shared" si="1018"/>
        <v/>
      </c>
      <c r="H2001" s="68" t="str">
        <f t="shared" si="1019"/>
        <v/>
      </c>
      <c r="I2001" s="68" t="str">
        <f t="shared" si="1020"/>
        <v/>
      </c>
      <c r="J2001" s="74" t="str">
        <f t="shared" si="1027"/>
        <v/>
      </c>
      <c r="K2001" s="62"/>
    </row>
    <row r="2002" spans="1:11" x14ac:dyDescent="0.25">
      <c r="A2002" s="3"/>
      <c r="B2002" s="40"/>
      <c r="C2002" s="40"/>
      <c r="D2002" s="72"/>
      <c r="E2002" s="72"/>
      <c r="F2002" s="72"/>
      <c r="G2002" s="69" t="str">
        <f t="shared" si="1018"/>
        <v/>
      </c>
      <c r="H2002" s="69" t="str">
        <f t="shared" si="1019"/>
        <v/>
      </c>
      <c r="I2002" s="69" t="str">
        <f t="shared" si="1020"/>
        <v/>
      </c>
      <c r="J2002" s="75" t="str">
        <f t="shared" si="1027"/>
        <v/>
      </c>
      <c r="K2002" s="63"/>
    </row>
  </sheetData>
  <pageMargins left="0.7" right="0.7" top="0.78740157499999996" bottom="0.78740157499999996" header="0.3" footer="0.3"/>
  <pageSetup paperSize="9" scale="10" fitToWidth="0" orientation="portrait" horizontalDpi="0" verticalDpi="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2</vt:i4>
      </vt:variant>
    </vt:vector>
  </HeadingPairs>
  <TitlesOfParts>
    <vt:vector size="2" baseType="lpstr">
      <vt:lpstr>raw</vt:lpstr>
      <vt:lpstr>golden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bkr</cp:lastModifiedBy>
  <dcterms:created xsi:type="dcterms:W3CDTF">2015-06-05T18:19:34Z</dcterms:created>
  <dcterms:modified xsi:type="dcterms:W3CDTF">2017-08-04T09:29:57Z</dcterms:modified>
</cp:coreProperties>
</file>